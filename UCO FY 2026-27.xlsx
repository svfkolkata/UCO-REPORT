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907097139429d48/Documents/FOR CSP/UCO BANK/REPORT/UCO FY 2026-27/"/>
    </mc:Choice>
  </mc:AlternateContent>
  <xr:revisionPtr revIDLastSave="10142" documentId="11_F25DC773A252ABDACC104833899C74525BDE58EC" xr6:coauthVersionLast="47" xr6:coauthVersionMax="47" xr10:uidLastSave="{503BF3F9-3994-4442-B2F3-8B01DA27F658}"/>
  <bookViews>
    <workbookView xWindow="-108" yWindow="-108" windowWidth="23256" windowHeight="12456" tabRatio="881" activeTab="2" xr2:uid="{00000000-000D-0000-FFFF-FFFF00000000}"/>
  </bookViews>
  <sheets>
    <sheet name="CSP Sum" sheetId="17" r:id="rId1"/>
    <sheet name="ZO Wise" sheetId="29" r:id="rId2"/>
    <sheet name="DC Sum" sheetId="7" r:id="rId3"/>
    <sheet name="AC Pivot" sheetId="8" state="hidden" r:id="rId4"/>
    <sheet name="Count" sheetId="16" r:id="rId5"/>
    <sheet name="Z AC" sheetId="30" state="hidden" r:id="rId6"/>
    <sheet name="AC" sheetId="6" r:id="rId7"/>
    <sheet name="APY Pivot" sheetId="9" state="hidden" r:id="rId8"/>
    <sheet name="APY S P" sheetId="22" state="hidden" r:id="rId9"/>
    <sheet name="Z APY" sheetId="32" state="hidden" r:id="rId10"/>
    <sheet name="APY" sheetId="3" r:id="rId11"/>
    <sheet name="JJBY Pivot" sheetId="10" state="hidden" r:id="rId12"/>
    <sheet name="JJBY S P" sheetId="23" state="hidden" r:id="rId13"/>
    <sheet name="Z JJBY" sheetId="33" state="hidden" r:id="rId14"/>
    <sheet name="JJBY" sheetId="4" r:id="rId15"/>
    <sheet name="SBY Pivot" sheetId="11" state="hidden" r:id="rId16"/>
    <sheet name="SBY S P" sheetId="25" state="hidden" r:id="rId17"/>
    <sheet name="Z SBY" sheetId="34" state="hidden" r:id="rId18"/>
    <sheet name="SBY" sheetId="5" r:id="rId19"/>
    <sheet name="Comm Pivot" sheetId="12" state="hidden" r:id="rId20"/>
    <sheet name="comm s p" sheetId="26" state="hidden" r:id="rId21"/>
    <sheet name="Comm" sheetId="2" r:id="rId22"/>
    <sheet name="Txn Pivot" sheetId="15" state="hidden" r:id="rId23"/>
    <sheet name="Txn Pivot2" sheetId="21" state="hidden" r:id="rId24"/>
    <sheet name="FI txn" sheetId="1" r:id="rId25"/>
    <sheet name="Txn Amt" sheetId="19" r:id="rId26"/>
    <sheet name="Log" sheetId="20" r:id="rId27"/>
    <sheet name="Code" sheetId="14" state="hidden" r:id="rId28"/>
    <sheet name="Z Code" sheetId="35" state="hidden" r:id="rId29"/>
    <sheet name="Data" sheetId="13" r:id="rId30"/>
    <sheet name="Topper CSP" sheetId="36" r:id="rId31"/>
    <sheet name="Topper DC" sheetId="37" r:id="rId32"/>
  </sheets>
  <externalReferences>
    <externalReference r:id="rId33"/>
    <externalReference r:id="rId34"/>
  </externalReferences>
  <definedNames>
    <definedName name="_xlnm._FilterDatabase" localSheetId="6" hidden="1">AC!$A$1:$W$104</definedName>
    <definedName name="_xlnm._FilterDatabase" localSheetId="10" hidden="1">APY!$A$1:$X$104</definedName>
    <definedName name="_xlnm._FilterDatabase" localSheetId="21" hidden="1">Comm!$A$1:$W$104</definedName>
    <definedName name="_xlnm._FilterDatabase" localSheetId="4" hidden="1">Count!$B$4:$R$4</definedName>
    <definedName name="_xlnm._FilterDatabase" localSheetId="29" hidden="1">Data!$A$1:$J$104</definedName>
    <definedName name="_xlnm._FilterDatabase" localSheetId="2" hidden="1">'DC Sum'!$B$98:$R$112</definedName>
    <definedName name="_xlnm._FilterDatabase" localSheetId="24" hidden="1">'FI txn'!$A$1:$X$104</definedName>
    <definedName name="_xlnm._FilterDatabase" localSheetId="14" hidden="1">JJBY!$A$1:$X$104</definedName>
    <definedName name="_xlnm._FilterDatabase" localSheetId="26" hidden="1">Log!$A$1:$W$104</definedName>
    <definedName name="_xlnm._FilterDatabase" localSheetId="18" hidden="1">SBY!$A$1:$X$104</definedName>
    <definedName name="_xlnm._FilterDatabase" localSheetId="25" hidden="1">'Txn Amt'!$A$1:$W$104</definedName>
    <definedName name="_xlnm.Print_Area" localSheetId="0">'CSP Sum'!$B$1:$P$35</definedName>
    <definedName name="_xlnm.Print_Area" localSheetId="2">'DC Sum'!$B$2:$R$95</definedName>
    <definedName name="_xlnm.Print_Area" localSheetId="1">'ZO Wise'!$B$9:$S$14</definedName>
  </definedNames>
  <calcPr calcId="191029"/>
  <pivotCaches>
    <pivotCache cacheId="61" r:id="rId35"/>
    <pivotCache cacheId="67" r:id="rId36"/>
    <pivotCache cacheId="71" r:id="rId37"/>
    <pivotCache cacheId="77" r:id="rId38"/>
    <pivotCache cacheId="83" r:id="rId39"/>
    <pivotCache cacheId="88" r:id="rId40"/>
    <pivotCache cacheId="94" r:id="rId41"/>
    <pivotCache cacheId="99" r:id="rId42"/>
    <pivotCache cacheId="104" r:id="rId4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7" l="1"/>
  <c r="X6" i="7"/>
  <c r="AG6" i="7" s="1"/>
  <c r="X7" i="7"/>
  <c r="X8" i="7"/>
  <c r="Z8" i="7" s="1"/>
  <c r="X9" i="7"/>
  <c r="Y9" i="7" s="1"/>
  <c r="X10" i="7"/>
  <c r="AA10" i="7" s="1"/>
  <c r="X11" i="7"/>
  <c r="X12" i="7"/>
  <c r="AE12" i="7" s="1"/>
  <c r="X13" i="7"/>
  <c r="AD13" i="7" s="1"/>
  <c r="X14" i="7"/>
  <c r="AC14" i="7" s="1"/>
  <c r="X15" i="7"/>
  <c r="AB15" i="7" s="1"/>
  <c r="X16" i="7"/>
  <c r="AH16" i="7" s="1"/>
  <c r="X17" i="7"/>
  <c r="X4" i="7"/>
  <c r="AI4" i="7" s="1"/>
  <c r="X24" i="7"/>
  <c r="Y24" i="7" s="1"/>
  <c r="X25" i="7"/>
  <c r="AA25" i="7" s="1"/>
  <c r="X26" i="7"/>
  <c r="Z26" i="7" s="1"/>
  <c r="X27" i="7"/>
  <c r="AB27" i="7" s="1"/>
  <c r="X28" i="7"/>
  <c r="X29" i="7"/>
  <c r="X30" i="7"/>
  <c r="X31" i="7"/>
  <c r="AF31" i="7" s="1"/>
  <c r="X32" i="7"/>
  <c r="AH32" i="7" s="1"/>
  <c r="X33" i="7"/>
  <c r="AG33" i="7" s="1"/>
  <c r="X34" i="7"/>
  <c r="AH34" i="7" s="1"/>
  <c r="X35" i="7"/>
  <c r="AG35" i="7" s="1"/>
  <c r="X36" i="7"/>
  <c r="Z36" i="7" s="1"/>
  <c r="X23" i="7"/>
  <c r="AE23" i="7" s="1"/>
  <c r="X43" i="7"/>
  <c r="Z43" i="7" s="1"/>
  <c r="X44" i="7"/>
  <c r="AE44" i="7" s="1"/>
  <c r="X45" i="7"/>
  <c r="Z45" i="7" s="1"/>
  <c r="X46" i="7"/>
  <c r="X47" i="7"/>
  <c r="AB47" i="7" s="1"/>
  <c r="X48" i="7"/>
  <c r="AJ48" i="7" s="1"/>
  <c r="X49" i="7"/>
  <c r="Z49" i="7" s="1"/>
  <c r="X50" i="7"/>
  <c r="Y50" i="7" s="1"/>
  <c r="X51" i="7"/>
  <c r="X52" i="7"/>
  <c r="AF52" i="7" s="1"/>
  <c r="X53" i="7"/>
  <c r="Z53" i="7" s="1"/>
  <c r="X54" i="7"/>
  <c r="AB54" i="7" s="1"/>
  <c r="X55" i="7"/>
  <c r="AC55" i="7" s="1"/>
  <c r="X42" i="7"/>
  <c r="AJ42" i="7" s="1"/>
  <c r="X62" i="7"/>
  <c r="AI62" i="7" s="1"/>
  <c r="X63" i="7"/>
  <c r="AG63" i="7" s="1"/>
  <c r="X64" i="7"/>
  <c r="AF64" i="7" s="1"/>
  <c r="X65" i="7"/>
  <c r="AE65" i="7" s="1"/>
  <c r="X66" i="7"/>
  <c r="AD66" i="7" s="1"/>
  <c r="X67" i="7"/>
  <c r="AC67" i="7" s="1"/>
  <c r="X68" i="7"/>
  <c r="X69" i="7"/>
  <c r="AC69" i="7" s="1"/>
  <c r="X70" i="7"/>
  <c r="Z70" i="7" s="1"/>
  <c r="X71" i="7"/>
  <c r="AC71" i="7" s="1"/>
  <c r="X72" i="7"/>
  <c r="Z72" i="7" s="1"/>
  <c r="X73" i="7"/>
  <c r="AC73" i="7" s="1"/>
  <c r="X74" i="7"/>
  <c r="AJ74" i="7" s="1"/>
  <c r="X61" i="7"/>
  <c r="AC61" i="7" s="1"/>
  <c r="W85" i="7"/>
  <c r="W86" i="7"/>
  <c r="W87" i="7"/>
  <c r="W88" i="7"/>
  <c r="W89" i="7"/>
  <c r="W90" i="7"/>
  <c r="X87" i="7"/>
  <c r="AE87" i="7" s="1"/>
  <c r="X88" i="7"/>
  <c r="AD88" i="7" s="1"/>
  <c r="X89" i="7"/>
  <c r="AC89" i="7" s="1"/>
  <c r="X90" i="7"/>
  <c r="AB90" i="7" s="1"/>
  <c r="X91" i="7"/>
  <c r="AA91" i="7" s="1"/>
  <c r="X92" i="7"/>
  <c r="Z92" i="7" s="1"/>
  <c r="X93" i="7"/>
  <c r="Y93" i="7" s="1"/>
  <c r="X81" i="7"/>
  <c r="Y81" i="7" s="1"/>
  <c r="X82" i="7"/>
  <c r="AJ82" i="7" s="1"/>
  <c r="X83" i="7"/>
  <c r="AI83" i="7" s="1"/>
  <c r="X84" i="7"/>
  <c r="AH84" i="7" s="1"/>
  <c r="X85" i="7"/>
  <c r="AG85" i="7" s="1"/>
  <c r="X86" i="7"/>
  <c r="AF86" i="7" s="1"/>
  <c r="X80" i="7"/>
  <c r="Z80" i="7" s="1"/>
  <c r="X99" i="7"/>
  <c r="Z99" i="7" s="1"/>
  <c r="X100" i="7"/>
  <c r="AC100" i="7" s="1"/>
  <c r="X101" i="7"/>
  <c r="AH101" i="7" s="1"/>
  <c r="X102" i="7"/>
  <c r="AA102" i="7" s="1"/>
  <c r="X103" i="7"/>
  <c r="Z103" i="7" s="1"/>
  <c r="X104" i="7"/>
  <c r="Y104" i="7" s="1"/>
  <c r="X105" i="7"/>
  <c r="AJ105" i="7" s="1"/>
  <c r="X106" i="7"/>
  <c r="Z106" i="7" s="1"/>
  <c r="X107" i="7"/>
  <c r="AI107" i="7" s="1"/>
  <c r="X108" i="7"/>
  <c r="Z108" i="7" s="1"/>
  <c r="X109" i="7"/>
  <c r="Z109" i="7" s="1"/>
  <c r="X110" i="7"/>
  <c r="AH110" i="7" s="1"/>
  <c r="X111" i="7"/>
  <c r="AI111" i="7" s="1"/>
  <c r="X112" i="7"/>
  <c r="AI112" i="7" s="1"/>
  <c r="B101" i="7"/>
  <c r="B102" i="7"/>
  <c r="B103" i="7"/>
  <c r="B104" i="7"/>
  <c r="B105" i="7"/>
  <c r="B106" i="7"/>
  <c r="B107" i="7"/>
  <c r="B108" i="7"/>
  <c r="B109" i="7"/>
  <c r="B110" i="7"/>
  <c r="B111" i="7"/>
  <c r="B112" i="7"/>
  <c r="AB101" i="7"/>
  <c r="AG103" i="7"/>
  <c r="AH103" i="7"/>
  <c r="Y107" i="7"/>
  <c r="AA107" i="7"/>
  <c r="AF107" i="7"/>
  <c r="AG107" i="7"/>
  <c r="AJ107" i="7"/>
  <c r="AK107" i="7"/>
  <c r="AH108" i="7"/>
  <c r="AJ109" i="7"/>
  <c r="AF110" i="7"/>
  <c r="AA62" i="7"/>
  <c r="AB62" i="7"/>
  <c r="AC62" i="7"/>
  <c r="AF62" i="7"/>
  <c r="AG62" i="7"/>
  <c r="AH62" i="7"/>
  <c r="AJ62" i="7"/>
  <c r="AC63" i="7"/>
  <c r="AD63" i="7"/>
  <c r="AE63" i="7"/>
  <c r="AF63" i="7"/>
  <c r="AH63" i="7"/>
  <c r="AI63" i="7"/>
  <c r="AA64" i="7"/>
  <c r="AB64" i="7"/>
  <c r="AC64" i="7"/>
  <c r="AH64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B69" i="7"/>
  <c r="AD69" i="7"/>
  <c r="AI69" i="7"/>
  <c r="AA70" i="7"/>
  <c r="AB70" i="7"/>
  <c r="AF70" i="7"/>
  <c r="AG70" i="7"/>
  <c r="AH70" i="7"/>
  <c r="AJ70" i="7"/>
  <c r="AA71" i="7"/>
  <c r="AB71" i="7"/>
  <c r="Y74" i="7"/>
  <c r="AB74" i="7"/>
  <c r="AC74" i="7"/>
  <c r="AD74" i="7"/>
  <c r="AE74" i="7"/>
  <c r="AG74" i="7"/>
  <c r="AH74" i="7"/>
  <c r="AI74" i="7"/>
  <c r="AK74" i="7"/>
  <c r="AG61" i="7"/>
  <c r="AE61" i="7"/>
  <c r="AB61" i="7"/>
  <c r="Y44" i="7"/>
  <c r="Z44" i="7"/>
  <c r="AA44" i="7"/>
  <c r="AC44" i="7"/>
  <c r="AF44" i="7"/>
  <c r="AG44" i="7"/>
  <c r="AK44" i="7"/>
  <c r="Y45" i="7"/>
  <c r="AB45" i="7"/>
  <c r="AC45" i="7"/>
  <c r="AD45" i="7"/>
  <c r="AE45" i="7"/>
  <c r="AG45" i="7"/>
  <c r="AH45" i="7"/>
  <c r="AI45" i="7"/>
  <c r="AJ45" i="7"/>
  <c r="AK45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Y47" i="7"/>
  <c r="Z47" i="7"/>
  <c r="AA47" i="7"/>
  <c r="AC47" i="7"/>
  <c r="AD47" i="7"/>
  <c r="AG47" i="7"/>
  <c r="AH47" i="7"/>
  <c r="AI47" i="7"/>
  <c r="AJ47" i="7"/>
  <c r="AK47" i="7"/>
  <c r="AB48" i="7"/>
  <c r="AC48" i="7"/>
  <c r="AD48" i="7"/>
  <c r="AG48" i="7"/>
  <c r="AI48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A52" i="7"/>
  <c r="AB52" i="7"/>
  <c r="AH52" i="7"/>
  <c r="AI52" i="7"/>
  <c r="AJ52" i="7"/>
  <c r="AJ53" i="7"/>
  <c r="Z54" i="7"/>
  <c r="AA54" i="7"/>
  <c r="AK42" i="7"/>
  <c r="AG42" i="7"/>
  <c r="AF42" i="7"/>
  <c r="AE42" i="7"/>
  <c r="AC42" i="7"/>
  <c r="Z42" i="7"/>
  <c r="Y42" i="7"/>
  <c r="AA24" i="7"/>
  <c r="AB24" i="7"/>
  <c r="AC24" i="7"/>
  <c r="AD24" i="7"/>
  <c r="AF24" i="7"/>
  <c r="AH24" i="7"/>
  <c r="AI24" i="7"/>
  <c r="AJ24" i="7"/>
  <c r="Y25" i="7"/>
  <c r="Z25" i="7"/>
  <c r="AK25" i="7"/>
  <c r="AK26" i="7"/>
  <c r="Z27" i="7"/>
  <c r="AC27" i="7"/>
  <c r="AD27" i="7"/>
  <c r="AH27" i="7"/>
  <c r="AI27" i="7"/>
  <c r="AJ27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Y31" i="7"/>
  <c r="AA31" i="7"/>
  <c r="AB31" i="7"/>
  <c r="AC31" i="7"/>
  <c r="AD31" i="7"/>
  <c r="AE31" i="7"/>
  <c r="AH31" i="7"/>
  <c r="AI31" i="7"/>
  <c r="AJ31" i="7"/>
  <c r="AK31" i="7"/>
  <c r="AF34" i="7"/>
  <c r="AG34" i="7"/>
  <c r="AF35" i="7"/>
  <c r="Y36" i="7"/>
  <c r="AB36" i="7"/>
  <c r="AC36" i="7"/>
  <c r="AD36" i="7"/>
  <c r="AE36" i="7"/>
  <c r="AG36" i="7"/>
  <c r="AH36" i="7"/>
  <c r="AI36" i="7"/>
  <c r="AJ36" i="7"/>
  <c r="AK36" i="7"/>
  <c r="AG23" i="7"/>
  <c r="AF23" i="7"/>
  <c r="W8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Y6" i="7"/>
  <c r="Z6" i="7"/>
  <c r="AB6" i="7"/>
  <c r="AE6" i="7"/>
  <c r="AF6" i="7"/>
  <c r="AJ6" i="7"/>
  <c r="AK6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Y8" i="7"/>
  <c r="AJ8" i="7"/>
  <c r="AK8" i="7"/>
  <c r="AJ9" i="7"/>
  <c r="Y10" i="7"/>
  <c r="Z10" i="7"/>
  <c r="AD10" i="7"/>
  <c r="AE10" i="7"/>
  <c r="AF10" i="7"/>
  <c r="AH10" i="7"/>
  <c r="AJ10" i="7"/>
  <c r="AK10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Z12" i="7"/>
  <c r="AA12" i="7"/>
  <c r="AB12" i="7"/>
  <c r="AC12" i="7"/>
  <c r="Z13" i="7"/>
  <c r="AA13" i="7"/>
  <c r="AB13" i="7"/>
  <c r="Z14" i="7"/>
  <c r="AA14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K4" i="7"/>
  <c r="AJ4" i="7"/>
  <c r="AF4" i="7"/>
  <c r="AE4" i="7"/>
  <c r="AD4" i="7"/>
  <c r="AB4" i="7"/>
  <c r="Z4" i="7"/>
  <c r="Y4" i="7"/>
  <c r="AK109" i="7" l="1"/>
  <c r="AD61" i="7"/>
  <c r="AG65" i="7"/>
  <c r="Y26" i="7"/>
  <c r="AA99" i="7"/>
  <c r="AH112" i="7"/>
  <c r="AF43" i="7"/>
  <c r="AB112" i="7"/>
  <c r="AD72" i="7"/>
  <c r="AJ100" i="7"/>
  <c r="AB67" i="7"/>
  <c r="Z55" i="7"/>
  <c r="AD6" i="7"/>
  <c r="AA42" i="7"/>
  <c r="AA4" i="7"/>
  <c r="AI10" i="7"/>
  <c r="AC6" i="7"/>
  <c r="AA27" i="7"/>
  <c r="AG24" i="7"/>
  <c r="AB42" i="7"/>
  <c r="AD44" i="7"/>
  <c r="AK70" i="7"/>
  <c r="Y70" i="7"/>
  <c r="AB65" i="7"/>
  <c r="AC112" i="7"/>
  <c r="AA100" i="7"/>
  <c r="AC4" i="7"/>
  <c r="AG10" i="7"/>
  <c r="AA6" i="7"/>
  <c r="AF36" i="7"/>
  <c r="AK27" i="7"/>
  <c r="Y27" i="7"/>
  <c r="AE24" i="7"/>
  <c r="AD42" i="7"/>
  <c r="AK52" i="7"/>
  <c r="AH48" i="7"/>
  <c r="AB44" i="7"/>
  <c r="AI70" i="7"/>
  <c r="AH69" i="7"/>
  <c r="AE64" i="7"/>
  <c r="Y112" i="7"/>
  <c r="AG69" i="7"/>
  <c r="AC10" i="7"/>
  <c r="AG27" i="7"/>
  <c r="AH42" i="7"/>
  <c r="AE52" i="7"/>
  <c r="AJ44" i="7"/>
  <c r="AE70" i="7"/>
  <c r="AA69" i="7"/>
  <c r="AI109" i="7"/>
  <c r="Y103" i="7"/>
  <c r="AH4" i="7"/>
  <c r="AB10" i="7"/>
  <c r="AH6" i="7"/>
  <c r="AA36" i="7"/>
  <c r="AF27" i="7"/>
  <c r="Z24" i="7"/>
  <c r="AI42" i="7"/>
  <c r="AD52" i="7"/>
  <c r="Y48" i="7"/>
  <c r="AI44" i="7"/>
  <c r="AD70" i="7"/>
  <c r="Z69" i="7"/>
  <c r="AH109" i="7"/>
  <c r="AI102" i="7"/>
  <c r="AG88" i="7"/>
  <c r="AG4" i="7"/>
  <c r="AI6" i="7"/>
  <c r="AE27" i="7"/>
  <c r="AK24" i="7"/>
  <c r="AC52" i="7"/>
  <c r="AH44" i="7"/>
  <c r="AB73" i="7"/>
  <c r="AC70" i="7"/>
  <c r="AK112" i="7"/>
  <c r="AA109" i="7"/>
  <c r="AG112" i="7"/>
  <c r="AE100" i="7"/>
  <c r="Y52" i="7"/>
  <c r="AD65" i="7"/>
  <c r="AF112" i="7"/>
  <c r="AB100" i="7"/>
  <c r="AH9" i="7"/>
  <c r="AI8" i="7"/>
  <c r="AH23" i="7"/>
  <c r="AI26" i="7"/>
  <c r="AJ25" i="7"/>
  <c r="AK54" i="7"/>
  <c r="Y54" i="7"/>
  <c r="AD43" i="7"/>
  <c r="Y72" i="7"/>
  <c r="Z71" i="7"/>
  <c r="AD99" i="7"/>
  <c r="AG9" i="7"/>
  <c r="AH8" i="7"/>
  <c r="AI23" i="7"/>
  <c r="AH26" i="7"/>
  <c r="AI25" i="7"/>
  <c r="AJ54" i="7"/>
  <c r="AA43" i="7"/>
  <c r="AK71" i="7"/>
  <c r="Y71" i="7"/>
  <c r="AG99" i="7"/>
  <c r="AH107" i="7"/>
  <c r="AJ26" i="7"/>
  <c r="Y55" i="7"/>
  <c r="AF9" i="7"/>
  <c r="AG8" i="7"/>
  <c r="AJ23" i="7"/>
  <c r="AG26" i="7"/>
  <c r="AH25" i="7"/>
  <c r="AK55" i="7"/>
  <c r="AI54" i="7"/>
  <c r="Y43" i="7"/>
  <c r="AJ71" i="7"/>
  <c r="AH99" i="7"/>
  <c r="AA72" i="7"/>
  <c r="AE9" i="7"/>
  <c r="Y23" i="7"/>
  <c r="AI71" i="7"/>
  <c r="AI99" i="7"/>
  <c r="AA80" i="7"/>
  <c r="AB99" i="7"/>
  <c r="AK23" i="7"/>
  <c r="AG25" i="7"/>
  <c r="AJ55" i="7"/>
  <c r="AD9" i="7"/>
  <c r="AE8" i="7"/>
  <c r="Z23" i="7"/>
  <c r="AE26" i="7"/>
  <c r="AF25" i="7"/>
  <c r="AH55" i="7"/>
  <c r="AG54" i="7"/>
  <c r="AH71" i="7"/>
  <c r="AG109" i="7"/>
  <c r="AE107" i="7"/>
  <c r="Z101" i="7"/>
  <c r="AD80" i="7"/>
  <c r="AF8" i="7"/>
  <c r="AC9" i="7"/>
  <c r="AD8" i="7"/>
  <c r="AA23" i="7"/>
  <c r="AD26" i="7"/>
  <c r="AE25" i="7"/>
  <c r="AG55" i="7"/>
  <c r="AF54" i="7"/>
  <c r="AK72" i="7"/>
  <c r="AG71" i="7"/>
  <c r="AF109" i="7"/>
  <c r="AD107" i="7"/>
  <c r="AF80" i="7"/>
  <c r="AH54" i="7"/>
  <c r="AB9" i="7"/>
  <c r="AB23" i="7"/>
  <c r="AC26" i="7"/>
  <c r="AD25" i="7"/>
  <c r="AF55" i="7"/>
  <c r="AE54" i="7"/>
  <c r="AK43" i="7"/>
  <c r="AJ72" i="7"/>
  <c r="AF71" i="7"/>
  <c r="AE109" i="7"/>
  <c r="AC107" i="7"/>
  <c r="AI80" i="7"/>
  <c r="AF26" i="7"/>
  <c r="AC8" i="7"/>
  <c r="AA9" i="7"/>
  <c r="AB8" i="7"/>
  <c r="AC23" i="7"/>
  <c r="AB26" i="7"/>
  <c r="AC25" i="7"/>
  <c r="AE55" i="7"/>
  <c r="AD54" i="7"/>
  <c r="AJ43" i="7"/>
  <c r="AI72" i="7"/>
  <c r="AE71" i="7"/>
  <c r="AB109" i="7"/>
  <c r="AB107" i="7"/>
  <c r="AE90" i="7"/>
  <c r="Z9" i="7"/>
  <c r="AA8" i="7"/>
  <c r="AD23" i="7"/>
  <c r="AA26" i="7"/>
  <c r="AB25" i="7"/>
  <c r="AB55" i="7"/>
  <c r="AC54" i="7"/>
  <c r="AI43" i="7"/>
  <c r="AF72" i="7"/>
  <c r="AD71" i="7"/>
  <c r="AA90" i="7"/>
  <c r="AI9" i="7"/>
  <c r="AE43" i="7"/>
  <c r="AC88" i="7"/>
  <c r="AK9" i="7"/>
  <c r="AA55" i="7"/>
  <c r="AG43" i="7"/>
  <c r="AE72" i="7"/>
  <c r="Y99" i="7"/>
  <c r="Y109" i="7"/>
  <c r="Z107" i="7"/>
  <c r="AJ88" i="7"/>
  <c r="AF33" i="7"/>
  <c r="AF61" i="7"/>
  <c r="AC65" i="7"/>
  <c r="AK102" i="7"/>
  <c r="AJ93" i="7"/>
  <c r="AH61" i="7"/>
  <c r="Y65" i="7"/>
  <c r="AH102" i="7"/>
  <c r="AE93" i="7"/>
  <c r="AK87" i="7"/>
  <c r="AI61" i="7"/>
  <c r="AB63" i="7"/>
  <c r="Z102" i="7"/>
  <c r="AB93" i="7"/>
  <c r="AH87" i="7"/>
  <c r="AJ50" i="7"/>
  <c r="AJ61" i="7"/>
  <c r="AA63" i="7"/>
  <c r="AI105" i="7"/>
  <c r="Y102" i="7"/>
  <c r="AK92" i="7"/>
  <c r="AD87" i="7"/>
  <c r="AK48" i="7"/>
  <c r="AD64" i="7"/>
  <c r="Z63" i="7"/>
  <c r="AF104" i="7"/>
  <c r="AI101" i="7"/>
  <c r="AF92" i="7"/>
  <c r="Y87" i="7"/>
  <c r="AK103" i="7"/>
  <c r="AG101" i="7"/>
  <c r="AC92" i="7"/>
  <c r="AI86" i="7"/>
  <c r="AG16" i="7"/>
  <c r="AJ103" i="7"/>
  <c r="AF101" i="7"/>
  <c r="Y92" i="7"/>
  <c r="AE86" i="7"/>
  <c r="AA61" i="7"/>
  <c r="AI103" i="7"/>
  <c r="AE101" i="7"/>
  <c r="AH90" i="7"/>
  <c r="Z86" i="7"/>
  <c r="AH105" i="7"/>
  <c r="Z91" i="7"/>
  <c r="AB89" i="7"/>
  <c r="AF85" i="7"/>
  <c r="AG84" i="7"/>
  <c r="AH83" i="7"/>
  <c r="AI82" i="7"/>
  <c r="AJ81" i="7"/>
  <c r="AF32" i="7"/>
  <c r="Z31" i="7"/>
  <c r="AI55" i="7"/>
  <c r="Z52" i="7"/>
  <c r="AF48" i="7"/>
  <c r="AF45" i="7"/>
  <c r="AH43" i="7"/>
  <c r="AF74" i="7"/>
  <c r="AH72" i="7"/>
  <c r="AK69" i="7"/>
  <c r="Y69" i="7"/>
  <c r="AA65" i="7"/>
  <c r="AE62" i="7"/>
  <c r="AE99" i="7"/>
  <c r="AE112" i="7"/>
  <c r="AJ104" i="7"/>
  <c r="AJ102" i="7"/>
  <c r="AD101" i="7"/>
  <c r="Z100" i="7"/>
  <c r="AB80" i="7"/>
  <c r="AI93" i="7"/>
  <c r="AJ92" i="7"/>
  <c r="AK91" i="7"/>
  <c r="Y91" i="7"/>
  <c r="Z90" i="7"/>
  <c r="AA89" i="7"/>
  <c r="AB88" i="7"/>
  <c r="AC87" i="7"/>
  <c r="AD86" i="7"/>
  <c r="AE85" i="7"/>
  <c r="AF84" i="7"/>
  <c r="AG83" i="7"/>
  <c r="AH82" i="7"/>
  <c r="AI81" i="7"/>
  <c r="AG32" i="7"/>
  <c r="AE48" i="7"/>
  <c r="AG72" i="7"/>
  <c r="AJ69" i="7"/>
  <c r="Z65" i="7"/>
  <c r="AD62" i="7"/>
  <c r="AF99" i="7"/>
  <c r="AD112" i="7"/>
  <c r="AI104" i="7"/>
  <c r="AC101" i="7"/>
  <c r="Y100" i="7"/>
  <c r="AC80" i="7"/>
  <c r="AH93" i="7"/>
  <c r="AI92" i="7"/>
  <c r="AJ91" i="7"/>
  <c r="AK90" i="7"/>
  <c r="Y90" i="7"/>
  <c r="Z89" i="7"/>
  <c r="AA88" i="7"/>
  <c r="AB87" i="7"/>
  <c r="AC86" i="7"/>
  <c r="AD85" i="7"/>
  <c r="AE84" i="7"/>
  <c r="AF83" i="7"/>
  <c r="AG82" i="7"/>
  <c r="AH81" i="7"/>
  <c r="AH104" i="7"/>
  <c r="AC99" i="7"/>
  <c r="AG93" i="7"/>
  <c r="AH92" i="7"/>
  <c r="AI91" i="7"/>
  <c r="AJ90" i="7"/>
  <c r="AK89" i="7"/>
  <c r="Y89" i="7"/>
  <c r="Z88" i="7"/>
  <c r="AA87" i="7"/>
  <c r="AB86" i="7"/>
  <c r="AC85" i="7"/>
  <c r="AD84" i="7"/>
  <c r="AE83" i="7"/>
  <c r="AF82" i="7"/>
  <c r="AG81" i="7"/>
  <c r="AC66" i="7"/>
  <c r="AG104" i="7"/>
  <c r="AA101" i="7"/>
  <c r="AE80" i="7"/>
  <c r="AF93" i="7"/>
  <c r="AG92" i="7"/>
  <c r="AH91" i="7"/>
  <c r="AI90" i="7"/>
  <c r="AJ89" i="7"/>
  <c r="AK88" i="7"/>
  <c r="Y88" i="7"/>
  <c r="Z87" i="7"/>
  <c r="AA86" i="7"/>
  <c r="AB85" i="7"/>
  <c r="AC84" i="7"/>
  <c r="AD83" i="7"/>
  <c r="AE82" i="7"/>
  <c r="AF81" i="7"/>
  <c r="AG91" i="7"/>
  <c r="AI89" i="7"/>
  <c r="AA85" i="7"/>
  <c r="AB84" i="7"/>
  <c r="AC83" i="7"/>
  <c r="AD82" i="7"/>
  <c r="AE81" i="7"/>
  <c r="AG31" i="7"/>
  <c r="AD55" i="7"/>
  <c r="AG52" i="7"/>
  <c r="AJ49" i="7"/>
  <c r="AA48" i="7"/>
  <c r="AA45" i="7"/>
  <c r="AC43" i="7"/>
  <c r="AA74" i="7"/>
  <c r="AC72" i="7"/>
  <c r="AF69" i="7"/>
  <c r="AK65" i="7"/>
  <c r="Z62" i="7"/>
  <c r="AJ99" i="7"/>
  <c r="AH111" i="7"/>
  <c r="AK108" i="7"/>
  <c r="AK101" i="7"/>
  <c r="Y101" i="7"/>
  <c r="AG80" i="7"/>
  <c r="AD93" i="7"/>
  <c r="AE92" i="7"/>
  <c r="AF91" i="7"/>
  <c r="AG90" i="7"/>
  <c r="AH89" i="7"/>
  <c r="AI88" i="7"/>
  <c r="AJ87" i="7"/>
  <c r="AK86" i="7"/>
  <c r="Y86" i="7"/>
  <c r="Z85" i="7"/>
  <c r="AA84" i="7"/>
  <c r="AB83" i="7"/>
  <c r="AC82" i="7"/>
  <c r="AD81" i="7"/>
  <c r="AK49" i="7"/>
  <c r="AB66" i="7"/>
  <c r="Y49" i="7"/>
  <c r="Z48" i="7"/>
  <c r="AB43" i="7"/>
  <c r="Z74" i="7"/>
  <c r="AB72" i="7"/>
  <c r="AE69" i="7"/>
  <c r="AJ65" i="7"/>
  <c r="AK62" i="7"/>
  <c r="Y62" i="7"/>
  <c r="AK99" i="7"/>
  <c r="AJ108" i="7"/>
  <c r="AJ101" i="7"/>
  <c r="AK100" i="7"/>
  <c r="AH80" i="7"/>
  <c r="AC93" i="7"/>
  <c r="AD92" i="7"/>
  <c r="AE91" i="7"/>
  <c r="AF90" i="7"/>
  <c r="AG89" i="7"/>
  <c r="AH88" i="7"/>
  <c r="AI87" i="7"/>
  <c r="AJ86" i="7"/>
  <c r="AK85" i="7"/>
  <c r="Y85" i="7"/>
  <c r="Z84" i="7"/>
  <c r="AA83" i="7"/>
  <c r="AB82" i="7"/>
  <c r="AC81" i="7"/>
  <c r="AD91" i="7"/>
  <c r="AF89" i="7"/>
  <c r="AJ85" i="7"/>
  <c r="AK84" i="7"/>
  <c r="Y84" i="7"/>
  <c r="Z83" i="7"/>
  <c r="AA82" i="7"/>
  <c r="AB81" i="7"/>
  <c r="AF65" i="7"/>
  <c r="AJ112" i="7"/>
  <c r="Y108" i="7"/>
  <c r="AH100" i="7"/>
  <c r="AJ80" i="7"/>
  <c r="AA93" i="7"/>
  <c r="AB92" i="7"/>
  <c r="AC91" i="7"/>
  <c r="AD90" i="7"/>
  <c r="AE89" i="7"/>
  <c r="AF88" i="7"/>
  <c r="AG87" i="7"/>
  <c r="AH86" i="7"/>
  <c r="AI85" i="7"/>
  <c r="AJ84" i="7"/>
  <c r="AK83" i="7"/>
  <c r="Y83" i="7"/>
  <c r="Z82" i="7"/>
  <c r="AA81" i="7"/>
  <c r="Y80" i="7"/>
  <c r="AK80" i="7"/>
  <c r="Z93" i="7"/>
  <c r="AA92" i="7"/>
  <c r="AB91" i="7"/>
  <c r="AC90" i="7"/>
  <c r="AD89" i="7"/>
  <c r="AE88" i="7"/>
  <c r="AF87" i="7"/>
  <c r="AG86" i="7"/>
  <c r="AH85" i="7"/>
  <c r="AI84" i="7"/>
  <c r="AJ83" i="7"/>
  <c r="AK82" i="7"/>
  <c r="Y82" i="7"/>
  <c r="Z81" i="7"/>
  <c r="AK93" i="7"/>
  <c r="AK81" i="7"/>
  <c r="AH50" i="7"/>
  <c r="AI49" i="7"/>
  <c r="Z67" i="7"/>
  <c r="AA66" i="7"/>
  <c r="AG105" i="7"/>
  <c r="AD33" i="7"/>
  <c r="AG50" i="7"/>
  <c r="AH49" i="7"/>
  <c r="AK67" i="7"/>
  <c r="Y67" i="7"/>
  <c r="Z66" i="7"/>
  <c r="AF105" i="7"/>
  <c r="AA67" i="7"/>
  <c r="AE16" i="7"/>
  <c r="AJ67" i="7"/>
  <c r="AK66" i="7"/>
  <c r="Y66" i="7"/>
  <c r="AE105" i="7"/>
  <c r="AE32" i="7"/>
  <c r="AC16" i="7"/>
  <c r="AC32" i="7"/>
  <c r="AB32" i="7"/>
  <c r="AE50" i="7"/>
  <c r="AF49" i="7"/>
  <c r="AI67" i="7"/>
  <c r="AJ66" i="7"/>
  <c r="Z64" i="7"/>
  <c r="AD105" i="7"/>
  <c r="AE104" i="7"/>
  <c r="AF103" i="7"/>
  <c r="AG102" i="7"/>
  <c r="AI100" i="7"/>
  <c r="AB106" i="7"/>
  <c r="AF16" i="7"/>
  <c r="AD16" i="7"/>
  <c r="Z33" i="7"/>
  <c r="AD50" i="7"/>
  <c r="AE49" i="7"/>
  <c r="AH67" i="7"/>
  <c r="AI66" i="7"/>
  <c r="AK64" i="7"/>
  <c r="Y64" i="7"/>
  <c r="AJ106" i="7"/>
  <c r="AC105" i="7"/>
  <c r="AD104" i="7"/>
  <c r="AE103" i="7"/>
  <c r="AF102" i="7"/>
  <c r="AC33" i="7"/>
  <c r="AB33" i="7"/>
  <c r="AA16" i="7"/>
  <c r="Z16" i="7"/>
  <c r="AK33" i="7"/>
  <c r="Y33" i="7"/>
  <c r="Z32" i="7"/>
  <c r="AC50" i="7"/>
  <c r="AD49" i="7"/>
  <c r="AF47" i="7"/>
  <c r="Y61" i="7"/>
  <c r="AK61" i="7"/>
  <c r="AG67" i="7"/>
  <c r="AH66" i="7"/>
  <c r="AI65" i="7"/>
  <c r="AJ64" i="7"/>
  <c r="AK63" i="7"/>
  <c r="Y63" i="7"/>
  <c r="AA112" i="7"/>
  <c r="AD109" i="7"/>
  <c r="AH106" i="7"/>
  <c r="AB105" i="7"/>
  <c r="AC104" i="7"/>
  <c r="AD103" i="7"/>
  <c r="AE102" i="7"/>
  <c r="AG100" i="7"/>
  <c r="AD32" i="7"/>
  <c r="AF50" i="7"/>
  <c r="AG49" i="7"/>
  <c r="AB16" i="7"/>
  <c r="AA33" i="7"/>
  <c r="AA32" i="7"/>
  <c r="AK16" i="7"/>
  <c r="Y16" i="7"/>
  <c r="AJ33" i="7"/>
  <c r="AK32" i="7"/>
  <c r="Y32" i="7"/>
  <c r="AB50" i="7"/>
  <c r="AC49" i="7"/>
  <c r="AE47" i="7"/>
  <c r="Z61" i="7"/>
  <c r="AF67" i="7"/>
  <c r="AG66" i="7"/>
  <c r="AH65" i="7"/>
  <c r="AI64" i="7"/>
  <c r="AJ63" i="7"/>
  <c r="Z112" i="7"/>
  <c r="AC109" i="7"/>
  <c r="AA106" i="7"/>
  <c r="AA105" i="7"/>
  <c r="AB104" i="7"/>
  <c r="AC103" i="7"/>
  <c r="AD102" i="7"/>
  <c r="AF100" i="7"/>
  <c r="AE33" i="7"/>
  <c r="AA50" i="7"/>
  <c r="AB49" i="7"/>
  <c r="AE67" i="7"/>
  <c r="AF66" i="7"/>
  <c r="Z105" i="7"/>
  <c r="AA104" i="7"/>
  <c r="AB103" i="7"/>
  <c r="AC102" i="7"/>
  <c r="AI16" i="7"/>
  <c r="AI32" i="7"/>
  <c r="Z50" i="7"/>
  <c r="AA49" i="7"/>
  <c r="AD67" i="7"/>
  <c r="AE66" i="7"/>
  <c r="AG64" i="7"/>
  <c r="AK105" i="7"/>
  <c r="Y105" i="7"/>
  <c r="Z104" i="7"/>
  <c r="AA103" i="7"/>
  <c r="AB102" i="7"/>
  <c r="AD100" i="7"/>
  <c r="AI50" i="7"/>
  <c r="AJ16" i="7"/>
  <c r="AI33" i="7"/>
  <c r="AJ32" i="7"/>
  <c r="AH33" i="7"/>
  <c r="AK50" i="7"/>
  <c r="AK104" i="7"/>
  <c r="AK15" i="7"/>
  <c r="Y14" i="7"/>
  <c r="AI15" i="7"/>
  <c r="AA15" i="7"/>
  <c r="AB14" i="7"/>
  <c r="AC13" i="7"/>
  <c r="AD12" i="7"/>
  <c r="AH15" i="7"/>
  <c r="AI14" i="7"/>
  <c r="AJ13" i="7"/>
  <c r="AK12" i="7"/>
  <c r="Y12" i="7"/>
  <c r="AG15" i="7"/>
  <c r="AH14" i="7"/>
  <c r="AI13" i="7"/>
  <c r="AJ12" i="7"/>
  <c r="AJ15" i="7"/>
  <c r="AG14" i="7"/>
  <c r="AH13" i="7"/>
  <c r="AI12" i="7"/>
  <c r="Y15" i="7"/>
  <c r="AK14" i="7"/>
  <c r="AJ14" i="7"/>
  <c r="AK13" i="7"/>
  <c r="AF15" i="7"/>
  <c r="AE15" i="7"/>
  <c r="AF14" i="7"/>
  <c r="AG13" i="7"/>
  <c r="AH12" i="7"/>
  <c r="Z15" i="7"/>
  <c r="AD15" i="7"/>
  <c r="AE14" i="7"/>
  <c r="AF13" i="7"/>
  <c r="AG12" i="7"/>
  <c r="AC15" i="7"/>
  <c r="AD14" i="7"/>
  <c r="AE13" i="7"/>
  <c r="AF12" i="7"/>
  <c r="Y13" i="7"/>
  <c r="AD35" i="7"/>
  <c r="AE34" i="7"/>
  <c r="AC35" i="7"/>
  <c r="AD34" i="7"/>
  <c r="AC34" i="7"/>
  <c r="AA35" i="7"/>
  <c r="AB34" i="7"/>
  <c r="Z35" i="7"/>
  <c r="AA34" i="7"/>
  <c r="AK35" i="7"/>
  <c r="Y35" i="7"/>
  <c r="Z34" i="7"/>
  <c r="AB35" i="7"/>
  <c r="AJ35" i="7"/>
  <c r="AK34" i="7"/>
  <c r="Y34" i="7"/>
  <c r="AI35" i="7"/>
  <c r="AJ34" i="7"/>
  <c r="AH35" i="7"/>
  <c r="AI34" i="7"/>
  <c r="AE35" i="7"/>
  <c r="AK53" i="7"/>
  <c r="Y53" i="7"/>
  <c r="AI53" i="7"/>
  <c r="AH53" i="7"/>
  <c r="AG53" i="7"/>
  <c r="AF53" i="7"/>
  <c r="AE53" i="7"/>
  <c r="AD53" i="7"/>
  <c r="AC53" i="7"/>
  <c r="AB53" i="7"/>
  <c r="AA53" i="7"/>
  <c r="AA73" i="7"/>
  <c r="Z73" i="7"/>
  <c r="AK73" i="7"/>
  <c r="Y73" i="7"/>
  <c r="AJ73" i="7"/>
  <c r="AI73" i="7"/>
  <c r="AH73" i="7"/>
  <c r="AG73" i="7"/>
  <c r="AF73" i="7"/>
  <c r="AE73" i="7"/>
  <c r="AD73" i="7"/>
  <c r="AJ110" i="7"/>
  <c r="AI110" i="7"/>
  <c r="AF111" i="7"/>
  <c r="AG110" i="7"/>
  <c r="AI108" i="7"/>
  <c r="AK106" i="7"/>
  <c r="Y106" i="7"/>
  <c r="AD111" i="7"/>
  <c r="AE110" i="7"/>
  <c r="AG108" i="7"/>
  <c r="AI106" i="7"/>
  <c r="AG111" i="7"/>
  <c r="AB111" i="7"/>
  <c r="AC110" i="7"/>
  <c r="AE108" i="7"/>
  <c r="AG106" i="7"/>
  <c r="AF108" i="7"/>
  <c r="AA111" i="7"/>
  <c r="AB110" i="7"/>
  <c r="AD108" i="7"/>
  <c r="AF106" i="7"/>
  <c r="Z111" i="7"/>
  <c r="AA110" i="7"/>
  <c r="AC108" i="7"/>
  <c r="AE106" i="7"/>
  <c r="AK111" i="7"/>
  <c r="Y111" i="7"/>
  <c r="Z110" i="7"/>
  <c r="AB108" i="7"/>
  <c r="AD106" i="7"/>
  <c r="AC111" i="7"/>
  <c r="AJ111" i="7"/>
  <c r="AK110" i="7"/>
  <c r="Y110" i="7"/>
  <c r="AA108" i="7"/>
  <c r="AC106" i="7"/>
  <c r="AE111" i="7"/>
  <c r="AD110" i="7"/>
  <c r="W36" i="4"/>
  <c r="W37" i="4"/>
  <c r="W3" i="3"/>
  <c r="W32" i="3"/>
  <c r="V88" i="6"/>
  <c r="B43" i="7"/>
  <c r="B74" i="7"/>
  <c r="W13" i="3"/>
  <c r="V84" i="6"/>
  <c r="W103" i="7" l="1"/>
  <c r="W64" i="7"/>
  <c r="W46" i="7"/>
  <c r="W25" i="7"/>
  <c r="W26" i="7"/>
  <c r="W27" i="7"/>
  <c r="W28" i="7"/>
  <c r="W29" i="7"/>
  <c r="W30" i="7"/>
  <c r="W31" i="7"/>
  <c r="W32" i="7"/>
  <c r="W33" i="7"/>
  <c r="W34" i="7"/>
  <c r="W35" i="7"/>
  <c r="W36" i="7"/>
  <c r="B100" i="7" l="1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B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B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B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B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R2" i="29"/>
  <c r="Q100" i="7" l="1"/>
  <c r="Q83" i="7"/>
  <c r="Q70" i="7"/>
  <c r="R70" i="7" s="1"/>
  <c r="Q43" i="7"/>
  <c r="R43" i="7" s="1"/>
  <c r="Q25" i="7"/>
  <c r="R25" i="7" s="1"/>
  <c r="Q14" i="7"/>
  <c r="R14" i="7" s="1"/>
  <c r="R28" i="29"/>
  <c r="Q28" i="29"/>
  <c r="P28" i="29"/>
  <c r="O28" i="29"/>
  <c r="N28" i="29"/>
  <c r="M28" i="29"/>
  <c r="L28" i="29"/>
  <c r="K28" i="29"/>
  <c r="J28" i="29"/>
  <c r="I28" i="29"/>
  <c r="H28" i="29"/>
  <c r="G28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E25" i="29"/>
  <c r="D25" i="29"/>
  <c r="V88" i="20"/>
  <c r="V85" i="20"/>
  <c r="V84" i="20"/>
  <c r="W69" i="5"/>
  <c r="W12" i="3"/>
  <c r="W31" i="3"/>
  <c r="W42" i="3"/>
  <c r="V93" i="19"/>
  <c r="R9" i="29" l="1"/>
  <c r="R16" i="29"/>
  <c r="R30" i="29"/>
  <c r="R23" i="29"/>
  <c r="S28" i="29"/>
  <c r="S27" i="29"/>
  <c r="S26" i="29"/>
  <c r="S25" i="29"/>
  <c r="C25" i="29"/>
  <c r="H80" i="1"/>
  <c r="W9" i="7"/>
  <c r="W65" i="7"/>
  <c r="W47" i="7"/>
  <c r="W104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D93" i="7"/>
  <c r="B93" i="7"/>
  <c r="E93" i="7"/>
  <c r="F93" i="7"/>
  <c r="G93" i="7"/>
  <c r="H93" i="7"/>
  <c r="I93" i="7"/>
  <c r="J93" i="7"/>
  <c r="K93" i="7"/>
  <c r="L93" i="7"/>
  <c r="M93" i="7"/>
  <c r="N93" i="7"/>
  <c r="O93" i="7"/>
  <c r="P93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B55" i="7"/>
  <c r="B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B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A64" i="3"/>
  <c r="B64" i="3"/>
  <c r="C64" i="3"/>
  <c r="D64" i="3"/>
  <c r="E64" i="3"/>
  <c r="F64" i="3"/>
  <c r="A65" i="3"/>
  <c r="B65" i="3"/>
  <c r="C65" i="3"/>
  <c r="D65" i="3"/>
  <c r="E65" i="3"/>
  <c r="F65" i="3"/>
  <c r="A66" i="3"/>
  <c r="B66" i="3"/>
  <c r="C66" i="3"/>
  <c r="D66" i="3"/>
  <c r="E66" i="3"/>
  <c r="F66" i="3"/>
  <c r="A64" i="4"/>
  <c r="B64" i="4"/>
  <c r="C64" i="4"/>
  <c r="D64" i="4"/>
  <c r="E64" i="4"/>
  <c r="F64" i="4"/>
  <c r="A65" i="4"/>
  <c r="B65" i="4"/>
  <c r="C65" i="4"/>
  <c r="D65" i="4"/>
  <c r="E65" i="4"/>
  <c r="F65" i="4"/>
  <c r="A37" i="4"/>
  <c r="B37" i="4"/>
  <c r="C37" i="4"/>
  <c r="D37" i="4"/>
  <c r="E37" i="4"/>
  <c r="F37" i="4"/>
  <c r="A87" i="5"/>
  <c r="B87" i="5"/>
  <c r="C87" i="5"/>
  <c r="D87" i="5"/>
  <c r="E87" i="5"/>
  <c r="F87" i="5"/>
  <c r="A88" i="5"/>
  <c r="B88" i="5"/>
  <c r="C88" i="5"/>
  <c r="D88" i="5"/>
  <c r="E88" i="5"/>
  <c r="F88" i="5"/>
  <c r="A89" i="5"/>
  <c r="B89" i="5"/>
  <c r="C89" i="5"/>
  <c r="D89" i="5"/>
  <c r="E89" i="5"/>
  <c r="F89" i="5"/>
  <c r="A92" i="2"/>
  <c r="B92" i="2"/>
  <c r="C92" i="2"/>
  <c r="D92" i="2"/>
  <c r="E92" i="2"/>
  <c r="F92" i="2"/>
  <c r="A64" i="2"/>
  <c r="B64" i="2"/>
  <c r="C64" i="2"/>
  <c r="D64" i="2"/>
  <c r="E64" i="2"/>
  <c r="F64" i="2"/>
  <c r="A86" i="2"/>
  <c r="B86" i="2"/>
  <c r="C86" i="2"/>
  <c r="D86" i="2"/>
  <c r="E86" i="2"/>
  <c r="F86" i="2"/>
  <c r="A90" i="19"/>
  <c r="B90" i="19"/>
  <c r="C90" i="19"/>
  <c r="D90" i="19"/>
  <c r="E90" i="19"/>
  <c r="F90" i="19"/>
  <c r="A91" i="19"/>
  <c r="B91" i="19"/>
  <c r="C91" i="19"/>
  <c r="D91" i="19"/>
  <c r="E91" i="19"/>
  <c r="F91" i="19"/>
  <c r="A92" i="19"/>
  <c r="B92" i="19"/>
  <c r="C92" i="19"/>
  <c r="D92" i="19"/>
  <c r="E92" i="19"/>
  <c r="F92" i="19"/>
  <c r="A85" i="20"/>
  <c r="B85" i="20"/>
  <c r="C85" i="20"/>
  <c r="D85" i="20"/>
  <c r="E85" i="20"/>
  <c r="F85" i="20"/>
  <c r="A84" i="20"/>
  <c r="B84" i="20"/>
  <c r="C84" i="20"/>
  <c r="D84" i="20"/>
  <c r="E84" i="20"/>
  <c r="F84" i="20"/>
  <c r="A88" i="20"/>
  <c r="B88" i="20"/>
  <c r="C88" i="20"/>
  <c r="D88" i="20"/>
  <c r="E88" i="20"/>
  <c r="F88" i="20"/>
  <c r="H78" i="1"/>
  <c r="I78" i="1" s="1"/>
  <c r="H42" i="1"/>
  <c r="H91" i="19" s="1"/>
  <c r="A78" i="1"/>
  <c r="B78" i="1"/>
  <c r="C78" i="1"/>
  <c r="D78" i="1"/>
  <c r="E78" i="1"/>
  <c r="F78" i="1"/>
  <c r="A42" i="1"/>
  <c r="B42" i="1"/>
  <c r="C42" i="1"/>
  <c r="D42" i="1"/>
  <c r="E42" i="1"/>
  <c r="F42" i="1"/>
  <c r="A80" i="1"/>
  <c r="B80" i="1"/>
  <c r="C80" i="1"/>
  <c r="D80" i="1"/>
  <c r="E80" i="1"/>
  <c r="F80" i="1"/>
  <c r="A92" i="6"/>
  <c r="B92" i="6"/>
  <c r="C92" i="6"/>
  <c r="D92" i="6"/>
  <c r="E92" i="6"/>
  <c r="F92" i="6"/>
  <c r="A88" i="6"/>
  <c r="B88" i="6"/>
  <c r="C88" i="6"/>
  <c r="D88" i="6"/>
  <c r="E88" i="6"/>
  <c r="F88" i="6"/>
  <c r="A84" i="6"/>
  <c r="B84" i="6"/>
  <c r="C84" i="6"/>
  <c r="D84" i="6"/>
  <c r="E84" i="6"/>
  <c r="F84" i="6"/>
  <c r="I62" i="13"/>
  <c r="J62" i="13" s="1"/>
  <c r="I75" i="13"/>
  <c r="J75" i="13" s="1"/>
  <c r="I103" i="13"/>
  <c r="J103" i="13" s="1"/>
  <c r="H104" i="7"/>
  <c r="I80" i="1" l="1"/>
  <c r="H84" i="6"/>
  <c r="I84" i="6" s="1"/>
  <c r="I64" i="3"/>
  <c r="J64" i="3" s="1"/>
  <c r="I37" i="4"/>
  <c r="J37" i="4" s="1"/>
  <c r="W80" i="1"/>
  <c r="X80" i="1" s="1"/>
  <c r="H86" i="2" s="1"/>
  <c r="H88" i="6"/>
  <c r="I88" i="6" s="1"/>
  <c r="H92" i="6"/>
  <c r="I92" i="6" s="1"/>
  <c r="W78" i="1"/>
  <c r="X78" i="1" s="1"/>
  <c r="H88" i="20"/>
  <c r="I88" i="20" s="1"/>
  <c r="H85" i="20"/>
  <c r="I85" i="20" s="1"/>
  <c r="I86" i="2"/>
  <c r="W86" i="2" s="1"/>
  <c r="I64" i="4"/>
  <c r="J64" i="4" s="1"/>
  <c r="H92" i="19"/>
  <c r="I92" i="19" s="1"/>
  <c r="I89" i="5"/>
  <c r="J89" i="5" s="1"/>
  <c r="H90" i="19"/>
  <c r="I90" i="19" s="1"/>
  <c r="I92" i="2"/>
  <c r="W92" i="2" s="1"/>
  <c r="I87" i="5"/>
  <c r="J87" i="5" s="1"/>
  <c r="I66" i="3"/>
  <c r="J66" i="3" s="1"/>
  <c r="I64" i="2"/>
  <c r="W64" i="2" s="1"/>
  <c r="I88" i="5"/>
  <c r="J88" i="5" s="1"/>
  <c r="Q112" i="7"/>
  <c r="I91" i="19"/>
  <c r="W91" i="19"/>
  <c r="H84" i="20"/>
  <c r="I84" i="20" s="1"/>
  <c r="I65" i="4"/>
  <c r="J65" i="4" s="1"/>
  <c r="I65" i="3"/>
  <c r="J65" i="3" s="1"/>
  <c r="I42" i="1"/>
  <c r="W42" i="1"/>
  <c r="X42" i="1" s="1"/>
  <c r="Q93" i="7"/>
  <c r="Q74" i="7"/>
  <c r="R74" i="7" s="1"/>
  <c r="Q55" i="7"/>
  <c r="R55" i="7" s="1"/>
  <c r="Q17" i="7"/>
  <c r="R17" i="7" s="1"/>
  <c r="Q36" i="7"/>
  <c r="R36" i="7" s="1"/>
  <c r="V91" i="2"/>
  <c r="V92" i="20"/>
  <c r="W62" i="3"/>
  <c r="W48" i="3"/>
  <c r="W63" i="3"/>
  <c r="W45" i="3"/>
  <c r="W52" i="3"/>
  <c r="W84" i="6" l="1"/>
  <c r="X64" i="3"/>
  <c r="H66" i="3"/>
  <c r="X37" i="4"/>
  <c r="W88" i="6"/>
  <c r="X87" i="5"/>
  <c r="X66" i="3"/>
  <c r="W92" i="6"/>
  <c r="W85" i="20"/>
  <c r="W90" i="19"/>
  <c r="W88" i="20"/>
  <c r="H89" i="5"/>
  <c r="H37" i="4"/>
  <c r="X64" i="4"/>
  <c r="W92" i="19"/>
  <c r="X89" i="5"/>
  <c r="H92" i="2"/>
  <c r="H64" i="4"/>
  <c r="H64" i="3"/>
  <c r="H87" i="5"/>
  <c r="W84" i="20"/>
  <c r="X88" i="5"/>
  <c r="X65" i="4"/>
  <c r="X65" i="3"/>
  <c r="H65" i="4"/>
  <c r="H65" i="3"/>
  <c r="H88" i="5"/>
  <c r="H64" i="2"/>
  <c r="K19" i="29"/>
  <c r="W81" i="5"/>
  <c r="W43" i="3"/>
  <c r="W51" i="3"/>
  <c r="W53" i="3"/>
  <c r="V87" i="6"/>
  <c r="W85" i="5"/>
  <c r="W68" i="5"/>
  <c r="W6" i="3"/>
  <c r="W38" i="3"/>
  <c r="W54" i="3"/>
  <c r="V83" i="6"/>
  <c r="V71" i="2"/>
  <c r="V75" i="2"/>
  <c r="W112" i="7"/>
  <c r="W111" i="7"/>
  <c r="W110" i="7"/>
  <c r="W109" i="7"/>
  <c r="W108" i="7"/>
  <c r="W107" i="7"/>
  <c r="W106" i="7"/>
  <c r="W105" i="7"/>
  <c r="W102" i="7"/>
  <c r="W101" i="7"/>
  <c r="W100" i="7"/>
  <c r="W99" i="7"/>
  <c r="AG95" i="7"/>
  <c r="AF95" i="7"/>
  <c r="W93" i="7"/>
  <c r="W92" i="7"/>
  <c r="W91" i="7"/>
  <c r="W84" i="7"/>
  <c r="W83" i="7"/>
  <c r="AJ95" i="7"/>
  <c r="AI95" i="7"/>
  <c r="W82" i="7"/>
  <c r="W81" i="7"/>
  <c r="AH95" i="7"/>
  <c r="AE95" i="7"/>
  <c r="AD95" i="7"/>
  <c r="AC95" i="7"/>
  <c r="AB95" i="7"/>
  <c r="AA95" i="7"/>
  <c r="Z95" i="7"/>
  <c r="W80" i="7"/>
  <c r="AJ76" i="7"/>
  <c r="AI76" i="7"/>
  <c r="W74" i="7"/>
  <c r="W73" i="7"/>
  <c r="W72" i="7"/>
  <c r="W71" i="7"/>
  <c r="W70" i="7"/>
  <c r="W69" i="7"/>
  <c r="W68" i="7"/>
  <c r="W67" i="7"/>
  <c r="W66" i="7"/>
  <c r="W63" i="7"/>
  <c r="W62" i="7"/>
  <c r="AH76" i="7"/>
  <c r="AG76" i="7"/>
  <c r="AF76" i="7"/>
  <c r="AE76" i="7"/>
  <c r="AD76" i="7"/>
  <c r="W61" i="7"/>
  <c r="W55" i="7"/>
  <c r="W54" i="7"/>
  <c r="W53" i="7"/>
  <c r="W52" i="7"/>
  <c r="W51" i="7"/>
  <c r="W50" i="7"/>
  <c r="W49" i="7"/>
  <c r="W48" i="7"/>
  <c r="W45" i="7"/>
  <c r="W44" i="7"/>
  <c r="AE57" i="7"/>
  <c r="AD57" i="7"/>
  <c r="W43" i="7"/>
  <c r="AJ57" i="7"/>
  <c r="AI57" i="7"/>
  <c r="AH57" i="7"/>
  <c r="AG57" i="7"/>
  <c r="AF57" i="7"/>
  <c r="W42" i="7"/>
  <c r="AD38" i="7"/>
  <c r="AF38" i="7"/>
  <c r="AH38" i="7"/>
  <c r="AG38" i="7"/>
  <c r="W24" i="7"/>
  <c r="AJ38" i="7"/>
  <c r="AI38" i="7"/>
  <c r="AE38" i="7"/>
  <c r="W23" i="7"/>
  <c r="AG19" i="7"/>
  <c r="AF19" i="7"/>
  <c r="W17" i="7"/>
  <c r="W16" i="7"/>
  <c r="W15" i="7"/>
  <c r="W14" i="7"/>
  <c r="W13" i="7"/>
  <c r="W12" i="7"/>
  <c r="W11" i="7"/>
  <c r="W10" i="7"/>
  <c r="W7" i="7"/>
  <c r="AI19" i="7"/>
  <c r="W6" i="7"/>
  <c r="AJ19" i="7"/>
  <c r="W5" i="7"/>
  <c r="AH19" i="7"/>
  <c r="AE19" i="7"/>
  <c r="AD19" i="7"/>
  <c r="W4" i="7"/>
  <c r="V70" i="6"/>
  <c r="V91" i="1"/>
  <c r="W27" i="3"/>
  <c r="A91" i="2"/>
  <c r="B91" i="2"/>
  <c r="C91" i="2"/>
  <c r="D91" i="2"/>
  <c r="E91" i="2"/>
  <c r="F91" i="2"/>
  <c r="A85" i="5"/>
  <c r="B85" i="5"/>
  <c r="C85" i="5"/>
  <c r="D85" i="5"/>
  <c r="E85" i="5"/>
  <c r="F85" i="5"/>
  <c r="A91" i="4"/>
  <c r="B91" i="4"/>
  <c r="C91" i="4"/>
  <c r="D91" i="4"/>
  <c r="E91" i="4"/>
  <c r="F91" i="4"/>
  <c r="A90" i="3"/>
  <c r="B90" i="3"/>
  <c r="C90" i="3"/>
  <c r="D90" i="3"/>
  <c r="E90" i="3"/>
  <c r="F90" i="3"/>
  <c r="A87" i="6"/>
  <c r="B87" i="6"/>
  <c r="C87" i="6"/>
  <c r="D87" i="6"/>
  <c r="E87" i="6"/>
  <c r="F87" i="6"/>
  <c r="W60" i="4"/>
  <c r="W58" i="4"/>
  <c r="W14" i="3"/>
  <c r="D66" i="7"/>
  <c r="W38" i="5"/>
  <c r="Y114" i="7" l="1"/>
  <c r="AC38" i="7"/>
  <c r="AK95" i="7"/>
  <c r="Y95" i="7"/>
  <c r="A73" i="19"/>
  <c r="B73" i="19"/>
  <c r="C73" i="19"/>
  <c r="D73" i="19"/>
  <c r="E73" i="19"/>
  <c r="F73" i="19"/>
  <c r="V73" i="19"/>
  <c r="V66" i="20"/>
  <c r="V73" i="20"/>
  <c r="V87" i="19"/>
  <c r="W32" i="5"/>
  <c r="W29" i="5"/>
  <c r="W41" i="4"/>
  <c r="A73" i="20"/>
  <c r="B73" i="20"/>
  <c r="C73" i="20"/>
  <c r="D73" i="20"/>
  <c r="E73" i="20"/>
  <c r="F73" i="20"/>
  <c r="A66" i="20"/>
  <c r="B66" i="20"/>
  <c r="C66" i="20"/>
  <c r="D66" i="20"/>
  <c r="E66" i="20"/>
  <c r="F66" i="20"/>
  <c r="A87" i="19"/>
  <c r="B87" i="19"/>
  <c r="C87" i="19"/>
  <c r="D87" i="19"/>
  <c r="E87" i="19"/>
  <c r="F87" i="19"/>
  <c r="A75" i="2"/>
  <c r="B75" i="2"/>
  <c r="C75" i="2"/>
  <c r="D75" i="2"/>
  <c r="E75" i="2"/>
  <c r="F75" i="2"/>
  <c r="A71" i="2"/>
  <c r="B71" i="2"/>
  <c r="C71" i="2"/>
  <c r="D71" i="2"/>
  <c r="E71" i="2"/>
  <c r="F71" i="2"/>
  <c r="A32" i="5"/>
  <c r="B32" i="5"/>
  <c r="C32" i="5"/>
  <c r="D32" i="5"/>
  <c r="E32" i="5"/>
  <c r="F32" i="5"/>
  <c r="A29" i="5"/>
  <c r="B29" i="5"/>
  <c r="C29" i="5"/>
  <c r="D29" i="5"/>
  <c r="E29" i="5"/>
  <c r="F29" i="5"/>
  <c r="A69" i="4"/>
  <c r="B69" i="4"/>
  <c r="C69" i="4"/>
  <c r="D69" i="4"/>
  <c r="E69" i="4"/>
  <c r="F69" i="4"/>
  <c r="A41" i="4"/>
  <c r="B41" i="4"/>
  <c r="C41" i="4"/>
  <c r="D41" i="4"/>
  <c r="E41" i="4"/>
  <c r="F41" i="4"/>
  <c r="A67" i="3"/>
  <c r="B67" i="3"/>
  <c r="C67" i="3"/>
  <c r="D67" i="3"/>
  <c r="E67" i="3"/>
  <c r="F67" i="3"/>
  <c r="A68" i="3"/>
  <c r="B68" i="3"/>
  <c r="C68" i="3"/>
  <c r="D68" i="3"/>
  <c r="E68" i="3"/>
  <c r="F68" i="3"/>
  <c r="V66" i="6"/>
  <c r="V25" i="6"/>
  <c r="A66" i="6"/>
  <c r="B66" i="6"/>
  <c r="C66" i="6"/>
  <c r="D66" i="6"/>
  <c r="E66" i="6"/>
  <c r="F66" i="6"/>
  <c r="A25" i="6"/>
  <c r="B25" i="6"/>
  <c r="C25" i="6"/>
  <c r="D25" i="6"/>
  <c r="E25" i="6"/>
  <c r="F25" i="6"/>
  <c r="W58" i="3"/>
  <c r="W41" i="3"/>
  <c r="W28" i="3"/>
  <c r="C4" i="17"/>
  <c r="O36" i="37"/>
  <c r="G36" i="37"/>
  <c r="O35" i="37"/>
  <c r="G35" i="37"/>
  <c r="O34" i="37"/>
  <c r="G34" i="37"/>
  <c r="O30" i="37"/>
  <c r="G30" i="37"/>
  <c r="O29" i="37"/>
  <c r="G29" i="37"/>
  <c r="O28" i="37"/>
  <c r="G28" i="37"/>
  <c r="O27" i="37"/>
  <c r="G27" i="37"/>
  <c r="O26" i="37"/>
  <c r="G26" i="37"/>
  <c r="O25" i="37"/>
  <c r="G25" i="37"/>
  <c r="O24" i="37"/>
  <c r="G24" i="37"/>
  <c r="O23" i="37"/>
  <c r="G23" i="37"/>
  <c r="O22" i="37"/>
  <c r="G22" i="37"/>
  <c r="O18" i="37"/>
  <c r="G18" i="37"/>
  <c r="O17" i="37"/>
  <c r="G17" i="37"/>
  <c r="O16" i="37"/>
  <c r="G16" i="37"/>
  <c r="O12" i="37"/>
  <c r="G12" i="37"/>
  <c r="O11" i="37"/>
  <c r="G11" i="37"/>
  <c r="O10" i="37"/>
  <c r="G10" i="37"/>
  <c r="O9" i="37"/>
  <c r="G9" i="37"/>
  <c r="O8" i="37"/>
  <c r="G8" i="37"/>
  <c r="O7" i="37"/>
  <c r="G7" i="37"/>
  <c r="O6" i="37"/>
  <c r="G6" i="37"/>
  <c r="O5" i="37"/>
  <c r="G5" i="37"/>
  <c r="O4" i="37"/>
  <c r="G4" i="37"/>
  <c r="AC76" i="7" l="1"/>
  <c r="AC57" i="7"/>
  <c r="AC19" i="7"/>
  <c r="Y57" i="7"/>
  <c r="Z114" i="7"/>
  <c r="AD114" i="7"/>
  <c r="AA114" i="7"/>
  <c r="Y76" i="7"/>
  <c r="AG114" i="7"/>
  <c r="AC114" i="7"/>
  <c r="AB114" i="7"/>
  <c r="AJ114" i="7"/>
  <c r="AE114" i="7"/>
  <c r="AH114" i="7"/>
  <c r="AF114" i="7"/>
  <c r="AK76" i="7"/>
  <c r="AB76" i="7"/>
  <c r="Z57" i="7"/>
  <c r="Z76" i="7"/>
  <c r="AA76" i="7"/>
  <c r="AA57" i="7"/>
  <c r="AK57" i="7"/>
  <c r="AB57" i="7"/>
  <c r="Y19" i="7"/>
  <c r="AK19" i="7"/>
  <c r="AK38" i="7"/>
  <c r="AA38" i="7"/>
  <c r="Y38" i="7"/>
  <c r="AB38" i="7"/>
  <c r="Z38" i="7"/>
  <c r="AI114" i="7"/>
  <c r="Z19" i="7"/>
  <c r="AA19" i="7"/>
  <c r="AB19" i="7"/>
  <c r="I78" i="13"/>
  <c r="J78" i="13" s="1"/>
  <c r="H86" i="5"/>
  <c r="H81" i="5"/>
  <c r="H96" i="5"/>
  <c r="H97" i="5"/>
  <c r="H98" i="5"/>
  <c r="H99" i="5"/>
  <c r="H100" i="5"/>
  <c r="H101" i="5"/>
  <c r="H102" i="5"/>
  <c r="H103" i="5"/>
  <c r="H104" i="5"/>
  <c r="A94" i="20"/>
  <c r="B94" i="20"/>
  <c r="C94" i="20"/>
  <c r="D94" i="20"/>
  <c r="E94" i="20"/>
  <c r="F94" i="20"/>
  <c r="A95" i="20"/>
  <c r="B95" i="20"/>
  <c r="C95" i="20"/>
  <c r="D95" i="20"/>
  <c r="E95" i="20"/>
  <c r="F95" i="20"/>
  <c r="A99" i="19"/>
  <c r="B99" i="19"/>
  <c r="C99" i="19"/>
  <c r="D99" i="19"/>
  <c r="E99" i="19"/>
  <c r="F99" i="19"/>
  <c r="A98" i="19"/>
  <c r="B98" i="19"/>
  <c r="C98" i="19"/>
  <c r="D98" i="19"/>
  <c r="E98" i="19"/>
  <c r="F98" i="19"/>
  <c r="A99" i="1"/>
  <c r="B99" i="1"/>
  <c r="C99" i="1"/>
  <c r="D99" i="1"/>
  <c r="E99" i="1"/>
  <c r="F99" i="1"/>
  <c r="A100" i="1"/>
  <c r="B100" i="1"/>
  <c r="C100" i="1"/>
  <c r="D100" i="1"/>
  <c r="E100" i="1"/>
  <c r="F100" i="1"/>
  <c r="H100" i="1"/>
  <c r="I100" i="1" s="1"/>
  <c r="A100" i="2"/>
  <c r="B100" i="2"/>
  <c r="C100" i="2"/>
  <c r="D100" i="2"/>
  <c r="E100" i="2"/>
  <c r="F100" i="2"/>
  <c r="A101" i="2"/>
  <c r="B101" i="2"/>
  <c r="C101" i="2"/>
  <c r="D101" i="2"/>
  <c r="E101" i="2"/>
  <c r="F101" i="2"/>
  <c r="A92" i="5"/>
  <c r="B92" i="5"/>
  <c r="C92" i="5"/>
  <c r="D92" i="5"/>
  <c r="E92" i="5"/>
  <c r="F92" i="5"/>
  <c r="A93" i="5"/>
  <c r="B93" i="5"/>
  <c r="C93" i="5"/>
  <c r="D93" i="5"/>
  <c r="E93" i="5"/>
  <c r="F93" i="5"/>
  <c r="A92" i="4"/>
  <c r="B92" i="4"/>
  <c r="C92" i="4"/>
  <c r="D92" i="4"/>
  <c r="E92" i="4"/>
  <c r="F92" i="4"/>
  <c r="A93" i="4"/>
  <c r="B93" i="4"/>
  <c r="C93" i="4"/>
  <c r="D93" i="4"/>
  <c r="E93" i="4"/>
  <c r="F93" i="4"/>
  <c r="A92" i="3"/>
  <c r="B92" i="3"/>
  <c r="C92" i="3"/>
  <c r="D92" i="3"/>
  <c r="E92" i="3"/>
  <c r="F92" i="3"/>
  <c r="A93" i="3"/>
  <c r="B93" i="3"/>
  <c r="C93" i="3"/>
  <c r="D93" i="3"/>
  <c r="E93" i="3"/>
  <c r="F93" i="3"/>
  <c r="A103" i="6"/>
  <c r="B103" i="6"/>
  <c r="C103" i="6"/>
  <c r="D103" i="6"/>
  <c r="E103" i="6"/>
  <c r="F103" i="6"/>
  <c r="A99" i="6"/>
  <c r="B99" i="6"/>
  <c r="C99" i="6"/>
  <c r="D99" i="6"/>
  <c r="E99" i="6"/>
  <c r="F99" i="6"/>
  <c r="I32" i="13"/>
  <c r="J32" i="13" s="1"/>
  <c r="D5" i="3"/>
  <c r="E5" i="3"/>
  <c r="V2" i="6"/>
  <c r="U79" i="7"/>
  <c r="W56" i="3"/>
  <c r="AK114" i="7" l="1"/>
  <c r="H99" i="1"/>
  <c r="I92" i="5" s="1"/>
  <c r="J92" i="5" s="1"/>
  <c r="W100" i="1"/>
  <c r="X100" i="1" s="1"/>
  <c r="H93" i="5" s="1"/>
  <c r="H98" i="19"/>
  <c r="I98" i="19" s="1"/>
  <c r="I93" i="3"/>
  <c r="J93" i="3" s="1"/>
  <c r="I93" i="4"/>
  <c r="J93" i="4" s="1"/>
  <c r="I93" i="5"/>
  <c r="J93" i="5" s="1"/>
  <c r="H103" i="6"/>
  <c r="I103" i="6" s="1"/>
  <c r="I101" i="2"/>
  <c r="W101" i="2" s="1"/>
  <c r="H95" i="20"/>
  <c r="I95" i="20" s="1"/>
  <c r="I92" i="3"/>
  <c r="J92" i="3" s="1"/>
  <c r="W2" i="3"/>
  <c r="W50" i="3"/>
  <c r="W49" i="3"/>
  <c r="W57" i="3"/>
  <c r="W36" i="5"/>
  <c r="W35" i="3"/>
  <c r="E18" i="29"/>
  <c r="D18" i="29"/>
  <c r="E11" i="29"/>
  <c r="D11" i="29"/>
  <c r="E4" i="29"/>
  <c r="D4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R7" i="29"/>
  <c r="Q7" i="29"/>
  <c r="Q35" i="29" s="1"/>
  <c r="P7" i="29"/>
  <c r="P35" i="29" s="1"/>
  <c r="O7" i="29"/>
  <c r="O35" i="29" s="1"/>
  <c r="N7" i="29"/>
  <c r="N35" i="29" s="1"/>
  <c r="M7" i="29"/>
  <c r="L7" i="29"/>
  <c r="K7" i="29"/>
  <c r="J7" i="29"/>
  <c r="I7" i="29"/>
  <c r="H7" i="29"/>
  <c r="G7" i="29"/>
  <c r="Q20" i="29"/>
  <c r="P20" i="29"/>
  <c r="R20" i="29"/>
  <c r="O20" i="29"/>
  <c r="N20" i="29"/>
  <c r="M20" i="29"/>
  <c r="L20" i="29"/>
  <c r="K20" i="29"/>
  <c r="J20" i="29"/>
  <c r="I20" i="29"/>
  <c r="H20" i="29"/>
  <c r="G20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R6" i="29"/>
  <c r="Q6" i="29"/>
  <c r="P6" i="29"/>
  <c r="O6" i="29"/>
  <c r="N6" i="29"/>
  <c r="N34" i="29" s="1"/>
  <c r="M6" i="29"/>
  <c r="L6" i="29"/>
  <c r="L34" i="29" s="1"/>
  <c r="K6" i="29"/>
  <c r="J6" i="29"/>
  <c r="I6" i="29"/>
  <c r="H6" i="29"/>
  <c r="G6" i="29"/>
  <c r="R19" i="29"/>
  <c r="Q19" i="29"/>
  <c r="P19" i="29"/>
  <c r="O19" i="29"/>
  <c r="N19" i="29"/>
  <c r="M19" i="29"/>
  <c r="L19" i="29"/>
  <c r="J19" i="29"/>
  <c r="I19" i="29"/>
  <c r="H19" i="29"/>
  <c r="G19" i="29"/>
  <c r="G18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G11" i="29"/>
  <c r="R5" i="29"/>
  <c r="Q5" i="29"/>
  <c r="P5" i="29"/>
  <c r="O5" i="29"/>
  <c r="N5" i="29"/>
  <c r="M5" i="29"/>
  <c r="L5" i="29"/>
  <c r="K5" i="29"/>
  <c r="J5" i="29"/>
  <c r="I5" i="29"/>
  <c r="H5" i="29"/>
  <c r="G5" i="29"/>
  <c r="R18" i="29"/>
  <c r="Q18" i="29"/>
  <c r="P18" i="29"/>
  <c r="O18" i="29"/>
  <c r="N18" i="29"/>
  <c r="M18" i="29"/>
  <c r="L18" i="29"/>
  <c r="K18" i="29"/>
  <c r="J18" i="29"/>
  <c r="I18" i="29"/>
  <c r="H18" i="29"/>
  <c r="R11" i="29"/>
  <c r="Q11" i="29"/>
  <c r="P11" i="29"/>
  <c r="O11" i="29"/>
  <c r="N11" i="29"/>
  <c r="M11" i="29"/>
  <c r="L11" i="29"/>
  <c r="K11" i="29"/>
  <c r="J11" i="29"/>
  <c r="I11" i="29"/>
  <c r="H11" i="29"/>
  <c r="R4" i="29"/>
  <c r="Q4" i="29"/>
  <c r="P4" i="29"/>
  <c r="O4" i="29"/>
  <c r="N4" i="29"/>
  <c r="M4" i="29"/>
  <c r="L4" i="29"/>
  <c r="K4" i="29"/>
  <c r="J4" i="29"/>
  <c r="I4" i="29"/>
  <c r="H4" i="29"/>
  <c r="G4" i="29"/>
  <c r="Q18" i="16"/>
  <c r="P18" i="16"/>
  <c r="N18" i="16"/>
  <c r="M18" i="16"/>
  <c r="K18" i="16"/>
  <c r="J18" i="16"/>
  <c r="H18" i="16"/>
  <c r="G18" i="16"/>
  <c r="F18" i="16"/>
  <c r="E18" i="16"/>
  <c r="D18" i="16"/>
  <c r="Q17" i="16"/>
  <c r="P17" i="16"/>
  <c r="N17" i="16"/>
  <c r="M17" i="16"/>
  <c r="K17" i="16"/>
  <c r="J17" i="16"/>
  <c r="H17" i="16"/>
  <c r="G17" i="16"/>
  <c r="F17" i="16"/>
  <c r="E17" i="16"/>
  <c r="D17" i="16"/>
  <c r="Q16" i="16"/>
  <c r="P16" i="16"/>
  <c r="N16" i="16"/>
  <c r="M16" i="16"/>
  <c r="K16" i="16"/>
  <c r="J16" i="16"/>
  <c r="H16" i="16"/>
  <c r="G16" i="16"/>
  <c r="F16" i="16"/>
  <c r="E16" i="16"/>
  <c r="D16" i="16"/>
  <c r="Q15" i="16"/>
  <c r="P15" i="16"/>
  <c r="N15" i="16"/>
  <c r="M15" i="16"/>
  <c r="K15" i="16"/>
  <c r="J15" i="16"/>
  <c r="H15" i="16"/>
  <c r="G15" i="16"/>
  <c r="F15" i="16"/>
  <c r="E15" i="16"/>
  <c r="D15" i="16"/>
  <c r="Q14" i="16"/>
  <c r="P14" i="16"/>
  <c r="N14" i="16"/>
  <c r="M14" i="16"/>
  <c r="K14" i="16"/>
  <c r="J14" i="16"/>
  <c r="H14" i="16"/>
  <c r="G14" i="16"/>
  <c r="F14" i="16"/>
  <c r="E14" i="16"/>
  <c r="D14" i="16"/>
  <c r="Q13" i="16"/>
  <c r="P13" i="16"/>
  <c r="N13" i="16"/>
  <c r="M13" i="16"/>
  <c r="K13" i="16"/>
  <c r="J13" i="16"/>
  <c r="H13" i="16"/>
  <c r="G13" i="16"/>
  <c r="F13" i="16"/>
  <c r="E13" i="16"/>
  <c r="D13" i="16"/>
  <c r="Q12" i="16"/>
  <c r="P12" i="16"/>
  <c r="N12" i="16"/>
  <c r="M12" i="16"/>
  <c r="K12" i="16"/>
  <c r="J12" i="16"/>
  <c r="H12" i="16"/>
  <c r="G12" i="16"/>
  <c r="F12" i="16"/>
  <c r="E12" i="16"/>
  <c r="D12" i="16"/>
  <c r="Q10" i="16"/>
  <c r="P10" i="16"/>
  <c r="N10" i="16"/>
  <c r="M10" i="16"/>
  <c r="K10" i="16"/>
  <c r="J10" i="16"/>
  <c r="H10" i="16"/>
  <c r="G10" i="16"/>
  <c r="F10" i="16"/>
  <c r="E10" i="16"/>
  <c r="D10" i="16"/>
  <c r="Q9" i="16"/>
  <c r="P9" i="16"/>
  <c r="N9" i="16"/>
  <c r="M9" i="16"/>
  <c r="K9" i="16"/>
  <c r="J9" i="16"/>
  <c r="H9" i="16"/>
  <c r="G9" i="16"/>
  <c r="F9" i="16"/>
  <c r="E9" i="16"/>
  <c r="D9" i="16"/>
  <c r="Q7" i="16"/>
  <c r="P7" i="16"/>
  <c r="N7" i="16"/>
  <c r="M7" i="16"/>
  <c r="K7" i="16"/>
  <c r="J7" i="16"/>
  <c r="H7" i="16"/>
  <c r="G7" i="16"/>
  <c r="F7" i="16"/>
  <c r="E7" i="16"/>
  <c r="D7" i="16"/>
  <c r="Q6" i="16"/>
  <c r="P6" i="16"/>
  <c r="N6" i="16"/>
  <c r="M6" i="16"/>
  <c r="K6" i="16"/>
  <c r="J6" i="16"/>
  <c r="H6" i="16"/>
  <c r="G6" i="16"/>
  <c r="F6" i="16"/>
  <c r="E6" i="16"/>
  <c r="D6" i="16"/>
  <c r="Q5" i="16"/>
  <c r="P5" i="16"/>
  <c r="N5" i="16"/>
  <c r="M5" i="16"/>
  <c r="K5" i="16"/>
  <c r="J5" i="16"/>
  <c r="H5" i="16"/>
  <c r="G5" i="16"/>
  <c r="F5" i="16"/>
  <c r="E5" i="16"/>
  <c r="D5" i="16"/>
  <c r="V68" i="1"/>
  <c r="V84" i="1"/>
  <c r="W46" i="3"/>
  <c r="V77" i="1"/>
  <c r="K4" i="17"/>
  <c r="G4" i="17"/>
  <c r="M4" i="17"/>
  <c r="E7" i="17"/>
  <c r="F7" i="17"/>
  <c r="L35" i="29" l="1"/>
  <c r="J34" i="29"/>
  <c r="M34" i="29"/>
  <c r="K34" i="29"/>
  <c r="I35" i="29"/>
  <c r="M35" i="29"/>
  <c r="R34" i="29"/>
  <c r="D38" i="29"/>
  <c r="D41" i="29" s="1"/>
  <c r="J35" i="29"/>
  <c r="K35" i="29"/>
  <c r="O34" i="29"/>
  <c r="R35" i="29"/>
  <c r="P33" i="29"/>
  <c r="L33" i="29"/>
  <c r="I33" i="29"/>
  <c r="O33" i="29"/>
  <c r="G35" i="29"/>
  <c r="J33" i="29"/>
  <c r="H34" i="29"/>
  <c r="N33" i="29"/>
  <c r="P32" i="29"/>
  <c r="G34" i="29"/>
  <c r="G32" i="29"/>
  <c r="M33" i="29"/>
  <c r="R33" i="29"/>
  <c r="Q34" i="29"/>
  <c r="I32" i="29"/>
  <c r="K33" i="29"/>
  <c r="E38" i="29"/>
  <c r="E40" i="29" s="1"/>
  <c r="H35" i="29"/>
  <c r="H32" i="29"/>
  <c r="I34" i="29"/>
  <c r="M32" i="29"/>
  <c r="L32" i="29"/>
  <c r="N32" i="29"/>
  <c r="J32" i="29"/>
  <c r="K32" i="29"/>
  <c r="O32" i="29"/>
  <c r="Q33" i="29"/>
  <c r="P34" i="29"/>
  <c r="Q32" i="29"/>
  <c r="G33" i="29"/>
  <c r="R32" i="29"/>
  <c r="H33" i="29"/>
  <c r="D32" i="29"/>
  <c r="E32" i="29"/>
  <c r="H93" i="3"/>
  <c r="H93" i="4"/>
  <c r="H101" i="2"/>
  <c r="X93" i="3"/>
  <c r="W98" i="19"/>
  <c r="X93" i="4"/>
  <c r="X93" i="5"/>
  <c r="W103" i="6"/>
  <c r="I99" i="1"/>
  <c r="I100" i="2"/>
  <c r="W100" i="2" s="1"/>
  <c r="H99" i="6"/>
  <c r="H99" i="19"/>
  <c r="I99" i="19" s="1"/>
  <c r="W99" i="1"/>
  <c r="X99" i="1" s="1"/>
  <c r="I92" i="4"/>
  <c r="H94" i="20"/>
  <c r="I94" i="20" s="1"/>
  <c r="X92" i="5"/>
  <c r="W95" i="20"/>
  <c r="X92" i="3"/>
  <c r="I5" i="16"/>
  <c r="R17" i="16"/>
  <c r="L17" i="16"/>
  <c r="I17" i="16"/>
  <c r="O17" i="16"/>
  <c r="L16" i="16"/>
  <c r="I16" i="16"/>
  <c r="R16" i="16"/>
  <c r="O16" i="16"/>
  <c r="O13" i="16"/>
  <c r="L13" i="16"/>
  <c r="I13" i="16"/>
  <c r="R13" i="16"/>
  <c r="R14" i="16"/>
  <c r="L14" i="16"/>
  <c r="I14" i="16"/>
  <c r="O14" i="16"/>
  <c r="O12" i="16"/>
  <c r="R12" i="16"/>
  <c r="L12" i="16"/>
  <c r="I12" i="16"/>
  <c r="L9" i="16"/>
  <c r="O9" i="16"/>
  <c r="I9" i="16"/>
  <c r="R9" i="16"/>
  <c r="L10" i="16"/>
  <c r="R10" i="16"/>
  <c r="O10" i="16"/>
  <c r="I10" i="16"/>
  <c r="O7" i="16"/>
  <c r="I7" i="16"/>
  <c r="R7" i="16"/>
  <c r="L7" i="16"/>
  <c r="I15" i="16"/>
  <c r="L15" i="16"/>
  <c r="R15" i="16"/>
  <c r="O15" i="16"/>
  <c r="R6" i="16"/>
  <c r="L6" i="16"/>
  <c r="I6" i="16"/>
  <c r="O6" i="16"/>
  <c r="O5" i="16"/>
  <c r="R5" i="16"/>
  <c r="L5" i="16"/>
  <c r="R18" i="16"/>
  <c r="L18" i="16"/>
  <c r="I18" i="16"/>
  <c r="O18" i="16"/>
  <c r="C4" i="29"/>
  <c r="C18" i="29"/>
  <c r="C11" i="29"/>
  <c r="S21" i="29"/>
  <c r="S14" i="29"/>
  <c r="S7" i="29"/>
  <c r="S20" i="29"/>
  <c r="S13" i="29"/>
  <c r="S6" i="29"/>
  <c r="S19" i="29"/>
  <c r="S12" i="29"/>
  <c r="S5" i="29"/>
  <c r="N11" i="16"/>
  <c r="G11" i="16"/>
  <c r="J19" i="16"/>
  <c r="F11" i="16"/>
  <c r="S18" i="29"/>
  <c r="S11" i="29"/>
  <c r="S4" i="29"/>
  <c r="P11" i="16"/>
  <c r="M11" i="16"/>
  <c r="F19" i="16"/>
  <c r="P8" i="16"/>
  <c r="K11" i="16"/>
  <c r="Q8" i="16"/>
  <c r="E11" i="16"/>
  <c r="G19" i="16"/>
  <c r="H19" i="16"/>
  <c r="J11" i="16"/>
  <c r="K19" i="16"/>
  <c r="F8" i="16"/>
  <c r="M19" i="16"/>
  <c r="E8" i="16"/>
  <c r="N19" i="16"/>
  <c r="P19" i="16"/>
  <c r="K8" i="16"/>
  <c r="Q19" i="16"/>
  <c r="H11" i="16"/>
  <c r="Q11" i="16"/>
  <c r="H8" i="16"/>
  <c r="N8" i="16"/>
  <c r="E19" i="16"/>
  <c r="G8" i="16"/>
  <c r="J8" i="16"/>
  <c r="M8" i="16"/>
  <c r="D11" i="16"/>
  <c r="D19" i="16"/>
  <c r="D8" i="16"/>
  <c r="W61" i="4"/>
  <c r="W49" i="4"/>
  <c r="W34" i="4"/>
  <c r="W44" i="4"/>
  <c r="W24" i="3"/>
  <c r="W55" i="3"/>
  <c r="W17" i="3"/>
  <c r="W34" i="3"/>
  <c r="W10" i="3"/>
  <c r="W36" i="3"/>
  <c r="W44" i="3"/>
  <c r="W37" i="3"/>
  <c r="W47" i="3"/>
  <c r="A91" i="1"/>
  <c r="B91" i="1"/>
  <c r="C91" i="1"/>
  <c r="D91" i="1"/>
  <c r="E91" i="1"/>
  <c r="F91" i="1"/>
  <c r="A68" i="1"/>
  <c r="C68" i="1"/>
  <c r="D68" i="1"/>
  <c r="E68" i="1"/>
  <c r="F68" i="1"/>
  <c r="A84" i="1"/>
  <c r="B84" i="1"/>
  <c r="C84" i="1"/>
  <c r="D84" i="1"/>
  <c r="E84" i="1"/>
  <c r="F84" i="1"/>
  <c r="H91" i="1"/>
  <c r="H68" i="1"/>
  <c r="H73" i="19" s="1"/>
  <c r="H84" i="1"/>
  <c r="A93" i="19"/>
  <c r="B93" i="19"/>
  <c r="C93" i="19"/>
  <c r="D93" i="19"/>
  <c r="E93" i="19"/>
  <c r="F93" i="19"/>
  <c r="V85" i="19"/>
  <c r="A92" i="20"/>
  <c r="B92" i="20"/>
  <c r="C92" i="20"/>
  <c r="D92" i="20"/>
  <c r="E92" i="20"/>
  <c r="F92" i="20"/>
  <c r="H77" i="1"/>
  <c r="A68" i="6"/>
  <c r="B68" i="6"/>
  <c r="C68" i="6"/>
  <c r="D68" i="6"/>
  <c r="E68" i="6"/>
  <c r="F68" i="6"/>
  <c r="V68" i="6"/>
  <c r="A80" i="3"/>
  <c r="B80" i="3"/>
  <c r="C80" i="3"/>
  <c r="D80" i="3"/>
  <c r="E80" i="3"/>
  <c r="F80" i="3"/>
  <c r="H80" i="3"/>
  <c r="A70" i="4"/>
  <c r="B70" i="4"/>
  <c r="C70" i="4"/>
  <c r="D70" i="4"/>
  <c r="E70" i="4"/>
  <c r="F70" i="4"/>
  <c r="H70" i="4"/>
  <c r="A81" i="5"/>
  <c r="B81" i="5"/>
  <c r="C81" i="5"/>
  <c r="D81" i="5"/>
  <c r="E81" i="5"/>
  <c r="F81" i="5"/>
  <c r="V85" i="2"/>
  <c r="A85" i="2"/>
  <c r="B85" i="2"/>
  <c r="C85" i="2"/>
  <c r="D85" i="2"/>
  <c r="E85" i="2"/>
  <c r="F85" i="2"/>
  <c r="H85" i="2"/>
  <c r="V82" i="20"/>
  <c r="A85" i="19"/>
  <c r="B85" i="19"/>
  <c r="C85" i="19"/>
  <c r="D85" i="19"/>
  <c r="E85" i="19"/>
  <c r="F85" i="19"/>
  <c r="A77" i="1"/>
  <c r="B77" i="1"/>
  <c r="C77" i="1"/>
  <c r="D77" i="1"/>
  <c r="E77" i="1"/>
  <c r="F77" i="1"/>
  <c r="A82" i="20"/>
  <c r="B82" i="20"/>
  <c r="C82" i="20"/>
  <c r="D82" i="20"/>
  <c r="E82" i="20"/>
  <c r="F82" i="20"/>
  <c r="I5" i="13"/>
  <c r="J5" i="13" s="1"/>
  <c r="I26" i="13"/>
  <c r="J26" i="13" s="1"/>
  <c r="I83" i="13"/>
  <c r="J83" i="13" s="1"/>
  <c r="I70" i="13"/>
  <c r="J70" i="13" s="1"/>
  <c r="N32" i="17"/>
  <c r="M32" i="17"/>
  <c r="L32" i="17"/>
  <c r="K32" i="17"/>
  <c r="J32" i="17"/>
  <c r="I32" i="17"/>
  <c r="H32" i="17"/>
  <c r="G32" i="17"/>
  <c r="F32" i="17"/>
  <c r="E32" i="17"/>
  <c r="D32" i="17"/>
  <c r="C32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N33" i="17"/>
  <c r="M33" i="17"/>
  <c r="L33" i="17"/>
  <c r="K33" i="17"/>
  <c r="J33" i="17"/>
  <c r="I33" i="17"/>
  <c r="H33" i="17"/>
  <c r="G33" i="17"/>
  <c r="F33" i="17"/>
  <c r="D33" i="17"/>
  <c r="C33" i="17"/>
  <c r="I38" i="29" l="1"/>
  <c r="G38" i="29"/>
  <c r="F38" i="29"/>
  <c r="C38" i="29"/>
  <c r="H38" i="29"/>
  <c r="S34" i="29"/>
  <c r="S35" i="29"/>
  <c r="S32" i="29"/>
  <c r="H39" i="29"/>
  <c r="S33" i="29"/>
  <c r="U6" i="29"/>
  <c r="C32" i="29"/>
  <c r="U4" i="29"/>
  <c r="I91" i="1"/>
  <c r="H87" i="6"/>
  <c r="I87" i="6" s="1"/>
  <c r="I91" i="2"/>
  <c r="W91" i="2" s="1"/>
  <c r="I91" i="4"/>
  <c r="J91" i="4" s="1"/>
  <c r="I85" i="5"/>
  <c r="J85" i="5" s="1"/>
  <c r="I90" i="3"/>
  <c r="J90" i="3" s="1"/>
  <c r="G39" i="29"/>
  <c r="I40" i="29"/>
  <c r="F40" i="29"/>
  <c r="I73" i="19"/>
  <c r="W73" i="19"/>
  <c r="H87" i="19"/>
  <c r="I87" i="19" s="1"/>
  <c r="H73" i="20"/>
  <c r="I73" i="20" s="1"/>
  <c r="H66" i="20"/>
  <c r="I66" i="20" s="1"/>
  <c r="I84" i="1"/>
  <c r="I32" i="5"/>
  <c r="J32" i="5" s="1"/>
  <c r="I75" i="2"/>
  <c r="I67" i="3"/>
  <c r="J67" i="3" s="1"/>
  <c r="I69" i="4"/>
  <c r="J69" i="4" s="1"/>
  <c r="H66" i="6"/>
  <c r="I68" i="1"/>
  <c r="I41" i="4"/>
  <c r="J41" i="4" s="1"/>
  <c r="I71" i="2"/>
  <c r="I68" i="3"/>
  <c r="J68" i="3" s="1"/>
  <c r="H25" i="6"/>
  <c r="I29" i="5"/>
  <c r="J29" i="5" s="1"/>
  <c r="W99" i="19"/>
  <c r="W94" i="20"/>
  <c r="J92" i="4"/>
  <c r="X92" i="4"/>
  <c r="H92" i="5"/>
  <c r="H92" i="3"/>
  <c r="H100" i="2"/>
  <c r="H92" i="4"/>
  <c r="I99" i="6"/>
  <c r="W99" i="6"/>
  <c r="D40" i="29"/>
  <c r="E39" i="29"/>
  <c r="D39" i="29"/>
  <c r="E41" i="29"/>
  <c r="U7" i="29"/>
  <c r="U5" i="29"/>
  <c r="C40" i="29"/>
  <c r="P20" i="16"/>
  <c r="E20" i="16"/>
  <c r="F20" i="16"/>
  <c r="H20" i="16"/>
  <c r="Q20" i="16"/>
  <c r="M20" i="16"/>
  <c r="J20" i="16"/>
  <c r="G20" i="16"/>
  <c r="N20" i="16"/>
  <c r="L11" i="16"/>
  <c r="K20" i="16"/>
  <c r="L8" i="16"/>
  <c r="D20" i="16"/>
  <c r="O8" i="16"/>
  <c r="R19" i="16"/>
  <c r="I11" i="16"/>
  <c r="O11" i="16"/>
  <c r="R11" i="16"/>
  <c r="I8" i="16"/>
  <c r="R8" i="16"/>
  <c r="O19" i="16"/>
  <c r="L19" i="16"/>
  <c r="I19" i="16"/>
  <c r="W84" i="1"/>
  <c r="X84" i="1" s="1"/>
  <c r="W91" i="1"/>
  <c r="X91" i="1" s="1"/>
  <c r="H93" i="19"/>
  <c r="I93" i="19" s="1"/>
  <c r="H92" i="20"/>
  <c r="I92" i="20" s="1"/>
  <c r="W68" i="1"/>
  <c r="X68" i="1" s="1"/>
  <c r="I77" i="1"/>
  <c r="I80" i="3"/>
  <c r="J80" i="3" s="1"/>
  <c r="H85" i="19"/>
  <c r="I85" i="19" s="1"/>
  <c r="I81" i="5"/>
  <c r="J81" i="5" s="1"/>
  <c r="H68" i="6"/>
  <c r="I68" i="6" s="1"/>
  <c r="I85" i="2"/>
  <c r="W85" i="2" s="1"/>
  <c r="H82" i="20"/>
  <c r="I70" i="4"/>
  <c r="J70" i="4" s="1"/>
  <c r="C23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N23" i="17"/>
  <c r="M23" i="17"/>
  <c r="L23" i="17"/>
  <c r="K23" i="17"/>
  <c r="J23" i="17"/>
  <c r="I23" i="17"/>
  <c r="H23" i="17"/>
  <c r="G23" i="17"/>
  <c r="F23" i="17"/>
  <c r="E23" i="17"/>
  <c r="D23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H91" i="2" l="1"/>
  <c r="H91" i="4"/>
  <c r="H85" i="5"/>
  <c r="H90" i="3"/>
  <c r="I25" i="6"/>
  <c r="W25" i="6"/>
  <c r="H41" i="4"/>
  <c r="H71" i="2"/>
  <c r="H68" i="3"/>
  <c r="H29" i="5"/>
  <c r="I66" i="6"/>
  <c r="W66" i="6"/>
  <c r="H75" i="2"/>
  <c r="H67" i="3"/>
  <c r="H32" i="5"/>
  <c r="H69" i="4"/>
  <c r="F39" i="29"/>
  <c r="C39" i="29"/>
  <c r="C41" i="29"/>
  <c r="H41" i="29"/>
  <c r="H40" i="29"/>
  <c r="G41" i="29"/>
  <c r="F41" i="29"/>
  <c r="I39" i="29"/>
  <c r="G40" i="29"/>
  <c r="I41" i="29"/>
  <c r="O20" i="16"/>
  <c r="I20" i="16"/>
  <c r="L20" i="16"/>
  <c r="R20" i="16"/>
  <c r="W93" i="19"/>
  <c r="W92" i="20"/>
  <c r="X70" i="4"/>
  <c r="W85" i="19"/>
  <c r="X81" i="5"/>
  <c r="W68" i="6"/>
  <c r="I82" i="20"/>
  <c r="W82" i="20"/>
  <c r="X80" i="3"/>
  <c r="N15" i="17"/>
  <c r="M15" i="17"/>
  <c r="L15" i="17"/>
  <c r="K15" i="17"/>
  <c r="J15" i="17"/>
  <c r="I15" i="17"/>
  <c r="H15" i="17"/>
  <c r="G15" i="17"/>
  <c r="F15" i="17"/>
  <c r="E15" i="17"/>
  <c r="D15" i="17"/>
  <c r="C15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N9" i="17"/>
  <c r="M9" i="17"/>
  <c r="L9" i="17"/>
  <c r="K9" i="17"/>
  <c r="J9" i="17"/>
  <c r="I9" i="17"/>
  <c r="H9" i="17"/>
  <c r="G9" i="17"/>
  <c r="F9" i="17"/>
  <c r="E9" i="17"/>
  <c r="D9" i="17"/>
  <c r="C9" i="17"/>
  <c r="N8" i="17"/>
  <c r="M8" i="17"/>
  <c r="L8" i="17"/>
  <c r="K8" i="17"/>
  <c r="J8" i="17"/>
  <c r="I8" i="17"/>
  <c r="H8" i="17"/>
  <c r="G8" i="17"/>
  <c r="F8" i="17"/>
  <c r="E8" i="17"/>
  <c r="D8" i="17"/>
  <c r="C8" i="17"/>
  <c r="N7" i="17"/>
  <c r="M7" i="17"/>
  <c r="L7" i="17"/>
  <c r="K7" i="17"/>
  <c r="J7" i="17"/>
  <c r="I7" i="17"/>
  <c r="H7" i="17"/>
  <c r="G7" i="17"/>
  <c r="D7" i="17"/>
  <c r="C7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P15" i="17" l="1"/>
  <c r="H80" i="2"/>
  <c r="H96" i="2"/>
  <c r="H97" i="2"/>
  <c r="H93" i="2"/>
  <c r="H102" i="2"/>
  <c r="H98" i="2"/>
  <c r="H99" i="2"/>
  <c r="H104" i="2"/>
  <c r="H103" i="2"/>
  <c r="H94" i="2"/>
  <c r="H56" i="4"/>
  <c r="H94" i="4"/>
  <c r="H95" i="4"/>
  <c r="H96" i="4"/>
  <c r="H97" i="4"/>
  <c r="H98" i="4"/>
  <c r="H99" i="4"/>
  <c r="H100" i="4"/>
  <c r="H101" i="4"/>
  <c r="H102" i="4"/>
  <c r="H52" i="3"/>
  <c r="H96" i="3"/>
  <c r="H97" i="3"/>
  <c r="H98" i="3"/>
  <c r="H99" i="3"/>
  <c r="H100" i="3"/>
  <c r="H101" i="3"/>
  <c r="H102" i="3"/>
  <c r="H103" i="3"/>
  <c r="H104" i="3"/>
  <c r="Q8" i="17" l="1"/>
  <c r="Q10" i="17"/>
  <c r="Q9" i="17"/>
  <c r="Q7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O33" i="17" l="1"/>
  <c r="O34" i="17"/>
  <c r="O22" i="17"/>
  <c r="V12" i="20"/>
  <c r="V44" i="20"/>
  <c r="V7" i="20"/>
  <c r="V59" i="20"/>
  <c r="V49" i="20"/>
  <c r="V62" i="20"/>
  <c r="V68" i="20"/>
  <c r="V65" i="20"/>
  <c r="V80" i="20"/>
  <c r="V53" i="20"/>
  <c r="V79" i="20"/>
  <c r="V91" i="20"/>
  <c r="V19" i="20"/>
  <c r="V54" i="20"/>
  <c r="V10" i="20"/>
  <c r="V26" i="20"/>
  <c r="V75" i="20"/>
  <c r="V6" i="20"/>
  <c r="F102" i="20"/>
  <c r="E102" i="20"/>
  <c r="D102" i="20"/>
  <c r="C102" i="20"/>
  <c r="A102" i="20"/>
  <c r="F96" i="20"/>
  <c r="E96" i="20"/>
  <c r="D96" i="20"/>
  <c r="C96" i="20"/>
  <c r="A96" i="20"/>
  <c r="F99" i="20"/>
  <c r="E99" i="20"/>
  <c r="D99" i="20"/>
  <c r="C99" i="20"/>
  <c r="A99" i="20"/>
  <c r="F97" i="20"/>
  <c r="E97" i="20"/>
  <c r="D97" i="20"/>
  <c r="C97" i="20"/>
  <c r="A97" i="20"/>
  <c r="F100" i="20"/>
  <c r="E100" i="20"/>
  <c r="D100" i="20"/>
  <c r="C100" i="20"/>
  <c r="A100" i="20"/>
  <c r="F101" i="20"/>
  <c r="E101" i="20"/>
  <c r="D101" i="20"/>
  <c r="C101" i="20"/>
  <c r="A101" i="20"/>
  <c r="F103" i="20"/>
  <c r="E103" i="20"/>
  <c r="D103" i="20"/>
  <c r="C103" i="20"/>
  <c r="A103" i="20"/>
  <c r="F98" i="20"/>
  <c r="E98" i="20"/>
  <c r="D98" i="20"/>
  <c r="C98" i="20"/>
  <c r="A98" i="20"/>
  <c r="F104" i="20"/>
  <c r="E104" i="20"/>
  <c r="D104" i="20"/>
  <c r="C104" i="20"/>
  <c r="A104" i="20"/>
  <c r="F91" i="20"/>
  <c r="E91" i="20"/>
  <c r="D91" i="20"/>
  <c r="C91" i="20"/>
  <c r="A91" i="20"/>
  <c r="V83" i="20"/>
  <c r="F83" i="20"/>
  <c r="E83" i="20"/>
  <c r="D83" i="20"/>
  <c r="C83" i="20"/>
  <c r="B83" i="20"/>
  <c r="A83" i="20"/>
  <c r="V93" i="20"/>
  <c r="F93" i="20"/>
  <c r="E93" i="20"/>
  <c r="D93" i="20"/>
  <c r="C93" i="20"/>
  <c r="B93" i="20"/>
  <c r="A93" i="20"/>
  <c r="F79" i="20"/>
  <c r="E79" i="20"/>
  <c r="D79" i="20"/>
  <c r="C79" i="20"/>
  <c r="B79" i="20"/>
  <c r="A79" i="20"/>
  <c r="V90" i="20"/>
  <c r="F90" i="20"/>
  <c r="E90" i="20"/>
  <c r="D90" i="20"/>
  <c r="C90" i="20"/>
  <c r="B90" i="20"/>
  <c r="A90" i="20"/>
  <c r="V86" i="20"/>
  <c r="F86" i="20"/>
  <c r="E86" i="20"/>
  <c r="D86" i="20"/>
  <c r="C86" i="20"/>
  <c r="A86" i="20"/>
  <c r="V87" i="20"/>
  <c r="F87" i="20"/>
  <c r="E87" i="20"/>
  <c r="D87" i="20"/>
  <c r="C87" i="20"/>
  <c r="A87" i="20"/>
  <c r="F53" i="20"/>
  <c r="E53" i="20"/>
  <c r="D53" i="20"/>
  <c r="C53" i="20"/>
  <c r="B53" i="20"/>
  <c r="A53" i="20"/>
  <c r="V78" i="20"/>
  <c r="F78" i="20"/>
  <c r="E78" i="20"/>
  <c r="D78" i="20"/>
  <c r="C78" i="20"/>
  <c r="B78" i="20"/>
  <c r="A78" i="20"/>
  <c r="V76" i="20"/>
  <c r="F76" i="20"/>
  <c r="E76" i="20"/>
  <c r="D76" i="20"/>
  <c r="C76" i="20"/>
  <c r="B76" i="20"/>
  <c r="A76" i="20"/>
  <c r="V71" i="20"/>
  <c r="F71" i="20"/>
  <c r="E71" i="20"/>
  <c r="D71" i="20"/>
  <c r="C71" i="20"/>
  <c r="B71" i="20"/>
  <c r="A71" i="20"/>
  <c r="V81" i="20"/>
  <c r="F81" i="20"/>
  <c r="E81" i="20"/>
  <c r="D81" i="20"/>
  <c r="C81" i="20"/>
  <c r="B81" i="20"/>
  <c r="A81" i="20"/>
  <c r="F75" i="20"/>
  <c r="E75" i="20"/>
  <c r="D75" i="20"/>
  <c r="C75" i="20"/>
  <c r="B75" i="20"/>
  <c r="A75" i="20"/>
  <c r="V63" i="20"/>
  <c r="F63" i="20"/>
  <c r="E63" i="20"/>
  <c r="D63" i="20"/>
  <c r="C63" i="20"/>
  <c r="B63" i="20"/>
  <c r="A63" i="20"/>
  <c r="V67" i="20"/>
  <c r="F67" i="20"/>
  <c r="E67" i="20"/>
  <c r="D67" i="20"/>
  <c r="C67" i="20"/>
  <c r="B67" i="20"/>
  <c r="A67" i="20"/>
  <c r="F65" i="20"/>
  <c r="E65" i="20"/>
  <c r="D65" i="20"/>
  <c r="C65" i="20"/>
  <c r="B65" i="20"/>
  <c r="A65" i="20"/>
  <c r="F80" i="20"/>
  <c r="E80" i="20"/>
  <c r="D80" i="20"/>
  <c r="C80" i="20"/>
  <c r="B80" i="20"/>
  <c r="A80" i="20"/>
  <c r="V70" i="20"/>
  <c r="F70" i="20"/>
  <c r="E70" i="20"/>
  <c r="D70" i="20"/>
  <c r="C70" i="20"/>
  <c r="B70" i="20"/>
  <c r="A70" i="20"/>
  <c r="V89" i="20"/>
  <c r="F89" i="20"/>
  <c r="E89" i="20"/>
  <c r="D89" i="20"/>
  <c r="C89" i="20"/>
  <c r="B89" i="20"/>
  <c r="A89" i="20"/>
  <c r="V72" i="20"/>
  <c r="F72" i="20"/>
  <c r="E72" i="20"/>
  <c r="D72" i="20"/>
  <c r="C72" i="20"/>
  <c r="B72" i="20"/>
  <c r="A72" i="20"/>
  <c r="V77" i="20"/>
  <c r="F77" i="20"/>
  <c r="E77" i="20"/>
  <c r="D77" i="20"/>
  <c r="C77" i="20"/>
  <c r="B77" i="20"/>
  <c r="A77" i="20"/>
  <c r="V74" i="20"/>
  <c r="F74" i="20"/>
  <c r="E74" i="20"/>
  <c r="D74" i="20"/>
  <c r="C74" i="20"/>
  <c r="B74" i="20"/>
  <c r="A74" i="20"/>
  <c r="F62" i="20"/>
  <c r="E62" i="20"/>
  <c r="D62" i="20"/>
  <c r="C62" i="20"/>
  <c r="B62" i="20"/>
  <c r="A62" i="20"/>
  <c r="V69" i="20"/>
  <c r="F69" i="20"/>
  <c r="E69" i="20"/>
  <c r="D69" i="20"/>
  <c r="C69" i="20"/>
  <c r="B69" i="20"/>
  <c r="A69" i="20"/>
  <c r="F59" i="20"/>
  <c r="E59" i="20"/>
  <c r="D59" i="20"/>
  <c r="C59" i="20"/>
  <c r="B59" i="20"/>
  <c r="A59" i="20"/>
  <c r="V41" i="20"/>
  <c r="F41" i="20"/>
  <c r="E41" i="20"/>
  <c r="D41" i="20"/>
  <c r="C41" i="20"/>
  <c r="B41" i="20"/>
  <c r="A41" i="20"/>
  <c r="V42" i="20"/>
  <c r="F42" i="20"/>
  <c r="E42" i="20"/>
  <c r="D42" i="20"/>
  <c r="C42" i="20"/>
  <c r="B42" i="20"/>
  <c r="A42" i="20"/>
  <c r="V57" i="20"/>
  <c r="F57" i="20"/>
  <c r="E57" i="20"/>
  <c r="D57" i="20"/>
  <c r="C57" i="20"/>
  <c r="B57" i="20"/>
  <c r="A57" i="20"/>
  <c r="V22" i="20"/>
  <c r="F22" i="20"/>
  <c r="E22" i="20"/>
  <c r="D22" i="20"/>
  <c r="C22" i="20"/>
  <c r="B22" i="20"/>
  <c r="A22" i="20"/>
  <c r="F68" i="20"/>
  <c r="E68" i="20"/>
  <c r="D68" i="20"/>
  <c r="C68" i="20"/>
  <c r="B68" i="20"/>
  <c r="A68" i="20"/>
  <c r="V8" i="20"/>
  <c r="F8" i="20"/>
  <c r="E8" i="20"/>
  <c r="D8" i="20"/>
  <c r="C8" i="20"/>
  <c r="B8" i="20"/>
  <c r="A8" i="20"/>
  <c r="V50" i="20"/>
  <c r="F50" i="20"/>
  <c r="E50" i="20"/>
  <c r="D50" i="20"/>
  <c r="C50" i="20"/>
  <c r="B50" i="20"/>
  <c r="A50" i="20"/>
  <c r="V4" i="20"/>
  <c r="F4" i="20"/>
  <c r="E4" i="20"/>
  <c r="D4" i="20"/>
  <c r="C4" i="20"/>
  <c r="B4" i="20"/>
  <c r="A4" i="20"/>
  <c r="V61" i="20"/>
  <c r="F61" i="20"/>
  <c r="E61" i="20"/>
  <c r="D61" i="20"/>
  <c r="C61" i="20"/>
  <c r="B61" i="20"/>
  <c r="A61" i="20"/>
  <c r="V17" i="20"/>
  <c r="F17" i="20"/>
  <c r="E17" i="20"/>
  <c r="D17" i="20"/>
  <c r="C17" i="20"/>
  <c r="B17" i="20"/>
  <c r="A17" i="20"/>
  <c r="V52" i="20"/>
  <c r="F52" i="20"/>
  <c r="E52" i="20"/>
  <c r="D52" i="20"/>
  <c r="C52" i="20"/>
  <c r="B52" i="20"/>
  <c r="A52" i="20"/>
  <c r="F26" i="20"/>
  <c r="E26" i="20"/>
  <c r="D26" i="20"/>
  <c r="C26" i="20"/>
  <c r="B26" i="20"/>
  <c r="A26" i="20"/>
  <c r="V5" i="20"/>
  <c r="F5" i="20"/>
  <c r="E5" i="20"/>
  <c r="D5" i="20"/>
  <c r="C5" i="20"/>
  <c r="B5" i="20"/>
  <c r="A5" i="20"/>
  <c r="V25" i="20"/>
  <c r="F25" i="20"/>
  <c r="E25" i="20"/>
  <c r="D25" i="20"/>
  <c r="C25" i="20"/>
  <c r="B25" i="20"/>
  <c r="A25" i="20"/>
  <c r="V36" i="20"/>
  <c r="F36" i="20"/>
  <c r="E36" i="20"/>
  <c r="D36" i="20"/>
  <c r="C36" i="20"/>
  <c r="B36" i="20"/>
  <c r="A36" i="20"/>
  <c r="V15" i="20"/>
  <c r="F15" i="20"/>
  <c r="E15" i="20"/>
  <c r="D15" i="20"/>
  <c r="C15" i="20"/>
  <c r="B15" i="20"/>
  <c r="A15" i="20"/>
  <c r="V31" i="20"/>
  <c r="F31" i="20"/>
  <c r="E31" i="20"/>
  <c r="D31" i="20"/>
  <c r="C31" i="20"/>
  <c r="B31" i="20"/>
  <c r="A31" i="20"/>
  <c r="V48" i="20"/>
  <c r="F48" i="20"/>
  <c r="E48" i="20"/>
  <c r="D48" i="20"/>
  <c r="C48" i="20"/>
  <c r="B48" i="20"/>
  <c r="A48" i="20"/>
  <c r="V45" i="20"/>
  <c r="F45" i="20"/>
  <c r="E45" i="20"/>
  <c r="D45" i="20"/>
  <c r="C45" i="20"/>
  <c r="B45" i="20"/>
  <c r="A45" i="20"/>
  <c r="V39" i="20"/>
  <c r="F39" i="20"/>
  <c r="E39" i="20"/>
  <c r="D39" i="20"/>
  <c r="C39" i="20"/>
  <c r="B39" i="20"/>
  <c r="A39" i="20"/>
  <c r="V60" i="20"/>
  <c r="F60" i="20"/>
  <c r="E60" i="20"/>
  <c r="D60" i="20"/>
  <c r="C60" i="20"/>
  <c r="B60" i="20"/>
  <c r="A60" i="20"/>
  <c r="F49" i="20"/>
  <c r="E49" i="20"/>
  <c r="D49" i="20"/>
  <c r="C49" i="20"/>
  <c r="B49" i="20"/>
  <c r="A49" i="20"/>
  <c r="V46" i="20"/>
  <c r="F46" i="20"/>
  <c r="E46" i="20"/>
  <c r="D46" i="20"/>
  <c r="C46" i="20"/>
  <c r="B46" i="20"/>
  <c r="A46" i="20"/>
  <c r="F10" i="20"/>
  <c r="E10" i="20"/>
  <c r="D10" i="20"/>
  <c r="C10" i="20"/>
  <c r="B10" i="20"/>
  <c r="A10" i="20"/>
  <c r="F7" i="20"/>
  <c r="E7" i="20"/>
  <c r="D7" i="20"/>
  <c r="C7" i="20"/>
  <c r="B7" i="20"/>
  <c r="A7" i="20"/>
  <c r="V51" i="20"/>
  <c r="F51" i="20"/>
  <c r="E51" i="20"/>
  <c r="D51" i="20"/>
  <c r="C51" i="20"/>
  <c r="B51" i="20"/>
  <c r="A51" i="20"/>
  <c r="V27" i="20"/>
  <c r="F27" i="20"/>
  <c r="E27" i="20"/>
  <c r="D27" i="20"/>
  <c r="C27" i="20"/>
  <c r="B27" i="20"/>
  <c r="A27" i="20"/>
  <c r="V3" i="20"/>
  <c r="F3" i="20"/>
  <c r="E3" i="20"/>
  <c r="D3" i="20"/>
  <c r="C3" i="20"/>
  <c r="B3" i="20"/>
  <c r="A3" i="20"/>
  <c r="V56" i="20"/>
  <c r="F56" i="20"/>
  <c r="E56" i="20"/>
  <c r="D56" i="20"/>
  <c r="C56" i="20"/>
  <c r="B56" i="20"/>
  <c r="A56" i="20"/>
  <c r="V43" i="20"/>
  <c r="F43" i="20"/>
  <c r="E43" i="20"/>
  <c r="D43" i="20"/>
  <c r="C43" i="20"/>
  <c r="B43" i="20"/>
  <c r="A43" i="20"/>
  <c r="V20" i="20"/>
  <c r="F20" i="20"/>
  <c r="E20" i="20"/>
  <c r="D20" i="20"/>
  <c r="C20" i="20"/>
  <c r="B20" i="20"/>
  <c r="A20" i="20"/>
  <c r="V21" i="20"/>
  <c r="F21" i="20"/>
  <c r="E21" i="20"/>
  <c r="D21" i="20"/>
  <c r="C21" i="20"/>
  <c r="B21" i="20"/>
  <c r="A21" i="20"/>
  <c r="V2" i="20"/>
  <c r="F2" i="20"/>
  <c r="E2" i="20"/>
  <c r="D2" i="20"/>
  <c r="C2" i="20"/>
  <c r="B2" i="20"/>
  <c r="A2" i="20"/>
  <c r="V18" i="20"/>
  <c r="F18" i="20"/>
  <c r="E18" i="20"/>
  <c r="D18" i="20"/>
  <c r="C18" i="20"/>
  <c r="B18" i="20"/>
  <c r="A18" i="20"/>
  <c r="V47" i="20"/>
  <c r="F47" i="20"/>
  <c r="E47" i="20"/>
  <c r="D47" i="20"/>
  <c r="C47" i="20"/>
  <c r="B47" i="20"/>
  <c r="A47" i="20"/>
  <c r="F54" i="20"/>
  <c r="E54" i="20"/>
  <c r="D54" i="20"/>
  <c r="C54" i="20"/>
  <c r="B54" i="20"/>
  <c r="A54" i="20"/>
  <c r="V40" i="20"/>
  <c r="F40" i="20"/>
  <c r="E40" i="20"/>
  <c r="D40" i="20"/>
  <c r="C40" i="20"/>
  <c r="B40" i="20"/>
  <c r="A40" i="20"/>
  <c r="F12" i="20"/>
  <c r="E12" i="20"/>
  <c r="D12" i="20"/>
  <c r="C12" i="20"/>
  <c r="B12" i="20"/>
  <c r="A12" i="20"/>
  <c r="V38" i="20"/>
  <c r="F38" i="20"/>
  <c r="E38" i="20"/>
  <c r="D38" i="20"/>
  <c r="C38" i="20"/>
  <c r="B38" i="20"/>
  <c r="A38" i="20"/>
  <c r="V13" i="20"/>
  <c r="F13" i="20"/>
  <c r="E13" i="20"/>
  <c r="D13" i="20"/>
  <c r="C13" i="20"/>
  <c r="B13" i="20"/>
  <c r="A13" i="20"/>
  <c r="V58" i="20"/>
  <c r="F58" i="20"/>
  <c r="E58" i="20"/>
  <c r="D58" i="20"/>
  <c r="C58" i="20"/>
  <c r="B58" i="20"/>
  <c r="A58" i="20"/>
  <c r="V55" i="20"/>
  <c r="F55" i="20"/>
  <c r="E55" i="20"/>
  <c r="D55" i="20"/>
  <c r="C55" i="20"/>
  <c r="B55" i="20"/>
  <c r="A55" i="20"/>
  <c r="V33" i="20"/>
  <c r="F33" i="20"/>
  <c r="E33" i="20"/>
  <c r="D33" i="20"/>
  <c r="C33" i="20"/>
  <c r="B33" i="20"/>
  <c r="A33" i="20"/>
  <c r="V29" i="20"/>
  <c r="F29" i="20"/>
  <c r="E29" i="20"/>
  <c r="D29" i="20"/>
  <c r="C29" i="20"/>
  <c r="B29" i="20"/>
  <c r="A29" i="20"/>
  <c r="V35" i="20"/>
  <c r="F35" i="20"/>
  <c r="E35" i="20"/>
  <c r="D35" i="20"/>
  <c r="C35" i="20"/>
  <c r="B35" i="20"/>
  <c r="A35" i="20"/>
  <c r="V9" i="20"/>
  <c r="F9" i="20"/>
  <c r="E9" i="20"/>
  <c r="D9" i="20"/>
  <c r="C9" i="20"/>
  <c r="B9" i="20"/>
  <c r="A9" i="20"/>
  <c r="V11" i="20"/>
  <c r="F11" i="20"/>
  <c r="E11" i="20"/>
  <c r="D11" i="20"/>
  <c r="C11" i="20"/>
  <c r="B11" i="20"/>
  <c r="A11" i="20"/>
  <c r="F19" i="20"/>
  <c r="E19" i="20"/>
  <c r="D19" i="20"/>
  <c r="C19" i="20"/>
  <c r="B19" i="20"/>
  <c r="A19" i="20"/>
  <c r="V64" i="20"/>
  <c r="F64" i="20"/>
  <c r="E64" i="20"/>
  <c r="D64" i="20"/>
  <c r="C64" i="20"/>
  <c r="B64" i="20"/>
  <c r="A64" i="20"/>
  <c r="V34" i="20"/>
  <c r="F34" i="20"/>
  <c r="E34" i="20"/>
  <c r="D34" i="20"/>
  <c r="C34" i="20"/>
  <c r="B34" i="20"/>
  <c r="A34" i="20"/>
  <c r="V37" i="20"/>
  <c r="F37" i="20"/>
  <c r="E37" i="20"/>
  <c r="D37" i="20"/>
  <c r="C37" i="20"/>
  <c r="B37" i="20"/>
  <c r="A37" i="20"/>
  <c r="V28" i="20"/>
  <c r="F28" i="20"/>
  <c r="E28" i="20"/>
  <c r="D28" i="20"/>
  <c r="C28" i="20"/>
  <c r="B28" i="20"/>
  <c r="A28" i="20"/>
  <c r="V24" i="20"/>
  <c r="F24" i="20"/>
  <c r="E24" i="20"/>
  <c r="D24" i="20"/>
  <c r="C24" i="20"/>
  <c r="B24" i="20"/>
  <c r="A24" i="20"/>
  <c r="V23" i="20"/>
  <c r="F23" i="20"/>
  <c r="E23" i="20"/>
  <c r="D23" i="20"/>
  <c r="C23" i="20"/>
  <c r="B23" i="20"/>
  <c r="A23" i="20"/>
  <c r="V14" i="20"/>
  <c r="F14" i="20"/>
  <c r="E14" i="20"/>
  <c r="D14" i="20"/>
  <c r="C14" i="20"/>
  <c r="B14" i="20"/>
  <c r="A14" i="20"/>
  <c r="F44" i="20"/>
  <c r="E44" i="20"/>
  <c r="D44" i="20"/>
  <c r="C44" i="20"/>
  <c r="B44" i="20"/>
  <c r="A44" i="20"/>
  <c r="V30" i="20"/>
  <c r="F30" i="20"/>
  <c r="E30" i="20"/>
  <c r="D30" i="20"/>
  <c r="C30" i="20"/>
  <c r="B30" i="20"/>
  <c r="A30" i="20"/>
  <c r="V32" i="20"/>
  <c r="F32" i="20"/>
  <c r="E32" i="20"/>
  <c r="D32" i="20"/>
  <c r="C32" i="20"/>
  <c r="B32" i="20"/>
  <c r="A32" i="20"/>
  <c r="V16" i="20"/>
  <c r="F16" i="20"/>
  <c r="E16" i="20"/>
  <c r="D16" i="20"/>
  <c r="C16" i="20"/>
  <c r="B16" i="20"/>
  <c r="A16" i="20"/>
  <c r="F6" i="20"/>
  <c r="E6" i="20"/>
  <c r="D6" i="20"/>
  <c r="C6" i="20"/>
  <c r="B6" i="20"/>
  <c r="A6" i="20"/>
  <c r="V27" i="19"/>
  <c r="V43" i="19"/>
  <c r="V18" i="19"/>
  <c r="V62" i="19"/>
  <c r="V76" i="19"/>
  <c r="V84" i="19"/>
  <c r="V88" i="19"/>
  <c r="V19" i="19"/>
  <c r="V37" i="19"/>
  <c r="V33" i="19"/>
  <c r="V48" i="19"/>
  <c r="V63" i="19"/>
  <c r="V68" i="19"/>
  <c r="V4" i="19"/>
  <c r="F102" i="19"/>
  <c r="E102" i="19"/>
  <c r="D102" i="19"/>
  <c r="C102" i="19"/>
  <c r="A102" i="19"/>
  <c r="F94" i="19"/>
  <c r="E94" i="19"/>
  <c r="D94" i="19"/>
  <c r="C94" i="19"/>
  <c r="A94" i="19"/>
  <c r="F97" i="19"/>
  <c r="E97" i="19"/>
  <c r="D97" i="19"/>
  <c r="C97" i="19"/>
  <c r="A97" i="19"/>
  <c r="F95" i="19"/>
  <c r="E95" i="19"/>
  <c r="D95" i="19"/>
  <c r="C95" i="19"/>
  <c r="A95" i="19"/>
  <c r="F100" i="19"/>
  <c r="E100" i="19"/>
  <c r="D100" i="19"/>
  <c r="C100" i="19"/>
  <c r="A100" i="19"/>
  <c r="F101" i="19"/>
  <c r="E101" i="19"/>
  <c r="D101" i="19"/>
  <c r="C101" i="19"/>
  <c r="A101" i="19"/>
  <c r="F103" i="19"/>
  <c r="E103" i="19"/>
  <c r="D103" i="19"/>
  <c r="C103" i="19"/>
  <c r="A103" i="19"/>
  <c r="F96" i="19"/>
  <c r="E96" i="19"/>
  <c r="D96" i="19"/>
  <c r="C96" i="19"/>
  <c r="A96" i="19"/>
  <c r="F104" i="19"/>
  <c r="E104" i="19"/>
  <c r="D104" i="19"/>
  <c r="C104" i="19"/>
  <c r="A104" i="19"/>
  <c r="F88" i="19"/>
  <c r="E88" i="19"/>
  <c r="D88" i="19"/>
  <c r="C88" i="19"/>
  <c r="A88" i="19"/>
  <c r="F84" i="19"/>
  <c r="E84" i="19"/>
  <c r="D84" i="19"/>
  <c r="C84" i="19"/>
  <c r="B84" i="19"/>
  <c r="A84" i="19"/>
  <c r="V89" i="19"/>
  <c r="F89" i="19"/>
  <c r="E89" i="19"/>
  <c r="D89" i="19"/>
  <c r="C89" i="19"/>
  <c r="B89" i="19"/>
  <c r="A89" i="19"/>
  <c r="V82" i="19"/>
  <c r="F82" i="19"/>
  <c r="E82" i="19"/>
  <c r="D82" i="19"/>
  <c r="C82" i="19"/>
  <c r="B82" i="19"/>
  <c r="A82" i="19"/>
  <c r="V86" i="19"/>
  <c r="F86" i="19"/>
  <c r="E86" i="19"/>
  <c r="D86" i="19"/>
  <c r="C86" i="19"/>
  <c r="B86" i="19"/>
  <c r="A86" i="19"/>
  <c r="V81" i="19"/>
  <c r="F81" i="19"/>
  <c r="E81" i="19"/>
  <c r="D81" i="19"/>
  <c r="C81" i="19"/>
  <c r="A81" i="19"/>
  <c r="V83" i="19"/>
  <c r="F83" i="19"/>
  <c r="E83" i="19"/>
  <c r="D83" i="19"/>
  <c r="C83" i="19"/>
  <c r="A83" i="19"/>
  <c r="V79" i="19"/>
  <c r="F79" i="19"/>
  <c r="E79" i="19"/>
  <c r="D79" i="19"/>
  <c r="C79" i="19"/>
  <c r="B79" i="19"/>
  <c r="A79" i="19"/>
  <c r="V72" i="19"/>
  <c r="F72" i="19"/>
  <c r="E72" i="19"/>
  <c r="D72" i="19"/>
  <c r="C72" i="19"/>
  <c r="B72" i="19"/>
  <c r="A72" i="19"/>
  <c r="V78" i="19"/>
  <c r="F78" i="19"/>
  <c r="E78" i="19"/>
  <c r="D78" i="19"/>
  <c r="C78" i="19"/>
  <c r="B78" i="19"/>
  <c r="A78" i="19"/>
  <c r="V80" i="19"/>
  <c r="F80" i="19"/>
  <c r="E80" i="19"/>
  <c r="D80" i="19"/>
  <c r="C80" i="19"/>
  <c r="B80" i="19"/>
  <c r="A80" i="19"/>
  <c r="V77" i="19"/>
  <c r="F77" i="19"/>
  <c r="E77" i="19"/>
  <c r="D77" i="19"/>
  <c r="C77" i="19"/>
  <c r="B77" i="19"/>
  <c r="A77" i="19"/>
  <c r="F68" i="19"/>
  <c r="E68" i="19"/>
  <c r="D68" i="19"/>
  <c r="C68" i="19"/>
  <c r="B68" i="19"/>
  <c r="A68" i="19"/>
  <c r="F76" i="19"/>
  <c r="E76" i="19"/>
  <c r="D76" i="19"/>
  <c r="C76" i="19"/>
  <c r="B76" i="19"/>
  <c r="A76" i="19"/>
  <c r="V61" i="19"/>
  <c r="F61" i="19"/>
  <c r="E61" i="19"/>
  <c r="D61" i="19"/>
  <c r="C61" i="19"/>
  <c r="B61" i="19"/>
  <c r="A61" i="19"/>
  <c r="V69" i="19"/>
  <c r="F69" i="19"/>
  <c r="E69" i="19"/>
  <c r="D69" i="19"/>
  <c r="C69" i="19"/>
  <c r="B69" i="19"/>
  <c r="A69" i="19"/>
  <c r="V74" i="19"/>
  <c r="F74" i="19"/>
  <c r="E74" i="19"/>
  <c r="D74" i="19"/>
  <c r="C74" i="19"/>
  <c r="B74" i="19"/>
  <c r="A74" i="19"/>
  <c r="V70" i="19"/>
  <c r="F70" i="19"/>
  <c r="E70" i="19"/>
  <c r="D70" i="19"/>
  <c r="C70" i="19"/>
  <c r="B70" i="19"/>
  <c r="A70" i="19"/>
  <c r="V75" i="19"/>
  <c r="F75" i="19"/>
  <c r="E75" i="19"/>
  <c r="D75" i="19"/>
  <c r="C75" i="19"/>
  <c r="B75" i="19"/>
  <c r="A75" i="19"/>
  <c r="V66" i="19"/>
  <c r="F66" i="19"/>
  <c r="E66" i="19"/>
  <c r="D66" i="19"/>
  <c r="C66" i="19"/>
  <c r="B66" i="19"/>
  <c r="A66" i="19"/>
  <c r="V71" i="19"/>
  <c r="F71" i="19"/>
  <c r="E71" i="19"/>
  <c r="D71" i="19"/>
  <c r="C71" i="19"/>
  <c r="B71" i="19"/>
  <c r="A71" i="19"/>
  <c r="V67" i="19"/>
  <c r="F67" i="19"/>
  <c r="E67" i="19"/>
  <c r="D67" i="19"/>
  <c r="C67" i="19"/>
  <c r="B67" i="19"/>
  <c r="A67" i="19"/>
  <c r="V65" i="19"/>
  <c r="F65" i="19"/>
  <c r="E65" i="19"/>
  <c r="D65" i="19"/>
  <c r="C65" i="19"/>
  <c r="B65" i="19"/>
  <c r="A65" i="19"/>
  <c r="V64" i="19"/>
  <c r="F64" i="19"/>
  <c r="E64" i="19"/>
  <c r="D64" i="19"/>
  <c r="C64" i="19"/>
  <c r="B64" i="19"/>
  <c r="A64" i="19"/>
  <c r="F63" i="19"/>
  <c r="E63" i="19"/>
  <c r="D63" i="19"/>
  <c r="C63" i="19"/>
  <c r="B63" i="19"/>
  <c r="A63" i="19"/>
  <c r="F62" i="19"/>
  <c r="E62" i="19"/>
  <c r="D62" i="19"/>
  <c r="C62" i="19"/>
  <c r="B62" i="19"/>
  <c r="A62" i="19"/>
  <c r="V57" i="19"/>
  <c r="F57" i="19"/>
  <c r="E57" i="19"/>
  <c r="D57" i="19"/>
  <c r="C57" i="19"/>
  <c r="B57" i="19"/>
  <c r="A57" i="19"/>
  <c r="V53" i="19"/>
  <c r="F53" i="19"/>
  <c r="E53" i="19"/>
  <c r="D53" i="19"/>
  <c r="C53" i="19"/>
  <c r="B53" i="19"/>
  <c r="A53" i="19"/>
  <c r="V46" i="19"/>
  <c r="F46" i="19"/>
  <c r="E46" i="19"/>
  <c r="D46" i="19"/>
  <c r="C46" i="19"/>
  <c r="B46" i="19"/>
  <c r="A46" i="19"/>
  <c r="V59" i="19"/>
  <c r="F59" i="19"/>
  <c r="E59" i="19"/>
  <c r="D59" i="19"/>
  <c r="C59" i="19"/>
  <c r="B59" i="19"/>
  <c r="A59" i="19"/>
  <c r="V49" i="19"/>
  <c r="F49" i="19"/>
  <c r="E49" i="19"/>
  <c r="D49" i="19"/>
  <c r="C49" i="19"/>
  <c r="B49" i="19"/>
  <c r="A49" i="19"/>
  <c r="V44" i="19"/>
  <c r="F44" i="19"/>
  <c r="E44" i="19"/>
  <c r="D44" i="19"/>
  <c r="C44" i="19"/>
  <c r="B44" i="19"/>
  <c r="A44" i="19"/>
  <c r="V51" i="19"/>
  <c r="F51" i="19"/>
  <c r="E51" i="19"/>
  <c r="D51" i="19"/>
  <c r="C51" i="19"/>
  <c r="B51" i="19"/>
  <c r="A51" i="19"/>
  <c r="V60" i="19"/>
  <c r="F60" i="19"/>
  <c r="E60" i="19"/>
  <c r="D60" i="19"/>
  <c r="C60" i="19"/>
  <c r="B60" i="19"/>
  <c r="A60" i="19"/>
  <c r="V41" i="19"/>
  <c r="F41" i="19"/>
  <c r="E41" i="19"/>
  <c r="D41" i="19"/>
  <c r="C41" i="19"/>
  <c r="B41" i="19"/>
  <c r="A41" i="19"/>
  <c r="V47" i="19"/>
  <c r="F47" i="19"/>
  <c r="E47" i="19"/>
  <c r="D47" i="19"/>
  <c r="C47" i="19"/>
  <c r="B47" i="19"/>
  <c r="A47" i="19"/>
  <c r="F48" i="19"/>
  <c r="E48" i="19"/>
  <c r="D48" i="19"/>
  <c r="C48" i="19"/>
  <c r="B48" i="19"/>
  <c r="A48" i="19"/>
  <c r="V50" i="19"/>
  <c r="F50" i="19"/>
  <c r="E50" i="19"/>
  <c r="D50" i="19"/>
  <c r="C50" i="19"/>
  <c r="B50" i="19"/>
  <c r="A50" i="19"/>
  <c r="V58" i="19"/>
  <c r="F58" i="19"/>
  <c r="E58" i="19"/>
  <c r="D58" i="19"/>
  <c r="C58" i="19"/>
  <c r="B58" i="19"/>
  <c r="A58" i="19"/>
  <c r="V26" i="19"/>
  <c r="F26" i="19"/>
  <c r="E26" i="19"/>
  <c r="D26" i="19"/>
  <c r="C26" i="19"/>
  <c r="B26" i="19"/>
  <c r="A26" i="19"/>
  <c r="V55" i="19"/>
  <c r="F55" i="19"/>
  <c r="E55" i="19"/>
  <c r="D55" i="19"/>
  <c r="C55" i="19"/>
  <c r="B55" i="19"/>
  <c r="A55" i="19"/>
  <c r="V45" i="19"/>
  <c r="F45" i="19"/>
  <c r="E45" i="19"/>
  <c r="D45" i="19"/>
  <c r="C45" i="19"/>
  <c r="B45" i="19"/>
  <c r="A45" i="19"/>
  <c r="V24" i="19"/>
  <c r="F24" i="19"/>
  <c r="E24" i="19"/>
  <c r="D24" i="19"/>
  <c r="C24" i="19"/>
  <c r="B24" i="19"/>
  <c r="A24" i="19"/>
  <c r="V56" i="19"/>
  <c r="F56" i="19"/>
  <c r="E56" i="19"/>
  <c r="D56" i="19"/>
  <c r="C56" i="19"/>
  <c r="B56" i="19"/>
  <c r="A56" i="19"/>
  <c r="V54" i="19"/>
  <c r="F54" i="19"/>
  <c r="E54" i="19"/>
  <c r="D54" i="19"/>
  <c r="C54" i="19"/>
  <c r="B54" i="19"/>
  <c r="A54" i="19"/>
  <c r="V40" i="19"/>
  <c r="F40" i="19"/>
  <c r="E40" i="19"/>
  <c r="D40" i="19"/>
  <c r="C40" i="19"/>
  <c r="B40" i="19"/>
  <c r="A40" i="19"/>
  <c r="V52" i="19"/>
  <c r="F52" i="19"/>
  <c r="E52" i="19"/>
  <c r="D52" i="19"/>
  <c r="C52" i="19"/>
  <c r="B52" i="19"/>
  <c r="A52" i="19"/>
  <c r="V23" i="19"/>
  <c r="F23" i="19"/>
  <c r="E23" i="19"/>
  <c r="D23" i="19"/>
  <c r="C23" i="19"/>
  <c r="B23" i="19"/>
  <c r="A23" i="19"/>
  <c r="F33" i="19"/>
  <c r="E33" i="19"/>
  <c r="D33" i="19"/>
  <c r="C33" i="19"/>
  <c r="B33" i="19"/>
  <c r="A33" i="19"/>
  <c r="F18" i="19"/>
  <c r="E18" i="19"/>
  <c r="D18" i="19"/>
  <c r="C18" i="19"/>
  <c r="B18" i="19"/>
  <c r="A18" i="19"/>
  <c r="V29" i="19"/>
  <c r="F29" i="19"/>
  <c r="E29" i="19"/>
  <c r="D29" i="19"/>
  <c r="C29" i="19"/>
  <c r="B29" i="19"/>
  <c r="A29" i="19"/>
  <c r="V39" i="19"/>
  <c r="F39" i="19"/>
  <c r="E39" i="19"/>
  <c r="D39" i="19"/>
  <c r="C39" i="19"/>
  <c r="B39" i="19"/>
  <c r="A39" i="19"/>
  <c r="V36" i="19"/>
  <c r="F36" i="19"/>
  <c r="E36" i="19"/>
  <c r="D36" i="19"/>
  <c r="C36" i="19"/>
  <c r="B36" i="19"/>
  <c r="A36" i="19"/>
  <c r="V42" i="19"/>
  <c r="F42" i="19"/>
  <c r="E42" i="19"/>
  <c r="D42" i="19"/>
  <c r="C42" i="19"/>
  <c r="B42" i="19"/>
  <c r="A42" i="19"/>
  <c r="V12" i="19"/>
  <c r="F12" i="19"/>
  <c r="E12" i="19"/>
  <c r="D12" i="19"/>
  <c r="C12" i="19"/>
  <c r="B12" i="19"/>
  <c r="A12" i="19"/>
  <c r="V38" i="19"/>
  <c r="F38" i="19"/>
  <c r="E38" i="19"/>
  <c r="D38" i="19"/>
  <c r="C38" i="19"/>
  <c r="B38" i="19"/>
  <c r="A38" i="19"/>
  <c r="V35" i="19"/>
  <c r="F35" i="19"/>
  <c r="E35" i="19"/>
  <c r="D35" i="19"/>
  <c r="C35" i="19"/>
  <c r="B35" i="19"/>
  <c r="A35" i="19"/>
  <c r="V31" i="19"/>
  <c r="F31" i="19"/>
  <c r="E31" i="19"/>
  <c r="D31" i="19"/>
  <c r="C31" i="19"/>
  <c r="B31" i="19"/>
  <c r="A31" i="19"/>
  <c r="V22" i="19"/>
  <c r="F22" i="19"/>
  <c r="E22" i="19"/>
  <c r="D22" i="19"/>
  <c r="C22" i="19"/>
  <c r="B22" i="19"/>
  <c r="A22" i="19"/>
  <c r="V17" i="19"/>
  <c r="F17" i="19"/>
  <c r="E17" i="19"/>
  <c r="D17" i="19"/>
  <c r="C17" i="19"/>
  <c r="B17" i="19"/>
  <c r="A17" i="19"/>
  <c r="F37" i="19"/>
  <c r="E37" i="19"/>
  <c r="D37" i="19"/>
  <c r="C37" i="19"/>
  <c r="B37" i="19"/>
  <c r="A37" i="19"/>
  <c r="F43" i="19"/>
  <c r="E43" i="19"/>
  <c r="D43" i="19"/>
  <c r="C43" i="19"/>
  <c r="B43" i="19"/>
  <c r="A43" i="19"/>
  <c r="V34" i="19"/>
  <c r="F34" i="19"/>
  <c r="E34" i="19"/>
  <c r="D34" i="19"/>
  <c r="C34" i="19"/>
  <c r="B34" i="19"/>
  <c r="A34" i="19"/>
  <c r="V28" i="19"/>
  <c r="F28" i="19"/>
  <c r="E28" i="19"/>
  <c r="D28" i="19"/>
  <c r="C28" i="19"/>
  <c r="B28" i="19"/>
  <c r="A28" i="19"/>
  <c r="V25" i="19"/>
  <c r="F25" i="19"/>
  <c r="E25" i="19"/>
  <c r="D25" i="19"/>
  <c r="C25" i="19"/>
  <c r="B25" i="19"/>
  <c r="A25" i="19"/>
  <c r="V15" i="19"/>
  <c r="F15" i="19"/>
  <c r="E15" i="19"/>
  <c r="D15" i="19"/>
  <c r="C15" i="19"/>
  <c r="B15" i="19"/>
  <c r="A15" i="19"/>
  <c r="V30" i="19"/>
  <c r="F30" i="19"/>
  <c r="E30" i="19"/>
  <c r="D30" i="19"/>
  <c r="C30" i="19"/>
  <c r="B30" i="19"/>
  <c r="A30" i="19"/>
  <c r="V32" i="19"/>
  <c r="F32" i="19"/>
  <c r="E32" i="19"/>
  <c r="D32" i="19"/>
  <c r="C32" i="19"/>
  <c r="B32" i="19"/>
  <c r="A32" i="19"/>
  <c r="V21" i="19"/>
  <c r="F21" i="19"/>
  <c r="E21" i="19"/>
  <c r="D21" i="19"/>
  <c r="C21" i="19"/>
  <c r="B21" i="19"/>
  <c r="A21" i="19"/>
  <c r="V14" i="19"/>
  <c r="F14" i="19"/>
  <c r="E14" i="19"/>
  <c r="D14" i="19"/>
  <c r="C14" i="19"/>
  <c r="B14" i="19"/>
  <c r="A14" i="19"/>
  <c r="V20" i="19"/>
  <c r="F20" i="19"/>
  <c r="E20" i="19"/>
  <c r="D20" i="19"/>
  <c r="C20" i="19"/>
  <c r="B20" i="19"/>
  <c r="A20" i="19"/>
  <c r="V10" i="19"/>
  <c r="F10" i="19"/>
  <c r="E10" i="19"/>
  <c r="D10" i="19"/>
  <c r="C10" i="19"/>
  <c r="B10" i="19"/>
  <c r="A10" i="19"/>
  <c r="F19" i="19"/>
  <c r="E19" i="19"/>
  <c r="D19" i="19"/>
  <c r="C19" i="19"/>
  <c r="B19" i="19"/>
  <c r="A19" i="19"/>
  <c r="F27" i="19"/>
  <c r="E27" i="19"/>
  <c r="D27" i="19"/>
  <c r="C27" i="19"/>
  <c r="B27" i="19"/>
  <c r="A27" i="19"/>
  <c r="V16" i="19"/>
  <c r="F16" i="19"/>
  <c r="E16" i="19"/>
  <c r="D16" i="19"/>
  <c r="C16" i="19"/>
  <c r="B16" i="19"/>
  <c r="A16" i="19"/>
  <c r="V13" i="19"/>
  <c r="F13" i="19"/>
  <c r="E13" i="19"/>
  <c r="D13" i="19"/>
  <c r="C13" i="19"/>
  <c r="B13" i="19"/>
  <c r="A13" i="19"/>
  <c r="V11" i="19"/>
  <c r="F11" i="19"/>
  <c r="E11" i="19"/>
  <c r="D11" i="19"/>
  <c r="C11" i="19"/>
  <c r="B11" i="19"/>
  <c r="A11" i="19"/>
  <c r="V9" i="19"/>
  <c r="F9" i="19"/>
  <c r="E9" i="19"/>
  <c r="D9" i="19"/>
  <c r="C9" i="19"/>
  <c r="B9" i="19"/>
  <c r="A9" i="19"/>
  <c r="V6" i="19"/>
  <c r="F6" i="19"/>
  <c r="E6" i="19"/>
  <c r="D6" i="19"/>
  <c r="C6" i="19"/>
  <c r="B6" i="19"/>
  <c r="A6" i="19"/>
  <c r="V5" i="19"/>
  <c r="F5" i="19"/>
  <c r="E5" i="19"/>
  <c r="D5" i="19"/>
  <c r="C5" i="19"/>
  <c r="B5" i="19"/>
  <c r="A5" i="19"/>
  <c r="V2" i="19"/>
  <c r="F2" i="19"/>
  <c r="E2" i="19"/>
  <c r="D2" i="19"/>
  <c r="C2" i="19"/>
  <c r="B2" i="19"/>
  <c r="A2" i="19"/>
  <c r="V8" i="19"/>
  <c r="F8" i="19"/>
  <c r="E8" i="19"/>
  <c r="D8" i="19"/>
  <c r="C8" i="19"/>
  <c r="B8" i="19"/>
  <c r="A8" i="19"/>
  <c r="V7" i="19"/>
  <c r="F7" i="19"/>
  <c r="E7" i="19"/>
  <c r="D7" i="19"/>
  <c r="C7" i="19"/>
  <c r="B7" i="19"/>
  <c r="A7" i="19"/>
  <c r="V3" i="19"/>
  <c r="F3" i="19"/>
  <c r="E3" i="19"/>
  <c r="D3" i="19"/>
  <c r="C3" i="19"/>
  <c r="B3" i="19"/>
  <c r="A3" i="19"/>
  <c r="F4" i="19"/>
  <c r="E4" i="19"/>
  <c r="D4" i="19"/>
  <c r="C4" i="19"/>
  <c r="B4" i="19"/>
  <c r="A4" i="19"/>
  <c r="P37" i="17" l="1"/>
  <c r="O23" i="17"/>
  <c r="O37" i="17"/>
  <c r="O29" i="17"/>
  <c r="O30" i="17"/>
  <c r="O31" i="17"/>
  <c r="O32" i="17"/>
  <c r="O35" i="17"/>
  <c r="O11" i="17"/>
  <c r="P11" i="17" s="1"/>
  <c r="S32" i="17" l="1"/>
  <c r="T32" i="17" s="1"/>
  <c r="S30" i="17"/>
  <c r="T30" i="17" s="1"/>
  <c r="S31" i="17"/>
  <c r="T31" i="17" s="1"/>
  <c r="Q32" i="17"/>
  <c r="R32" i="17" s="1"/>
  <c r="Q31" i="17"/>
  <c r="R31" i="17" s="1"/>
  <c r="Q30" i="17"/>
  <c r="R30" i="17" s="1"/>
  <c r="Q29" i="17"/>
  <c r="R29" i="17" s="1"/>
  <c r="S29" i="17"/>
  <c r="T29" i="17" s="1"/>
  <c r="P32" i="17"/>
  <c r="P31" i="17"/>
  <c r="P30" i="17"/>
  <c r="P35" i="17"/>
  <c r="P29" i="17"/>
  <c r="P34" i="17"/>
  <c r="P33" i="17"/>
  <c r="C24" i="17"/>
  <c r="N24" i="17"/>
  <c r="M24" i="17"/>
  <c r="L24" i="17"/>
  <c r="K24" i="17"/>
  <c r="J24" i="17"/>
  <c r="I24" i="17"/>
  <c r="H24" i="17"/>
  <c r="G24" i="17"/>
  <c r="F24" i="17"/>
  <c r="E24" i="17"/>
  <c r="D24" i="17"/>
  <c r="N13" i="17"/>
  <c r="M13" i="17"/>
  <c r="L13" i="17"/>
  <c r="K13" i="17"/>
  <c r="J13" i="17"/>
  <c r="I13" i="17"/>
  <c r="H13" i="17"/>
  <c r="G13" i="17"/>
  <c r="F13" i="17"/>
  <c r="E13" i="17"/>
  <c r="D13" i="17"/>
  <c r="I77" i="13"/>
  <c r="I93" i="13"/>
  <c r="I95" i="13"/>
  <c r="I94" i="13"/>
  <c r="I102" i="13"/>
  <c r="I82" i="13"/>
  <c r="I79" i="13"/>
  <c r="I99" i="13"/>
  <c r="I21" i="13"/>
  <c r="I20" i="13"/>
  <c r="I25" i="13"/>
  <c r="I80" i="13"/>
  <c r="I81" i="13"/>
  <c r="I13" i="13"/>
  <c r="I11" i="13"/>
  <c r="I8" i="13"/>
  <c r="I24" i="13"/>
  <c r="I4" i="13"/>
  <c r="I91" i="13"/>
  <c r="I76" i="13"/>
  <c r="I100" i="13"/>
  <c r="I85" i="13"/>
  <c r="I7" i="13"/>
  <c r="I14" i="13"/>
  <c r="I89" i="13"/>
  <c r="I84" i="13"/>
  <c r="I96" i="13"/>
  <c r="I40" i="13"/>
  <c r="I35" i="13"/>
  <c r="I39" i="13"/>
  <c r="I38" i="13"/>
  <c r="I43" i="13"/>
  <c r="I44" i="13"/>
  <c r="I55" i="13"/>
  <c r="I45" i="13"/>
  <c r="I46" i="13"/>
  <c r="I64" i="13"/>
  <c r="I54" i="13"/>
  <c r="I58" i="13"/>
  <c r="I59" i="13"/>
  <c r="I47" i="13"/>
  <c r="I61" i="13"/>
  <c r="I60" i="13"/>
  <c r="I30" i="13"/>
  <c r="I34" i="13"/>
  <c r="I53" i="13"/>
  <c r="I57" i="13"/>
  <c r="I31" i="13"/>
  <c r="I65" i="13"/>
  <c r="I33" i="13"/>
  <c r="I50" i="13"/>
  <c r="I66" i="13"/>
  <c r="I52" i="13"/>
  <c r="I36" i="13"/>
  <c r="I67" i="13"/>
  <c r="I68" i="13"/>
  <c r="I42" i="13"/>
  <c r="I41" i="13"/>
  <c r="I48" i="13"/>
  <c r="I37" i="13"/>
  <c r="I63" i="13"/>
  <c r="I56" i="13"/>
  <c r="I51" i="13"/>
  <c r="I49" i="13"/>
  <c r="I98" i="13"/>
  <c r="I92" i="13"/>
  <c r="I15" i="13"/>
  <c r="I16" i="13"/>
  <c r="I104" i="13"/>
  <c r="I3" i="13"/>
  <c r="I6" i="13"/>
  <c r="I27" i="13"/>
  <c r="I23" i="13"/>
  <c r="I12" i="13"/>
  <c r="I18" i="13"/>
  <c r="I17" i="13"/>
  <c r="I9" i="13"/>
  <c r="I22" i="13"/>
  <c r="I10" i="13"/>
  <c r="I2" i="13"/>
  <c r="I19" i="13"/>
  <c r="I90" i="13"/>
  <c r="I74" i="13"/>
  <c r="I69" i="13"/>
  <c r="I73" i="13"/>
  <c r="I72" i="13"/>
  <c r="I71" i="13"/>
  <c r="I28" i="13"/>
  <c r="I29" i="13"/>
  <c r="I88" i="13"/>
  <c r="I87" i="13"/>
  <c r="I86" i="13"/>
  <c r="I101" i="13"/>
  <c r="I97" i="13"/>
  <c r="J97" i="13" l="1"/>
  <c r="O12" i="17"/>
  <c r="P12" i="17" s="1"/>
  <c r="O19" i="17"/>
  <c r="O20" i="17"/>
  <c r="O21" i="17"/>
  <c r="O18" i="17"/>
  <c r="O24" i="17"/>
  <c r="P26" i="17"/>
  <c r="Q18" i="17" s="1"/>
  <c r="O26" i="17"/>
  <c r="J86" i="13"/>
  <c r="J2" i="13"/>
  <c r="J16" i="13"/>
  <c r="J68" i="13"/>
  <c r="J30" i="13"/>
  <c r="J43" i="13"/>
  <c r="J76" i="13"/>
  <c r="J99" i="13"/>
  <c r="J87" i="13"/>
  <c r="J10" i="13"/>
  <c r="J15" i="13"/>
  <c r="J67" i="13"/>
  <c r="J60" i="13"/>
  <c r="J38" i="13"/>
  <c r="J91" i="13"/>
  <c r="J79" i="13"/>
  <c r="J88" i="13"/>
  <c r="J22" i="13"/>
  <c r="J92" i="13"/>
  <c r="J36" i="13"/>
  <c r="J61" i="13"/>
  <c r="J39" i="13"/>
  <c r="J4" i="13"/>
  <c r="J82" i="13"/>
  <c r="J29" i="13"/>
  <c r="J9" i="13"/>
  <c r="J98" i="13"/>
  <c r="J52" i="13"/>
  <c r="J47" i="13"/>
  <c r="J35" i="13"/>
  <c r="J24" i="13"/>
  <c r="J102" i="13"/>
  <c r="J28" i="13"/>
  <c r="J17" i="13"/>
  <c r="J49" i="13"/>
  <c r="J66" i="13"/>
  <c r="J59" i="13"/>
  <c r="J40" i="13"/>
  <c r="J8" i="13"/>
  <c r="J94" i="13"/>
  <c r="J71" i="13"/>
  <c r="J18" i="13"/>
  <c r="J51" i="13"/>
  <c r="J50" i="13"/>
  <c r="J58" i="13"/>
  <c r="J96" i="13"/>
  <c r="J11" i="13"/>
  <c r="J95" i="13"/>
  <c r="J72" i="13"/>
  <c r="J12" i="13"/>
  <c r="J56" i="13"/>
  <c r="J33" i="13"/>
  <c r="J54" i="13"/>
  <c r="J84" i="13"/>
  <c r="J13" i="13"/>
  <c r="J93" i="13"/>
  <c r="J73" i="13"/>
  <c r="J23" i="13"/>
  <c r="J63" i="13"/>
  <c r="J65" i="13"/>
  <c r="J64" i="13"/>
  <c r="J89" i="13"/>
  <c r="J81" i="13"/>
  <c r="J77" i="13"/>
  <c r="J69" i="13"/>
  <c r="J27" i="13"/>
  <c r="J37" i="13"/>
  <c r="J31" i="13"/>
  <c r="J46" i="13"/>
  <c r="J14" i="13"/>
  <c r="J80" i="13"/>
  <c r="J74" i="13"/>
  <c r="J6" i="13"/>
  <c r="J48" i="13"/>
  <c r="J57" i="13"/>
  <c r="J45" i="13"/>
  <c r="J7" i="13"/>
  <c r="J25" i="13"/>
  <c r="J90" i="13"/>
  <c r="J3" i="13"/>
  <c r="J41" i="13"/>
  <c r="J53" i="13"/>
  <c r="J55" i="13"/>
  <c r="J85" i="13"/>
  <c r="J20" i="13"/>
  <c r="J101" i="13"/>
  <c r="J19" i="13"/>
  <c r="J104" i="13"/>
  <c r="J42" i="13"/>
  <c r="J34" i="13"/>
  <c r="J44" i="13"/>
  <c r="J100" i="13"/>
  <c r="J21" i="13"/>
  <c r="O7" i="17"/>
  <c r="R7" i="17" s="1"/>
  <c r="S18" i="17" l="1"/>
  <c r="T18" i="17" s="1"/>
  <c r="Q20" i="17"/>
  <c r="R20" i="17" s="1"/>
  <c r="Q21" i="17"/>
  <c r="R21" i="17" s="1"/>
  <c r="R18" i="17"/>
  <c r="Q19" i="17"/>
  <c r="R19" i="17" s="1"/>
  <c r="S21" i="17"/>
  <c r="T21" i="17" s="1"/>
  <c r="S19" i="17"/>
  <c r="T19" i="17" s="1"/>
  <c r="S20" i="17"/>
  <c r="T20" i="17" s="1"/>
  <c r="P7" i="17"/>
  <c r="S7" i="17"/>
  <c r="P20" i="17"/>
  <c r="P24" i="17"/>
  <c r="P4" i="17"/>
  <c r="P23" i="17"/>
  <c r="P22" i="17"/>
  <c r="P19" i="17"/>
  <c r="P18" i="17"/>
  <c r="P21" i="17"/>
  <c r="T7" i="17" l="1"/>
  <c r="W6" i="5"/>
  <c r="W4" i="5"/>
  <c r="W5" i="5"/>
  <c r="W7" i="5"/>
  <c r="W8" i="5"/>
  <c r="W53" i="5"/>
  <c r="W13" i="5"/>
  <c r="W3" i="5"/>
  <c r="W11" i="5"/>
  <c r="W16" i="5"/>
  <c r="W20" i="5"/>
  <c r="W33" i="5"/>
  <c r="W25" i="5"/>
  <c r="W23" i="5"/>
  <c r="W18" i="5"/>
  <c r="W42" i="5"/>
  <c r="W28" i="5"/>
  <c r="W2" i="5"/>
  <c r="W46" i="5"/>
  <c r="W64" i="5"/>
  <c r="W15" i="5"/>
  <c r="W10" i="5"/>
  <c r="W14" i="5"/>
  <c r="W51" i="5"/>
  <c r="W35" i="5"/>
  <c r="W48" i="5"/>
  <c r="W49" i="5"/>
  <c r="W55" i="5"/>
  <c r="W19" i="5"/>
  <c r="W71" i="5"/>
  <c r="W50" i="5"/>
  <c r="W56" i="5"/>
  <c r="W63" i="5"/>
  <c r="W65" i="5"/>
  <c r="W66" i="5"/>
  <c r="W47" i="5"/>
  <c r="W22" i="5"/>
  <c r="W77" i="5"/>
  <c r="W24" i="5"/>
  <c r="W58" i="5"/>
  <c r="W60" i="5"/>
  <c r="W9" i="5"/>
  <c r="W45" i="5"/>
  <c r="W72" i="5"/>
  <c r="W62" i="5"/>
  <c r="W34" i="5"/>
  <c r="W57" i="5"/>
  <c r="W30" i="5"/>
  <c r="W67" i="5"/>
  <c r="W39" i="5"/>
  <c r="W37" i="5"/>
  <c r="W70" i="5"/>
  <c r="W43" i="5"/>
  <c r="W31" i="5"/>
  <c r="W52" i="5"/>
  <c r="W44" i="5"/>
  <c r="W59" i="5"/>
  <c r="W80" i="5"/>
  <c r="W21" i="5"/>
  <c r="W78" i="5"/>
  <c r="W40" i="5"/>
  <c r="W79" i="5"/>
  <c r="W17" i="5"/>
  <c r="W61" i="5"/>
  <c r="W54" i="5"/>
  <c r="W26" i="5"/>
  <c r="W74" i="5"/>
  <c r="W76" i="5"/>
  <c r="W41" i="5"/>
  <c r="W73" i="5"/>
  <c r="W82" i="5"/>
  <c r="W84" i="5"/>
  <c r="W83" i="5"/>
  <c r="W86" i="5"/>
  <c r="W75" i="5"/>
  <c r="W27" i="5"/>
  <c r="W3" i="4"/>
  <c r="W5" i="4"/>
  <c r="W2" i="4"/>
  <c r="W29" i="4"/>
  <c r="W7" i="4"/>
  <c r="W8" i="4"/>
  <c r="W13" i="4"/>
  <c r="W30" i="4"/>
  <c r="W38" i="4"/>
  <c r="W6" i="4"/>
  <c r="W19" i="4"/>
  <c r="W9" i="4"/>
  <c r="W18" i="4"/>
  <c r="W43" i="4"/>
  <c r="W40" i="4"/>
  <c r="W39" i="4"/>
  <c r="W20" i="4"/>
  <c r="W4" i="4"/>
  <c r="W31" i="4"/>
  <c r="W42" i="4"/>
  <c r="W45" i="4"/>
  <c r="W15" i="4"/>
  <c r="W21" i="4"/>
  <c r="W16" i="4"/>
  <c r="W17" i="4"/>
  <c r="W33" i="4"/>
  <c r="W32" i="4"/>
  <c r="W47" i="4"/>
  <c r="W48" i="4"/>
  <c r="W14" i="4"/>
  <c r="W50" i="4"/>
  <c r="W52" i="4"/>
  <c r="W23" i="4"/>
  <c r="W46" i="4"/>
  <c r="W53" i="4"/>
  <c r="W28" i="4"/>
  <c r="W56" i="4"/>
  <c r="W22" i="4"/>
  <c r="W51" i="4"/>
  <c r="W54" i="4"/>
  <c r="W57" i="4"/>
  <c r="W25" i="4"/>
  <c r="W59" i="4"/>
  <c r="W55" i="4"/>
  <c r="W12" i="4"/>
  <c r="W35" i="4"/>
  <c r="W11" i="4"/>
  <c r="W27" i="4"/>
  <c r="W10" i="4"/>
  <c r="W24" i="4"/>
  <c r="W62" i="4"/>
  <c r="W63" i="4"/>
  <c r="W11" i="3"/>
  <c r="W8" i="3"/>
  <c r="W7" i="3"/>
  <c r="W26" i="3"/>
  <c r="W4" i="3"/>
  <c r="W39" i="3"/>
  <c r="W16" i="3"/>
  <c r="W30" i="3"/>
  <c r="W9" i="3"/>
  <c r="W25" i="3"/>
  <c r="W29" i="3"/>
  <c r="W15" i="3"/>
  <c r="W40" i="3"/>
  <c r="W22" i="3"/>
  <c r="W61" i="3"/>
  <c r="W18" i="3"/>
  <c r="W59" i="3"/>
  <c r="W21" i="3"/>
  <c r="W23" i="3"/>
  <c r="W33" i="3"/>
  <c r="W20" i="3"/>
  <c r="W19" i="3"/>
  <c r="W60" i="3"/>
  <c r="V90" i="6"/>
  <c r="V3" i="6"/>
  <c r="V5" i="6"/>
  <c r="V4" i="6"/>
  <c r="V7" i="6"/>
  <c r="V21" i="6"/>
  <c r="V8" i="6"/>
  <c r="V6" i="6"/>
  <c r="V15" i="6"/>
  <c r="V9" i="6"/>
  <c r="V12" i="6"/>
  <c r="V19" i="6"/>
  <c r="V13" i="6"/>
  <c r="V18" i="6"/>
  <c r="V17" i="6"/>
  <c r="V22" i="6"/>
  <c r="V23" i="6"/>
  <c r="V14" i="6"/>
  <c r="V10" i="6"/>
  <c r="V16" i="6"/>
  <c r="V28" i="6"/>
  <c r="V27" i="6"/>
  <c r="V48" i="6"/>
  <c r="V24" i="6"/>
  <c r="V39" i="6"/>
  <c r="V50" i="6"/>
  <c r="V32" i="6"/>
  <c r="V11" i="6"/>
  <c r="V29" i="6"/>
  <c r="V36" i="6"/>
  <c r="V20" i="6"/>
  <c r="V49" i="6"/>
  <c r="V31" i="6"/>
  <c r="V51" i="6"/>
  <c r="V26" i="6"/>
  <c r="V63" i="6"/>
  <c r="V59" i="6"/>
  <c r="V45" i="6"/>
  <c r="V58" i="6"/>
  <c r="V56" i="6"/>
  <c r="V43" i="6"/>
  <c r="V47" i="6"/>
  <c r="V60" i="6"/>
  <c r="V33" i="6"/>
  <c r="V57" i="6"/>
  <c r="V41" i="6"/>
  <c r="V38" i="6"/>
  <c r="V34" i="6"/>
  <c r="V30" i="6"/>
  <c r="V77" i="6"/>
  <c r="V54" i="6"/>
  <c r="V78" i="6"/>
  <c r="V65" i="6"/>
  <c r="V53" i="6"/>
  <c r="V42" i="6"/>
  <c r="V44" i="6"/>
  <c r="V75" i="6"/>
  <c r="V61" i="6"/>
  <c r="V35" i="6"/>
  <c r="V46" i="6"/>
  <c r="V64" i="6"/>
  <c r="V52" i="6"/>
  <c r="V76" i="6"/>
  <c r="V37" i="6"/>
  <c r="V71" i="6"/>
  <c r="V73" i="6"/>
  <c r="V62" i="6"/>
  <c r="V67" i="6"/>
  <c r="V72" i="6"/>
  <c r="V69" i="6"/>
  <c r="V82" i="6"/>
  <c r="V79" i="6"/>
  <c r="V74" i="6"/>
  <c r="V81" i="6"/>
  <c r="V55" i="6"/>
  <c r="V86" i="6"/>
  <c r="V40" i="6"/>
  <c r="V85" i="6"/>
  <c r="V89" i="6"/>
  <c r="V80" i="6"/>
  <c r="B85" i="1"/>
  <c r="B86" i="1"/>
  <c r="B69" i="1"/>
  <c r="B74" i="1"/>
  <c r="B82" i="1"/>
  <c r="B75" i="1"/>
  <c r="B55" i="1"/>
  <c r="B79" i="1"/>
  <c r="B72" i="1"/>
  <c r="B70" i="1"/>
  <c r="B76" i="1"/>
  <c r="B73" i="1"/>
  <c r="B81" i="1"/>
  <c r="B83" i="1"/>
  <c r="B66" i="1"/>
  <c r="B71" i="1"/>
  <c r="B65" i="1"/>
  <c r="B48" i="1"/>
  <c r="B61" i="1"/>
  <c r="B62" i="1"/>
  <c r="B43" i="1"/>
  <c r="B52" i="1"/>
  <c r="B46" i="1"/>
  <c r="B58" i="1"/>
  <c r="B64" i="1"/>
  <c r="B47" i="1"/>
  <c r="B56" i="1"/>
  <c r="B40" i="1"/>
  <c r="B51" i="1"/>
  <c r="B54" i="1"/>
  <c r="B63" i="1"/>
  <c r="B53" i="1"/>
  <c r="B37" i="1"/>
  <c r="B45" i="1"/>
  <c r="B57" i="1"/>
  <c r="B50" i="1"/>
  <c r="B44" i="1"/>
  <c r="B36" i="1"/>
  <c r="B59" i="1"/>
  <c r="B49" i="1"/>
  <c r="B39" i="1"/>
  <c r="B25" i="1"/>
  <c r="B35" i="1"/>
  <c r="B60" i="1"/>
  <c r="B31" i="1"/>
  <c r="B3" i="1"/>
  <c r="B32" i="1"/>
  <c r="B29" i="1"/>
  <c r="B19" i="1"/>
  <c r="B21" i="1"/>
  <c r="B24" i="1"/>
  <c r="B16" i="1"/>
  <c r="B41" i="1"/>
  <c r="B34" i="1"/>
  <c r="B26" i="1"/>
  <c r="B22" i="1"/>
  <c r="B27" i="1"/>
  <c r="B28" i="1"/>
  <c r="B38" i="1"/>
  <c r="B18" i="1"/>
  <c r="B33" i="1"/>
  <c r="B30" i="1"/>
  <c r="B67" i="1"/>
  <c r="B13" i="1"/>
  <c r="B23" i="1"/>
  <c r="B15" i="1"/>
  <c r="B12" i="1"/>
  <c r="B20" i="1"/>
  <c r="B17" i="1"/>
  <c r="B14" i="1"/>
  <c r="B11" i="1"/>
  <c r="B10" i="1"/>
  <c r="B7" i="1"/>
  <c r="B8" i="1"/>
  <c r="B9" i="1"/>
  <c r="B2" i="1"/>
  <c r="B5" i="1"/>
  <c r="B6" i="1"/>
  <c r="B4" i="1"/>
  <c r="K12" i="7" l="1"/>
  <c r="D84" i="7"/>
  <c r="D80" i="7"/>
  <c r="D81" i="7"/>
  <c r="D86" i="7"/>
  <c r="D89" i="7"/>
  <c r="D87" i="7"/>
  <c r="D88" i="7"/>
  <c r="D85" i="7"/>
  <c r="D90" i="7"/>
  <c r="D92" i="7"/>
  <c r="D91" i="7"/>
  <c r="D82" i="7"/>
  <c r="V79" i="7"/>
  <c r="R83" i="7" s="1"/>
  <c r="E88" i="7"/>
  <c r="F88" i="7"/>
  <c r="G88" i="7"/>
  <c r="H88" i="7"/>
  <c r="I88" i="7"/>
  <c r="J88" i="7"/>
  <c r="K88" i="7"/>
  <c r="L88" i="7"/>
  <c r="M88" i="7"/>
  <c r="N88" i="7"/>
  <c r="O88" i="7"/>
  <c r="P88" i="7"/>
  <c r="E89" i="7"/>
  <c r="F89" i="7"/>
  <c r="G89" i="7"/>
  <c r="H89" i="7"/>
  <c r="I89" i="7"/>
  <c r="J89" i="7"/>
  <c r="K89" i="7"/>
  <c r="L89" i="7"/>
  <c r="M89" i="7"/>
  <c r="N89" i="7"/>
  <c r="O89" i="7"/>
  <c r="P89" i="7"/>
  <c r="E85" i="7"/>
  <c r="F85" i="7"/>
  <c r="G85" i="7"/>
  <c r="H85" i="7"/>
  <c r="I85" i="7"/>
  <c r="J85" i="7"/>
  <c r="K85" i="7"/>
  <c r="L85" i="7"/>
  <c r="M85" i="7"/>
  <c r="N85" i="7"/>
  <c r="O85" i="7"/>
  <c r="P85" i="7"/>
  <c r="E91" i="7"/>
  <c r="F91" i="7"/>
  <c r="G91" i="7"/>
  <c r="H91" i="7"/>
  <c r="I91" i="7"/>
  <c r="J91" i="7"/>
  <c r="K91" i="7"/>
  <c r="L91" i="7"/>
  <c r="M91" i="7"/>
  <c r="N91" i="7"/>
  <c r="O91" i="7"/>
  <c r="P91" i="7"/>
  <c r="E84" i="7"/>
  <c r="F84" i="7"/>
  <c r="G84" i="7"/>
  <c r="H84" i="7"/>
  <c r="I84" i="7"/>
  <c r="J84" i="7"/>
  <c r="K84" i="7"/>
  <c r="L84" i="7"/>
  <c r="M84" i="7"/>
  <c r="N84" i="7"/>
  <c r="O84" i="7"/>
  <c r="P84" i="7"/>
  <c r="E87" i="7"/>
  <c r="F87" i="7"/>
  <c r="G87" i="7"/>
  <c r="H87" i="7"/>
  <c r="I87" i="7"/>
  <c r="J87" i="7"/>
  <c r="K87" i="7"/>
  <c r="L87" i="7"/>
  <c r="M87" i="7"/>
  <c r="N87" i="7"/>
  <c r="O87" i="7"/>
  <c r="P87" i="7"/>
  <c r="E81" i="7"/>
  <c r="F81" i="7"/>
  <c r="G81" i="7"/>
  <c r="H81" i="7"/>
  <c r="I81" i="7"/>
  <c r="J81" i="7"/>
  <c r="K81" i="7"/>
  <c r="L81" i="7"/>
  <c r="M81" i="7"/>
  <c r="N81" i="7"/>
  <c r="O81" i="7"/>
  <c r="P81" i="7"/>
  <c r="E82" i="7"/>
  <c r="F82" i="7"/>
  <c r="G82" i="7"/>
  <c r="H82" i="7"/>
  <c r="I82" i="7"/>
  <c r="J82" i="7"/>
  <c r="K82" i="7"/>
  <c r="L82" i="7"/>
  <c r="M82" i="7"/>
  <c r="N82" i="7"/>
  <c r="O82" i="7"/>
  <c r="P82" i="7"/>
  <c r="E80" i="7"/>
  <c r="F80" i="7"/>
  <c r="G80" i="7"/>
  <c r="H80" i="7"/>
  <c r="I80" i="7"/>
  <c r="J80" i="7"/>
  <c r="K80" i="7"/>
  <c r="L80" i="7"/>
  <c r="M80" i="7"/>
  <c r="N80" i="7"/>
  <c r="O80" i="7"/>
  <c r="P80" i="7"/>
  <c r="E90" i="7"/>
  <c r="F90" i="7"/>
  <c r="G90" i="7"/>
  <c r="H90" i="7"/>
  <c r="I90" i="7"/>
  <c r="J90" i="7"/>
  <c r="K90" i="7"/>
  <c r="L90" i="7"/>
  <c r="M90" i="7"/>
  <c r="N90" i="7"/>
  <c r="O90" i="7"/>
  <c r="P90" i="7"/>
  <c r="E86" i="7"/>
  <c r="F86" i="7"/>
  <c r="G86" i="7"/>
  <c r="H86" i="7"/>
  <c r="I86" i="7"/>
  <c r="J86" i="7"/>
  <c r="K86" i="7"/>
  <c r="L86" i="7"/>
  <c r="M86" i="7"/>
  <c r="N86" i="7"/>
  <c r="O86" i="7"/>
  <c r="P86" i="7"/>
  <c r="P92" i="7"/>
  <c r="O92" i="7"/>
  <c r="N92" i="7"/>
  <c r="M92" i="7"/>
  <c r="L92" i="7"/>
  <c r="K92" i="7"/>
  <c r="J92" i="7"/>
  <c r="I92" i="7"/>
  <c r="H92" i="7"/>
  <c r="G92" i="7"/>
  <c r="F92" i="7"/>
  <c r="E92" i="7"/>
  <c r="B88" i="7"/>
  <c r="B89" i="7"/>
  <c r="B85" i="7"/>
  <c r="B91" i="7"/>
  <c r="B84" i="7"/>
  <c r="B87" i="7"/>
  <c r="B81" i="7"/>
  <c r="B82" i="7"/>
  <c r="B80" i="7"/>
  <c r="B90" i="7"/>
  <c r="B86" i="7"/>
  <c r="B92" i="7"/>
  <c r="A93" i="1"/>
  <c r="C93" i="1"/>
  <c r="D93" i="1"/>
  <c r="E93" i="1"/>
  <c r="F93" i="1"/>
  <c r="A85" i="1"/>
  <c r="C85" i="1"/>
  <c r="D85" i="1"/>
  <c r="E85" i="1"/>
  <c r="F85" i="1"/>
  <c r="A90" i="1"/>
  <c r="B90" i="1"/>
  <c r="C90" i="1"/>
  <c r="D90" i="1"/>
  <c r="E90" i="1"/>
  <c r="F90" i="1"/>
  <c r="A86" i="1"/>
  <c r="C86" i="1"/>
  <c r="D86" i="1"/>
  <c r="E86" i="1"/>
  <c r="F86" i="1"/>
  <c r="A92" i="1"/>
  <c r="C92" i="1"/>
  <c r="D92" i="1"/>
  <c r="E92" i="1"/>
  <c r="F92" i="1"/>
  <c r="A69" i="1"/>
  <c r="C69" i="1"/>
  <c r="D69" i="1"/>
  <c r="E69" i="1"/>
  <c r="F69" i="1"/>
  <c r="A75" i="1"/>
  <c r="C75" i="1"/>
  <c r="D75" i="1"/>
  <c r="E75" i="1"/>
  <c r="F75" i="1"/>
  <c r="A82" i="1"/>
  <c r="C82" i="1"/>
  <c r="D82" i="1"/>
  <c r="E82" i="1"/>
  <c r="F82" i="1"/>
  <c r="A74" i="1"/>
  <c r="C74" i="1"/>
  <c r="D74" i="1"/>
  <c r="E74" i="1"/>
  <c r="F74" i="1"/>
  <c r="A79" i="1"/>
  <c r="C79" i="1"/>
  <c r="D79" i="1"/>
  <c r="E79" i="1"/>
  <c r="F79" i="1"/>
  <c r="A55" i="1"/>
  <c r="C55" i="1"/>
  <c r="D55" i="1"/>
  <c r="E55" i="1"/>
  <c r="F55" i="1"/>
  <c r="A70" i="1"/>
  <c r="C70" i="1"/>
  <c r="D70" i="1"/>
  <c r="E70" i="1"/>
  <c r="F70" i="1"/>
  <c r="A81" i="1"/>
  <c r="C81" i="1"/>
  <c r="D81" i="1"/>
  <c r="E81" i="1"/>
  <c r="F81" i="1"/>
  <c r="A76" i="1"/>
  <c r="C76" i="1"/>
  <c r="D76" i="1"/>
  <c r="E76" i="1"/>
  <c r="F76" i="1"/>
  <c r="A72" i="1"/>
  <c r="C72" i="1"/>
  <c r="D72" i="1"/>
  <c r="E72" i="1"/>
  <c r="F72" i="1"/>
  <c r="A73" i="1"/>
  <c r="C73" i="1"/>
  <c r="D73" i="1"/>
  <c r="E73" i="1"/>
  <c r="F73" i="1"/>
  <c r="A66" i="1"/>
  <c r="C66" i="1"/>
  <c r="D66" i="1"/>
  <c r="E66" i="1"/>
  <c r="F66" i="1"/>
  <c r="A83" i="1"/>
  <c r="C83" i="1"/>
  <c r="D83" i="1"/>
  <c r="E83" i="1"/>
  <c r="F83" i="1"/>
  <c r="A89" i="1"/>
  <c r="C89" i="1"/>
  <c r="D89" i="1"/>
  <c r="E89" i="1"/>
  <c r="F89" i="1"/>
  <c r="A65" i="1"/>
  <c r="C65" i="1"/>
  <c r="D65" i="1"/>
  <c r="E65" i="1"/>
  <c r="F65" i="1"/>
  <c r="A71" i="1"/>
  <c r="C71" i="1"/>
  <c r="D71" i="1"/>
  <c r="E71" i="1"/>
  <c r="F71" i="1"/>
  <c r="A48" i="1"/>
  <c r="C48" i="1"/>
  <c r="D48" i="1"/>
  <c r="E48" i="1"/>
  <c r="F48" i="1"/>
  <c r="A61" i="1"/>
  <c r="C61" i="1"/>
  <c r="D61" i="1"/>
  <c r="E61" i="1"/>
  <c r="F61" i="1"/>
  <c r="A62" i="1"/>
  <c r="C62" i="1"/>
  <c r="D62" i="1"/>
  <c r="E62" i="1"/>
  <c r="F62" i="1"/>
  <c r="A43" i="1"/>
  <c r="C43" i="1"/>
  <c r="D43" i="1"/>
  <c r="E43" i="1"/>
  <c r="F43" i="1"/>
  <c r="A52" i="1"/>
  <c r="C52" i="1"/>
  <c r="D52" i="1"/>
  <c r="E52" i="1"/>
  <c r="F52" i="1"/>
  <c r="A58" i="1"/>
  <c r="C58" i="1"/>
  <c r="D58" i="1"/>
  <c r="E58" i="1"/>
  <c r="F58" i="1"/>
  <c r="A46" i="1"/>
  <c r="C46" i="1"/>
  <c r="D46" i="1"/>
  <c r="E46" i="1"/>
  <c r="F46" i="1"/>
  <c r="A56" i="1"/>
  <c r="C56" i="1"/>
  <c r="D56" i="1"/>
  <c r="E56" i="1"/>
  <c r="F56" i="1"/>
  <c r="A47" i="1"/>
  <c r="C47" i="1"/>
  <c r="D47" i="1"/>
  <c r="E47" i="1"/>
  <c r="F47" i="1"/>
  <c r="A64" i="1"/>
  <c r="C64" i="1"/>
  <c r="D64" i="1"/>
  <c r="E64" i="1"/>
  <c r="F64" i="1"/>
  <c r="A40" i="1"/>
  <c r="C40" i="1"/>
  <c r="D40" i="1"/>
  <c r="E40" i="1"/>
  <c r="F40" i="1"/>
  <c r="A51" i="1"/>
  <c r="C51" i="1"/>
  <c r="D51" i="1"/>
  <c r="E51" i="1"/>
  <c r="F51" i="1"/>
  <c r="A54" i="1"/>
  <c r="C54" i="1"/>
  <c r="D54" i="1"/>
  <c r="E54" i="1"/>
  <c r="F54" i="1"/>
  <c r="A63" i="1"/>
  <c r="C63" i="1"/>
  <c r="D63" i="1"/>
  <c r="E63" i="1"/>
  <c r="F63" i="1"/>
  <c r="A49" i="1"/>
  <c r="C49" i="1"/>
  <c r="D49" i="1"/>
  <c r="E49" i="1"/>
  <c r="F49" i="1"/>
  <c r="A53" i="1"/>
  <c r="C53" i="1"/>
  <c r="D53" i="1"/>
  <c r="E53" i="1"/>
  <c r="F53" i="1"/>
  <c r="A44" i="1"/>
  <c r="C44" i="1"/>
  <c r="D44" i="1"/>
  <c r="E44" i="1"/>
  <c r="F44" i="1"/>
  <c r="A36" i="1"/>
  <c r="C36" i="1"/>
  <c r="D36" i="1"/>
  <c r="E36" i="1"/>
  <c r="F36" i="1"/>
  <c r="A37" i="1"/>
  <c r="C37" i="1"/>
  <c r="D37" i="1"/>
  <c r="E37" i="1"/>
  <c r="F37" i="1"/>
  <c r="A45" i="1"/>
  <c r="C45" i="1"/>
  <c r="D45" i="1"/>
  <c r="E45" i="1"/>
  <c r="F45" i="1"/>
  <c r="A57" i="1"/>
  <c r="C57" i="1"/>
  <c r="D57" i="1"/>
  <c r="E57" i="1"/>
  <c r="F57" i="1"/>
  <c r="A39" i="1"/>
  <c r="C39" i="1"/>
  <c r="D39" i="1"/>
  <c r="E39" i="1"/>
  <c r="F39" i="1"/>
  <c r="A59" i="1"/>
  <c r="C59" i="1"/>
  <c r="D59" i="1"/>
  <c r="E59" i="1"/>
  <c r="F59" i="1"/>
  <c r="A25" i="1"/>
  <c r="C25" i="1"/>
  <c r="D25" i="1"/>
  <c r="E25" i="1"/>
  <c r="F25" i="1"/>
  <c r="A50" i="1"/>
  <c r="C50" i="1"/>
  <c r="D50" i="1"/>
  <c r="E50" i="1"/>
  <c r="F50" i="1"/>
  <c r="A60" i="1"/>
  <c r="C60" i="1"/>
  <c r="D60" i="1"/>
  <c r="E60" i="1"/>
  <c r="F60" i="1"/>
  <c r="A21" i="1"/>
  <c r="C21" i="1"/>
  <c r="D21" i="1"/>
  <c r="E21" i="1"/>
  <c r="F21" i="1"/>
  <c r="A31" i="1"/>
  <c r="C31" i="1"/>
  <c r="D31" i="1"/>
  <c r="E31" i="1"/>
  <c r="F31" i="1"/>
  <c r="A35" i="1"/>
  <c r="C35" i="1"/>
  <c r="D35" i="1"/>
  <c r="E35" i="1"/>
  <c r="F35" i="1"/>
  <c r="A3" i="1"/>
  <c r="C3" i="1"/>
  <c r="D3" i="1"/>
  <c r="E3" i="1"/>
  <c r="F3" i="1"/>
  <c r="A29" i="1"/>
  <c r="C29" i="1"/>
  <c r="D29" i="1"/>
  <c r="E29" i="1"/>
  <c r="F29" i="1"/>
  <c r="A32" i="1"/>
  <c r="C32" i="1"/>
  <c r="D32" i="1"/>
  <c r="E32" i="1"/>
  <c r="F32" i="1"/>
  <c r="A19" i="1"/>
  <c r="C19" i="1"/>
  <c r="D19" i="1"/>
  <c r="E19" i="1"/>
  <c r="F19" i="1"/>
  <c r="A24" i="1"/>
  <c r="C24" i="1"/>
  <c r="D24" i="1"/>
  <c r="E24" i="1"/>
  <c r="F24" i="1"/>
  <c r="A16" i="1"/>
  <c r="C16" i="1"/>
  <c r="D16" i="1"/>
  <c r="E16" i="1"/>
  <c r="F16" i="1"/>
  <c r="A41" i="1"/>
  <c r="C41" i="1"/>
  <c r="D41" i="1"/>
  <c r="E41" i="1"/>
  <c r="F41" i="1"/>
  <c r="A26" i="1"/>
  <c r="C26" i="1"/>
  <c r="D26" i="1"/>
  <c r="E26" i="1"/>
  <c r="F26" i="1"/>
  <c r="A22" i="1"/>
  <c r="C22" i="1"/>
  <c r="D22" i="1"/>
  <c r="E22" i="1"/>
  <c r="F22" i="1"/>
  <c r="A38" i="1"/>
  <c r="C38" i="1"/>
  <c r="D38" i="1"/>
  <c r="E38" i="1"/>
  <c r="F38" i="1"/>
  <c r="A28" i="1"/>
  <c r="C28" i="1"/>
  <c r="D28" i="1"/>
  <c r="E28" i="1"/>
  <c r="F28" i="1"/>
  <c r="A23" i="1"/>
  <c r="C23" i="1"/>
  <c r="D23" i="1"/>
  <c r="E23" i="1"/>
  <c r="F23" i="1"/>
  <c r="A18" i="1"/>
  <c r="C18" i="1"/>
  <c r="D18" i="1"/>
  <c r="E18" i="1"/>
  <c r="F18" i="1"/>
  <c r="A33" i="1"/>
  <c r="C33" i="1"/>
  <c r="D33" i="1"/>
  <c r="E33" i="1"/>
  <c r="F33" i="1"/>
  <c r="A27" i="1"/>
  <c r="C27" i="1"/>
  <c r="D27" i="1"/>
  <c r="E27" i="1"/>
  <c r="F27" i="1"/>
  <c r="A30" i="1"/>
  <c r="C30" i="1"/>
  <c r="D30" i="1"/>
  <c r="E30" i="1"/>
  <c r="F30" i="1"/>
  <c r="A34" i="1"/>
  <c r="C34" i="1"/>
  <c r="D34" i="1"/>
  <c r="E34" i="1"/>
  <c r="F34" i="1"/>
  <c r="A13" i="1"/>
  <c r="C13" i="1"/>
  <c r="D13" i="1"/>
  <c r="E13" i="1"/>
  <c r="F13" i="1"/>
  <c r="A67" i="1"/>
  <c r="C67" i="1"/>
  <c r="D67" i="1"/>
  <c r="E67" i="1"/>
  <c r="F67" i="1"/>
  <c r="A15" i="1"/>
  <c r="C15" i="1"/>
  <c r="D15" i="1"/>
  <c r="E15" i="1"/>
  <c r="F15" i="1"/>
  <c r="A12" i="1"/>
  <c r="C12" i="1"/>
  <c r="D12" i="1"/>
  <c r="E12" i="1"/>
  <c r="F12" i="1"/>
  <c r="A17" i="1"/>
  <c r="C17" i="1"/>
  <c r="D17" i="1"/>
  <c r="E17" i="1"/>
  <c r="F17" i="1"/>
  <c r="A14" i="1"/>
  <c r="C14" i="1"/>
  <c r="D14" i="1"/>
  <c r="E14" i="1"/>
  <c r="F14" i="1"/>
  <c r="A11" i="1"/>
  <c r="C11" i="1"/>
  <c r="D11" i="1"/>
  <c r="E11" i="1"/>
  <c r="F11" i="1"/>
  <c r="A10" i="1"/>
  <c r="C10" i="1"/>
  <c r="D10" i="1"/>
  <c r="E10" i="1"/>
  <c r="F10" i="1"/>
  <c r="A20" i="1"/>
  <c r="C20" i="1"/>
  <c r="D20" i="1"/>
  <c r="E20" i="1"/>
  <c r="F20" i="1"/>
  <c r="A7" i="1"/>
  <c r="C7" i="1"/>
  <c r="D7" i="1"/>
  <c r="E7" i="1"/>
  <c r="F7" i="1"/>
  <c r="A8" i="1"/>
  <c r="C8" i="1"/>
  <c r="D8" i="1"/>
  <c r="E8" i="1"/>
  <c r="F8" i="1"/>
  <c r="A5" i="1"/>
  <c r="C5" i="1"/>
  <c r="D5" i="1"/>
  <c r="E5" i="1"/>
  <c r="F5" i="1"/>
  <c r="A9" i="1"/>
  <c r="C9" i="1"/>
  <c r="D9" i="1"/>
  <c r="E9" i="1"/>
  <c r="F9" i="1"/>
  <c r="A2" i="1"/>
  <c r="C2" i="1"/>
  <c r="D2" i="1"/>
  <c r="E2" i="1"/>
  <c r="F2" i="1"/>
  <c r="A6" i="1"/>
  <c r="C6" i="1"/>
  <c r="D6" i="1"/>
  <c r="E6" i="1"/>
  <c r="F6" i="1"/>
  <c r="A4" i="1"/>
  <c r="C4" i="1"/>
  <c r="D4" i="1"/>
  <c r="E4" i="1"/>
  <c r="F4" i="1"/>
  <c r="A94" i="1"/>
  <c r="C94" i="1"/>
  <c r="D94" i="1"/>
  <c r="E94" i="1"/>
  <c r="F94" i="1"/>
  <c r="A102" i="1"/>
  <c r="C102" i="1"/>
  <c r="D102" i="1"/>
  <c r="E102" i="1"/>
  <c r="F102" i="1"/>
  <c r="A95" i="1"/>
  <c r="C95" i="1"/>
  <c r="D95" i="1"/>
  <c r="E95" i="1"/>
  <c r="F95" i="1"/>
  <c r="A97" i="1"/>
  <c r="C97" i="1"/>
  <c r="D97" i="1"/>
  <c r="E97" i="1"/>
  <c r="F97" i="1"/>
  <c r="A98" i="1"/>
  <c r="C98" i="1"/>
  <c r="D98" i="1"/>
  <c r="E98" i="1"/>
  <c r="F98" i="1"/>
  <c r="A103" i="1"/>
  <c r="C103" i="1"/>
  <c r="D103" i="1"/>
  <c r="E103" i="1"/>
  <c r="F103" i="1"/>
  <c r="A101" i="1"/>
  <c r="C101" i="1"/>
  <c r="D101" i="1"/>
  <c r="E101" i="1"/>
  <c r="F101" i="1"/>
  <c r="A87" i="1"/>
  <c r="C87" i="1"/>
  <c r="D87" i="1"/>
  <c r="E87" i="1"/>
  <c r="F87" i="1"/>
  <c r="A104" i="1"/>
  <c r="C104" i="1"/>
  <c r="D104" i="1"/>
  <c r="E104" i="1"/>
  <c r="F104" i="1"/>
  <c r="A96" i="1"/>
  <c r="C96" i="1"/>
  <c r="D96" i="1"/>
  <c r="E96" i="1"/>
  <c r="F96" i="1"/>
  <c r="F88" i="1"/>
  <c r="E88" i="1"/>
  <c r="D88" i="1"/>
  <c r="C88" i="1"/>
  <c r="A88" i="1"/>
  <c r="A6" i="5"/>
  <c r="B6" i="5"/>
  <c r="C6" i="5"/>
  <c r="D6" i="5"/>
  <c r="E6" i="5"/>
  <c r="F6" i="5"/>
  <c r="A4" i="5"/>
  <c r="B4" i="5"/>
  <c r="C4" i="5"/>
  <c r="D4" i="5"/>
  <c r="E4" i="5"/>
  <c r="F4" i="5"/>
  <c r="A5" i="5"/>
  <c r="B5" i="5"/>
  <c r="C5" i="5"/>
  <c r="D5" i="5"/>
  <c r="E5" i="5"/>
  <c r="F5" i="5"/>
  <c r="A7" i="5"/>
  <c r="B7" i="5"/>
  <c r="C7" i="5"/>
  <c r="D7" i="5"/>
  <c r="E7" i="5"/>
  <c r="F7" i="5"/>
  <c r="A8" i="5"/>
  <c r="B8" i="5"/>
  <c r="C8" i="5"/>
  <c r="D8" i="5"/>
  <c r="E8" i="5"/>
  <c r="F8" i="5"/>
  <c r="A13" i="5"/>
  <c r="B13" i="5"/>
  <c r="C13" i="5"/>
  <c r="D13" i="5"/>
  <c r="E13" i="5"/>
  <c r="F13" i="5"/>
  <c r="A53" i="5"/>
  <c r="B53" i="5"/>
  <c r="C53" i="5"/>
  <c r="D53" i="5"/>
  <c r="E53" i="5"/>
  <c r="F53" i="5"/>
  <c r="A3" i="5"/>
  <c r="B3" i="5"/>
  <c r="C3" i="5"/>
  <c r="D3" i="5"/>
  <c r="E3" i="5"/>
  <c r="F3" i="5"/>
  <c r="A11" i="5"/>
  <c r="B11" i="5"/>
  <c r="C11" i="5"/>
  <c r="D11" i="5"/>
  <c r="E11" i="5"/>
  <c r="F11" i="5"/>
  <c r="A33" i="5"/>
  <c r="B33" i="5"/>
  <c r="C33" i="5"/>
  <c r="D33" i="5"/>
  <c r="E33" i="5"/>
  <c r="F33" i="5"/>
  <c r="A25" i="5"/>
  <c r="B25" i="5"/>
  <c r="C25" i="5"/>
  <c r="D25" i="5"/>
  <c r="E25" i="5"/>
  <c r="F25" i="5"/>
  <c r="A18" i="5"/>
  <c r="B18" i="5"/>
  <c r="C18" i="5"/>
  <c r="D18" i="5"/>
  <c r="E18" i="5"/>
  <c r="F18" i="5"/>
  <c r="A16" i="5"/>
  <c r="B16" i="5"/>
  <c r="C16" i="5"/>
  <c r="D16" i="5"/>
  <c r="E16" i="5"/>
  <c r="F16" i="5"/>
  <c r="A42" i="5"/>
  <c r="B42" i="5"/>
  <c r="C42" i="5"/>
  <c r="D42" i="5"/>
  <c r="E42" i="5"/>
  <c r="F42" i="5"/>
  <c r="A23" i="5"/>
  <c r="B23" i="5"/>
  <c r="C23" i="5"/>
  <c r="D23" i="5"/>
  <c r="E23" i="5"/>
  <c r="F23" i="5"/>
  <c r="A28" i="5"/>
  <c r="B28" i="5"/>
  <c r="C28" i="5"/>
  <c r="D28" i="5"/>
  <c r="E28" i="5"/>
  <c r="F28" i="5"/>
  <c r="A2" i="5"/>
  <c r="B2" i="5"/>
  <c r="C2" i="5"/>
  <c r="D2" i="5"/>
  <c r="E2" i="5"/>
  <c r="F2" i="5"/>
  <c r="A46" i="5"/>
  <c r="B46" i="5"/>
  <c r="C46" i="5"/>
  <c r="D46" i="5"/>
  <c r="E46" i="5"/>
  <c r="F46" i="5"/>
  <c r="A20" i="5"/>
  <c r="B20" i="5"/>
  <c r="C20" i="5"/>
  <c r="D20" i="5"/>
  <c r="E20" i="5"/>
  <c r="F20" i="5"/>
  <c r="A15" i="5"/>
  <c r="B15" i="5"/>
  <c r="C15" i="5"/>
  <c r="D15" i="5"/>
  <c r="E15" i="5"/>
  <c r="F15" i="5"/>
  <c r="A35" i="5"/>
  <c r="B35" i="5"/>
  <c r="C35" i="5"/>
  <c r="D35" i="5"/>
  <c r="E35" i="5"/>
  <c r="F35" i="5"/>
  <c r="A10" i="5"/>
  <c r="B10" i="5"/>
  <c r="C10" i="5"/>
  <c r="D10" i="5"/>
  <c r="E10" i="5"/>
  <c r="F10" i="5"/>
  <c r="A14" i="5"/>
  <c r="B14" i="5"/>
  <c r="C14" i="5"/>
  <c r="D14" i="5"/>
  <c r="E14" i="5"/>
  <c r="F14" i="5"/>
  <c r="A64" i="5"/>
  <c r="B64" i="5"/>
  <c r="C64" i="5"/>
  <c r="D64" i="5"/>
  <c r="E64" i="5"/>
  <c r="F64" i="5"/>
  <c r="A19" i="5"/>
  <c r="B19" i="5"/>
  <c r="C19" i="5"/>
  <c r="D19" i="5"/>
  <c r="E19" i="5"/>
  <c r="F19" i="5"/>
  <c r="A51" i="5"/>
  <c r="B51" i="5"/>
  <c r="C51" i="5"/>
  <c r="D51" i="5"/>
  <c r="E51" i="5"/>
  <c r="F51" i="5"/>
  <c r="A55" i="5"/>
  <c r="B55" i="5"/>
  <c r="C55" i="5"/>
  <c r="D55" i="5"/>
  <c r="E55" i="5"/>
  <c r="F55" i="5"/>
  <c r="A49" i="5"/>
  <c r="B49" i="5"/>
  <c r="C49" i="5"/>
  <c r="D49" i="5"/>
  <c r="E49" i="5"/>
  <c r="F49" i="5"/>
  <c r="A50" i="5"/>
  <c r="B50" i="5"/>
  <c r="C50" i="5"/>
  <c r="D50" i="5"/>
  <c r="E50" i="5"/>
  <c r="F50" i="5"/>
  <c r="A56" i="5"/>
  <c r="B56" i="5"/>
  <c r="C56" i="5"/>
  <c r="D56" i="5"/>
  <c r="E56" i="5"/>
  <c r="F56" i="5"/>
  <c r="A48" i="5"/>
  <c r="B48" i="5"/>
  <c r="C48" i="5"/>
  <c r="D48" i="5"/>
  <c r="E48" i="5"/>
  <c r="F48" i="5"/>
  <c r="A71" i="5"/>
  <c r="B71" i="5"/>
  <c r="C71" i="5"/>
  <c r="D71" i="5"/>
  <c r="E71" i="5"/>
  <c r="F71" i="5"/>
  <c r="A63" i="5"/>
  <c r="B63" i="5"/>
  <c r="C63" i="5"/>
  <c r="D63" i="5"/>
  <c r="E63" i="5"/>
  <c r="F63" i="5"/>
  <c r="A47" i="5"/>
  <c r="B47" i="5"/>
  <c r="C47" i="5"/>
  <c r="D47" i="5"/>
  <c r="E47" i="5"/>
  <c r="F47" i="5"/>
  <c r="A65" i="5"/>
  <c r="B65" i="5"/>
  <c r="C65" i="5"/>
  <c r="D65" i="5"/>
  <c r="E65" i="5"/>
  <c r="F65" i="5"/>
  <c r="A66" i="5"/>
  <c r="B66" i="5"/>
  <c r="C66" i="5"/>
  <c r="D66" i="5"/>
  <c r="E66" i="5"/>
  <c r="F66" i="5"/>
  <c r="A58" i="5"/>
  <c r="B58" i="5"/>
  <c r="C58" i="5"/>
  <c r="D58" i="5"/>
  <c r="E58" i="5"/>
  <c r="F58" i="5"/>
  <c r="A22" i="5"/>
  <c r="B22" i="5"/>
  <c r="C22" i="5"/>
  <c r="D22" i="5"/>
  <c r="E22" i="5"/>
  <c r="F22" i="5"/>
  <c r="A77" i="5"/>
  <c r="B77" i="5"/>
  <c r="C77" i="5"/>
  <c r="D77" i="5"/>
  <c r="E77" i="5"/>
  <c r="F77" i="5"/>
  <c r="A72" i="5"/>
  <c r="B72" i="5"/>
  <c r="C72" i="5"/>
  <c r="D72" i="5"/>
  <c r="E72" i="5"/>
  <c r="F72" i="5"/>
  <c r="A34" i="5"/>
  <c r="B34" i="5"/>
  <c r="C34" i="5"/>
  <c r="D34" i="5"/>
  <c r="E34" i="5"/>
  <c r="F34" i="5"/>
  <c r="A24" i="5"/>
  <c r="B24" i="5"/>
  <c r="C24" i="5"/>
  <c r="D24" i="5"/>
  <c r="E24" i="5"/>
  <c r="F24" i="5"/>
  <c r="A57" i="5"/>
  <c r="B57" i="5"/>
  <c r="C57" i="5"/>
  <c r="D57" i="5"/>
  <c r="E57" i="5"/>
  <c r="F57" i="5"/>
  <c r="A60" i="5"/>
  <c r="B60" i="5"/>
  <c r="C60" i="5"/>
  <c r="D60" i="5"/>
  <c r="E60" i="5"/>
  <c r="F60" i="5"/>
  <c r="A9" i="5"/>
  <c r="B9" i="5"/>
  <c r="C9" i="5"/>
  <c r="D9" i="5"/>
  <c r="E9" i="5"/>
  <c r="F9" i="5"/>
  <c r="A45" i="5"/>
  <c r="B45" i="5"/>
  <c r="C45" i="5"/>
  <c r="D45" i="5"/>
  <c r="E45" i="5"/>
  <c r="F45" i="5"/>
  <c r="A30" i="5"/>
  <c r="B30" i="5"/>
  <c r="C30" i="5"/>
  <c r="D30" i="5"/>
  <c r="E30" i="5"/>
  <c r="F30" i="5"/>
  <c r="A62" i="5"/>
  <c r="B62" i="5"/>
  <c r="C62" i="5"/>
  <c r="D62" i="5"/>
  <c r="E62" i="5"/>
  <c r="F62" i="5"/>
  <c r="A37" i="5"/>
  <c r="B37" i="5"/>
  <c r="C37" i="5"/>
  <c r="D37" i="5"/>
  <c r="E37" i="5"/>
  <c r="F37" i="5"/>
  <c r="A70" i="5"/>
  <c r="B70" i="5"/>
  <c r="C70" i="5"/>
  <c r="D70" i="5"/>
  <c r="E70" i="5"/>
  <c r="F70" i="5"/>
  <c r="A67" i="5"/>
  <c r="B67" i="5"/>
  <c r="C67" i="5"/>
  <c r="D67" i="5"/>
  <c r="E67" i="5"/>
  <c r="F67" i="5"/>
  <c r="A43" i="5"/>
  <c r="B43" i="5"/>
  <c r="C43" i="5"/>
  <c r="D43" i="5"/>
  <c r="E43" i="5"/>
  <c r="F43" i="5"/>
  <c r="A52" i="5"/>
  <c r="B52" i="5"/>
  <c r="C52" i="5"/>
  <c r="D52" i="5"/>
  <c r="E52" i="5"/>
  <c r="F52" i="5"/>
  <c r="A44" i="5"/>
  <c r="B44" i="5"/>
  <c r="C44" i="5"/>
  <c r="D44" i="5"/>
  <c r="E44" i="5"/>
  <c r="F44" i="5"/>
  <c r="A31" i="5"/>
  <c r="B31" i="5"/>
  <c r="C31" i="5"/>
  <c r="D31" i="5"/>
  <c r="E31" i="5"/>
  <c r="F31" i="5"/>
  <c r="A21" i="5"/>
  <c r="B21" i="5"/>
  <c r="C21" i="5"/>
  <c r="D21" i="5"/>
  <c r="E21" i="5"/>
  <c r="F21" i="5"/>
  <c r="A78" i="5"/>
  <c r="B78" i="5"/>
  <c r="C78" i="5"/>
  <c r="D78" i="5"/>
  <c r="E78" i="5"/>
  <c r="F78" i="5"/>
  <c r="A40" i="5"/>
  <c r="B40" i="5"/>
  <c r="C40" i="5"/>
  <c r="D40" i="5"/>
  <c r="E40" i="5"/>
  <c r="F40" i="5"/>
  <c r="A17" i="5"/>
  <c r="B17" i="5"/>
  <c r="C17" i="5"/>
  <c r="D17" i="5"/>
  <c r="E17" i="5"/>
  <c r="F17" i="5"/>
  <c r="A39" i="5"/>
  <c r="B39" i="5"/>
  <c r="C39" i="5"/>
  <c r="D39" i="5"/>
  <c r="E39" i="5"/>
  <c r="F39" i="5"/>
  <c r="A61" i="5"/>
  <c r="B61" i="5"/>
  <c r="C61" i="5"/>
  <c r="D61" i="5"/>
  <c r="E61" i="5"/>
  <c r="F61" i="5"/>
  <c r="A54" i="5"/>
  <c r="B54" i="5"/>
  <c r="C54" i="5"/>
  <c r="D54" i="5"/>
  <c r="E54" i="5"/>
  <c r="F54" i="5"/>
  <c r="A26" i="5"/>
  <c r="B26" i="5"/>
  <c r="C26" i="5"/>
  <c r="D26" i="5"/>
  <c r="E26" i="5"/>
  <c r="F26" i="5"/>
  <c r="A59" i="5"/>
  <c r="B59" i="5"/>
  <c r="C59" i="5"/>
  <c r="D59" i="5"/>
  <c r="E59" i="5"/>
  <c r="F59" i="5"/>
  <c r="A80" i="5"/>
  <c r="B80" i="5"/>
  <c r="C80" i="5"/>
  <c r="D80" i="5"/>
  <c r="E80" i="5"/>
  <c r="F80" i="5"/>
  <c r="A74" i="5"/>
  <c r="B74" i="5"/>
  <c r="C74" i="5"/>
  <c r="D74" i="5"/>
  <c r="E74" i="5"/>
  <c r="F74" i="5"/>
  <c r="A76" i="5"/>
  <c r="B76" i="5"/>
  <c r="C76" i="5"/>
  <c r="D76" i="5"/>
  <c r="E76" i="5"/>
  <c r="F76" i="5"/>
  <c r="A41" i="5"/>
  <c r="B41" i="5"/>
  <c r="C41" i="5"/>
  <c r="D41" i="5"/>
  <c r="E41" i="5"/>
  <c r="F41" i="5"/>
  <c r="A73" i="5"/>
  <c r="B73" i="5"/>
  <c r="C73" i="5"/>
  <c r="D73" i="5"/>
  <c r="E73" i="5"/>
  <c r="F73" i="5"/>
  <c r="A82" i="5"/>
  <c r="B82" i="5"/>
  <c r="C82" i="5"/>
  <c r="D82" i="5"/>
  <c r="E82" i="5"/>
  <c r="F82" i="5"/>
  <c r="A79" i="5"/>
  <c r="B79" i="5"/>
  <c r="C79" i="5"/>
  <c r="D79" i="5"/>
  <c r="E79" i="5"/>
  <c r="F79" i="5"/>
  <c r="A84" i="5"/>
  <c r="B84" i="5"/>
  <c r="C84" i="5"/>
  <c r="D84" i="5"/>
  <c r="E84" i="5"/>
  <c r="F84" i="5"/>
  <c r="A83" i="5"/>
  <c r="B83" i="5"/>
  <c r="C83" i="5"/>
  <c r="D83" i="5"/>
  <c r="E83" i="5"/>
  <c r="F83" i="5"/>
  <c r="A86" i="5"/>
  <c r="B86" i="5"/>
  <c r="C86" i="5"/>
  <c r="D86" i="5"/>
  <c r="E86" i="5"/>
  <c r="F86" i="5"/>
  <c r="A75" i="5"/>
  <c r="B75" i="5"/>
  <c r="C75" i="5"/>
  <c r="D75" i="5"/>
  <c r="E75" i="5"/>
  <c r="F75" i="5"/>
  <c r="A27" i="5"/>
  <c r="B27" i="5"/>
  <c r="C27" i="5"/>
  <c r="D27" i="5"/>
  <c r="E27" i="5"/>
  <c r="F27" i="5"/>
  <c r="A68" i="5"/>
  <c r="B68" i="5"/>
  <c r="C68" i="5"/>
  <c r="D68" i="5"/>
  <c r="E68" i="5"/>
  <c r="F68" i="5"/>
  <c r="A36" i="5"/>
  <c r="B36" i="5"/>
  <c r="C36" i="5"/>
  <c r="D36" i="5"/>
  <c r="E36" i="5"/>
  <c r="F36" i="5"/>
  <c r="A94" i="5"/>
  <c r="B94" i="5"/>
  <c r="C94" i="5"/>
  <c r="D94" i="5"/>
  <c r="E94" i="5"/>
  <c r="F94" i="5"/>
  <c r="A90" i="5"/>
  <c r="B90" i="5"/>
  <c r="C90" i="5"/>
  <c r="D90" i="5"/>
  <c r="E90" i="5"/>
  <c r="F90" i="5"/>
  <c r="A69" i="5"/>
  <c r="B69" i="5"/>
  <c r="C69" i="5"/>
  <c r="D69" i="5"/>
  <c r="E69" i="5"/>
  <c r="F69" i="5"/>
  <c r="A95" i="5"/>
  <c r="B95" i="5"/>
  <c r="C95" i="5"/>
  <c r="D95" i="5"/>
  <c r="E95" i="5"/>
  <c r="F95" i="5"/>
  <c r="A38" i="5"/>
  <c r="B38" i="5"/>
  <c r="C38" i="5"/>
  <c r="D38" i="5"/>
  <c r="E38" i="5"/>
  <c r="F38" i="5"/>
  <c r="A91" i="5"/>
  <c r="B91" i="5"/>
  <c r="C91" i="5"/>
  <c r="D91" i="5"/>
  <c r="E91" i="5"/>
  <c r="F91" i="5"/>
  <c r="A96" i="5"/>
  <c r="B96" i="5"/>
  <c r="C96" i="5"/>
  <c r="D96" i="5"/>
  <c r="E96" i="5"/>
  <c r="F96" i="5"/>
  <c r="A97" i="5"/>
  <c r="B97" i="5"/>
  <c r="C97" i="5"/>
  <c r="D97" i="5"/>
  <c r="E97" i="5"/>
  <c r="F97" i="5"/>
  <c r="A98" i="5"/>
  <c r="B98" i="5"/>
  <c r="C98" i="5"/>
  <c r="D98" i="5"/>
  <c r="E98" i="5"/>
  <c r="F98" i="5"/>
  <c r="A99" i="5"/>
  <c r="B99" i="5"/>
  <c r="C99" i="5"/>
  <c r="D99" i="5"/>
  <c r="E99" i="5"/>
  <c r="F99" i="5"/>
  <c r="A100" i="5"/>
  <c r="B100" i="5"/>
  <c r="C100" i="5"/>
  <c r="D100" i="5"/>
  <c r="E100" i="5"/>
  <c r="F100" i="5"/>
  <c r="A101" i="5"/>
  <c r="B101" i="5"/>
  <c r="C101" i="5"/>
  <c r="D101" i="5"/>
  <c r="E101" i="5"/>
  <c r="F101" i="5"/>
  <c r="A102" i="5"/>
  <c r="B102" i="5"/>
  <c r="C102" i="5"/>
  <c r="D102" i="5"/>
  <c r="E102" i="5"/>
  <c r="F102" i="5"/>
  <c r="A103" i="5"/>
  <c r="B103" i="5"/>
  <c r="C103" i="5"/>
  <c r="D103" i="5"/>
  <c r="E103" i="5"/>
  <c r="F103" i="5"/>
  <c r="A104" i="5"/>
  <c r="B104" i="5"/>
  <c r="C104" i="5"/>
  <c r="D104" i="5"/>
  <c r="E104" i="5"/>
  <c r="F104" i="5"/>
  <c r="F12" i="5"/>
  <c r="E12" i="5"/>
  <c r="D12" i="5"/>
  <c r="C12" i="5"/>
  <c r="B12" i="5"/>
  <c r="A12" i="5"/>
  <c r="A3" i="4"/>
  <c r="B3" i="4"/>
  <c r="C3" i="4"/>
  <c r="D3" i="4"/>
  <c r="E3" i="4"/>
  <c r="F3" i="4"/>
  <c r="A2" i="4"/>
  <c r="B2" i="4"/>
  <c r="C2" i="4"/>
  <c r="D2" i="4"/>
  <c r="E2" i="4"/>
  <c r="F2" i="4"/>
  <c r="A5" i="4"/>
  <c r="B5" i="4"/>
  <c r="C5" i="4"/>
  <c r="D5" i="4"/>
  <c r="E5" i="4"/>
  <c r="F5" i="4"/>
  <c r="A7" i="4"/>
  <c r="B7" i="4"/>
  <c r="C7" i="4"/>
  <c r="D7" i="4"/>
  <c r="E7" i="4"/>
  <c r="F7" i="4"/>
  <c r="A8" i="4"/>
  <c r="B8" i="4"/>
  <c r="C8" i="4"/>
  <c r="D8" i="4"/>
  <c r="E8" i="4"/>
  <c r="F8" i="4"/>
  <c r="A13" i="4"/>
  <c r="B13" i="4"/>
  <c r="C13" i="4"/>
  <c r="D13" i="4"/>
  <c r="E13" i="4"/>
  <c r="F13" i="4"/>
  <c r="A30" i="4"/>
  <c r="B30" i="4"/>
  <c r="C30" i="4"/>
  <c r="D30" i="4"/>
  <c r="E30" i="4"/>
  <c r="F30" i="4"/>
  <c r="A29" i="4"/>
  <c r="B29" i="4"/>
  <c r="C29" i="4"/>
  <c r="D29" i="4"/>
  <c r="E29" i="4"/>
  <c r="F29" i="4"/>
  <c r="A38" i="4"/>
  <c r="B38" i="4"/>
  <c r="C38" i="4"/>
  <c r="D38" i="4"/>
  <c r="E38" i="4"/>
  <c r="F38" i="4"/>
  <c r="A9" i="4"/>
  <c r="B9" i="4"/>
  <c r="C9" i="4"/>
  <c r="D9" i="4"/>
  <c r="E9" i="4"/>
  <c r="F9" i="4"/>
  <c r="A6" i="4"/>
  <c r="B6" i="4"/>
  <c r="C6" i="4"/>
  <c r="D6" i="4"/>
  <c r="E6" i="4"/>
  <c r="F6" i="4"/>
  <c r="A19" i="4"/>
  <c r="B19" i="4"/>
  <c r="C19" i="4"/>
  <c r="D19" i="4"/>
  <c r="E19" i="4"/>
  <c r="F19" i="4"/>
  <c r="A18" i="4"/>
  <c r="B18" i="4"/>
  <c r="C18" i="4"/>
  <c r="D18" i="4"/>
  <c r="E18" i="4"/>
  <c r="F18" i="4"/>
  <c r="A20" i="4"/>
  <c r="B20" i="4"/>
  <c r="C20" i="4"/>
  <c r="D20" i="4"/>
  <c r="E20" i="4"/>
  <c r="F20" i="4"/>
  <c r="A31" i="4"/>
  <c r="B31" i="4"/>
  <c r="C31" i="4"/>
  <c r="D31" i="4"/>
  <c r="E31" i="4"/>
  <c r="F31" i="4"/>
  <c r="A4" i="4"/>
  <c r="B4" i="4"/>
  <c r="C4" i="4"/>
  <c r="D4" i="4"/>
  <c r="E4" i="4"/>
  <c r="F4" i="4"/>
  <c r="A42" i="4"/>
  <c r="B42" i="4"/>
  <c r="C42" i="4"/>
  <c r="D42" i="4"/>
  <c r="E42" i="4"/>
  <c r="F42" i="4"/>
  <c r="A40" i="4"/>
  <c r="B40" i="4"/>
  <c r="C40" i="4"/>
  <c r="D40" i="4"/>
  <c r="E40" i="4"/>
  <c r="F40" i="4"/>
  <c r="A15" i="4"/>
  <c r="B15" i="4"/>
  <c r="C15" i="4"/>
  <c r="D15" i="4"/>
  <c r="E15" i="4"/>
  <c r="F15" i="4"/>
  <c r="A16" i="4"/>
  <c r="B16" i="4"/>
  <c r="C16" i="4"/>
  <c r="D16" i="4"/>
  <c r="E16" i="4"/>
  <c r="F16" i="4"/>
  <c r="A45" i="4"/>
  <c r="B45" i="4"/>
  <c r="C45" i="4"/>
  <c r="D45" i="4"/>
  <c r="E45" i="4"/>
  <c r="F45" i="4"/>
  <c r="A39" i="4"/>
  <c r="B39" i="4"/>
  <c r="C39" i="4"/>
  <c r="D39" i="4"/>
  <c r="E39" i="4"/>
  <c r="F39" i="4"/>
  <c r="A43" i="4"/>
  <c r="B43" i="4"/>
  <c r="C43" i="4"/>
  <c r="D43" i="4"/>
  <c r="E43" i="4"/>
  <c r="F43" i="4"/>
  <c r="A17" i="4"/>
  <c r="B17" i="4"/>
  <c r="C17" i="4"/>
  <c r="D17" i="4"/>
  <c r="E17" i="4"/>
  <c r="F17" i="4"/>
  <c r="A33" i="4"/>
  <c r="B33" i="4"/>
  <c r="C33" i="4"/>
  <c r="D33" i="4"/>
  <c r="E33" i="4"/>
  <c r="F33" i="4"/>
  <c r="A32" i="4"/>
  <c r="B32" i="4"/>
  <c r="C32" i="4"/>
  <c r="D32" i="4"/>
  <c r="E32" i="4"/>
  <c r="F32" i="4"/>
  <c r="A47" i="4"/>
  <c r="B47" i="4"/>
  <c r="C47" i="4"/>
  <c r="D47" i="4"/>
  <c r="E47" i="4"/>
  <c r="F47" i="4"/>
  <c r="A48" i="4"/>
  <c r="B48" i="4"/>
  <c r="C48" i="4"/>
  <c r="D48" i="4"/>
  <c r="E48" i="4"/>
  <c r="F48" i="4"/>
  <c r="A21" i="4"/>
  <c r="B21" i="4"/>
  <c r="C21" i="4"/>
  <c r="D21" i="4"/>
  <c r="E21" i="4"/>
  <c r="F21" i="4"/>
  <c r="A14" i="4"/>
  <c r="B14" i="4"/>
  <c r="C14" i="4"/>
  <c r="D14" i="4"/>
  <c r="E14" i="4"/>
  <c r="F14" i="4"/>
  <c r="A50" i="4"/>
  <c r="B50" i="4"/>
  <c r="C50" i="4"/>
  <c r="D50" i="4"/>
  <c r="E50" i="4"/>
  <c r="F50" i="4"/>
  <c r="A52" i="4"/>
  <c r="B52" i="4"/>
  <c r="C52" i="4"/>
  <c r="D52" i="4"/>
  <c r="E52" i="4"/>
  <c r="F52" i="4"/>
  <c r="A46" i="4"/>
  <c r="B46" i="4"/>
  <c r="C46" i="4"/>
  <c r="D46" i="4"/>
  <c r="E46" i="4"/>
  <c r="F46" i="4"/>
  <c r="A53" i="4"/>
  <c r="B53" i="4"/>
  <c r="C53" i="4"/>
  <c r="D53" i="4"/>
  <c r="E53" i="4"/>
  <c r="F53" i="4"/>
  <c r="A28" i="4"/>
  <c r="B28" i="4"/>
  <c r="C28" i="4"/>
  <c r="D28" i="4"/>
  <c r="E28" i="4"/>
  <c r="F28" i="4"/>
  <c r="A56" i="4"/>
  <c r="B56" i="4"/>
  <c r="C56" i="4"/>
  <c r="D56" i="4"/>
  <c r="E56" i="4"/>
  <c r="F56" i="4"/>
  <c r="A22" i="4"/>
  <c r="B22" i="4"/>
  <c r="C22" i="4"/>
  <c r="D22" i="4"/>
  <c r="E22" i="4"/>
  <c r="F22" i="4"/>
  <c r="A23" i="4"/>
  <c r="B23" i="4"/>
  <c r="C23" i="4"/>
  <c r="D23" i="4"/>
  <c r="E23" i="4"/>
  <c r="F23" i="4"/>
  <c r="A51" i="4"/>
  <c r="B51" i="4"/>
  <c r="C51" i="4"/>
  <c r="D51" i="4"/>
  <c r="E51" i="4"/>
  <c r="F51" i="4"/>
  <c r="A54" i="4"/>
  <c r="B54" i="4"/>
  <c r="C54" i="4"/>
  <c r="D54" i="4"/>
  <c r="E54" i="4"/>
  <c r="F54" i="4"/>
  <c r="A57" i="4"/>
  <c r="B57" i="4"/>
  <c r="C57" i="4"/>
  <c r="D57" i="4"/>
  <c r="E57" i="4"/>
  <c r="F57" i="4"/>
  <c r="A25" i="4"/>
  <c r="B25" i="4"/>
  <c r="C25" i="4"/>
  <c r="D25" i="4"/>
  <c r="E25" i="4"/>
  <c r="F25" i="4"/>
  <c r="A59" i="4"/>
  <c r="B59" i="4"/>
  <c r="C59" i="4"/>
  <c r="D59" i="4"/>
  <c r="E59" i="4"/>
  <c r="F59" i="4"/>
  <c r="A55" i="4"/>
  <c r="B55" i="4"/>
  <c r="C55" i="4"/>
  <c r="D55" i="4"/>
  <c r="E55" i="4"/>
  <c r="F55" i="4"/>
  <c r="A12" i="4"/>
  <c r="B12" i="4"/>
  <c r="C12" i="4"/>
  <c r="D12" i="4"/>
  <c r="E12" i="4"/>
  <c r="F12" i="4"/>
  <c r="A35" i="4"/>
  <c r="B35" i="4"/>
  <c r="C35" i="4"/>
  <c r="D35" i="4"/>
  <c r="E35" i="4"/>
  <c r="F35" i="4"/>
  <c r="A11" i="4"/>
  <c r="B11" i="4"/>
  <c r="C11" i="4"/>
  <c r="D11" i="4"/>
  <c r="E11" i="4"/>
  <c r="F11" i="4"/>
  <c r="A27" i="4"/>
  <c r="B27" i="4"/>
  <c r="C27" i="4"/>
  <c r="D27" i="4"/>
  <c r="E27" i="4"/>
  <c r="F27" i="4"/>
  <c r="A10" i="4"/>
  <c r="B10" i="4"/>
  <c r="C10" i="4"/>
  <c r="D10" i="4"/>
  <c r="E10" i="4"/>
  <c r="F10" i="4"/>
  <c r="A24" i="4"/>
  <c r="B24" i="4"/>
  <c r="C24" i="4"/>
  <c r="D24" i="4"/>
  <c r="E24" i="4"/>
  <c r="F24" i="4"/>
  <c r="A62" i="4"/>
  <c r="B62" i="4"/>
  <c r="C62" i="4"/>
  <c r="D62" i="4"/>
  <c r="E62" i="4"/>
  <c r="F62" i="4"/>
  <c r="A63" i="4"/>
  <c r="B63" i="4"/>
  <c r="C63" i="4"/>
  <c r="D63" i="4"/>
  <c r="E63" i="4"/>
  <c r="F63" i="4"/>
  <c r="A60" i="4"/>
  <c r="B60" i="4"/>
  <c r="C60" i="4"/>
  <c r="D60" i="4"/>
  <c r="E60" i="4"/>
  <c r="F60" i="4"/>
  <c r="A58" i="4"/>
  <c r="B58" i="4"/>
  <c r="C58" i="4"/>
  <c r="D58" i="4"/>
  <c r="E58" i="4"/>
  <c r="F58" i="4"/>
  <c r="A71" i="4"/>
  <c r="B71" i="4"/>
  <c r="C71" i="4"/>
  <c r="D71" i="4"/>
  <c r="E71" i="4"/>
  <c r="F71" i="4"/>
  <c r="A72" i="4"/>
  <c r="B72" i="4"/>
  <c r="C72" i="4"/>
  <c r="D72" i="4"/>
  <c r="E72" i="4"/>
  <c r="F72" i="4"/>
  <c r="A73" i="4"/>
  <c r="B73" i="4"/>
  <c r="C73" i="4"/>
  <c r="D73" i="4"/>
  <c r="E73" i="4"/>
  <c r="F73" i="4"/>
  <c r="A74" i="4"/>
  <c r="B74" i="4"/>
  <c r="C74" i="4"/>
  <c r="D74" i="4"/>
  <c r="E74" i="4"/>
  <c r="F74" i="4"/>
  <c r="A75" i="4"/>
  <c r="B75" i="4"/>
  <c r="C75" i="4"/>
  <c r="D75" i="4"/>
  <c r="E75" i="4"/>
  <c r="F75" i="4"/>
  <c r="A66" i="4"/>
  <c r="B66" i="4"/>
  <c r="C66" i="4"/>
  <c r="D66" i="4"/>
  <c r="E66" i="4"/>
  <c r="F66" i="4"/>
  <c r="A76" i="4"/>
  <c r="B76" i="4"/>
  <c r="C76" i="4"/>
  <c r="D76" i="4"/>
  <c r="E76" i="4"/>
  <c r="F76" i="4"/>
  <c r="A61" i="4"/>
  <c r="B61" i="4"/>
  <c r="C61" i="4"/>
  <c r="D61" i="4"/>
  <c r="E61" i="4"/>
  <c r="F61" i="4"/>
  <c r="A49" i="4"/>
  <c r="B49" i="4"/>
  <c r="C49" i="4"/>
  <c r="D49" i="4"/>
  <c r="E49" i="4"/>
  <c r="F49" i="4"/>
  <c r="A77" i="4"/>
  <c r="B77" i="4"/>
  <c r="C77" i="4"/>
  <c r="D77" i="4"/>
  <c r="E77" i="4"/>
  <c r="F77" i="4"/>
  <c r="A78" i="4"/>
  <c r="B78" i="4"/>
  <c r="C78" i="4"/>
  <c r="D78" i="4"/>
  <c r="E78" i="4"/>
  <c r="F78" i="4"/>
  <c r="A79" i="4"/>
  <c r="B79" i="4"/>
  <c r="C79" i="4"/>
  <c r="D79" i="4"/>
  <c r="E79" i="4"/>
  <c r="F79" i="4"/>
  <c r="A34" i="4"/>
  <c r="B34" i="4"/>
  <c r="C34" i="4"/>
  <c r="D34" i="4"/>
  <c r="E34" i="4"/>
  <c r="F34" i="4"/>
  <c r="A44" i="4"/>
  <c r="B44" i="4"/>
  <c r="C44" i="4"/>
  <c r="D44" i="4"/>
  <c r="E44" i="4"/>
  <c r="F44" i="4"/>
  <c r="A80" i="4"/>
  <c r="B80" i="4"/>
  <c r="C80" i="4"/>
  <c r="D80" i="4"/>
  <c r="E80" i="4"/>
  <c r="F80" i="4"/>
  <c r="A81" i="4"/>
  <c r="B81" i="4"/>
  <c r="C81" i="4"/>
  <c r="D81" i="4"/>
  <c r="E81" i="4"/>
  <c r="F81" i="4"/>
  <c r="A82" i="4"/>
  <c r="B82" i="4"/>
  <c r="C82" i="4"/>
  <c r="D82" i="4"/>
  <c r="E82" i="4"/>
  <c r="F82" i="4"/>
  <c r="A36" i="4"/>
  <c r="B36" i="4"/>
  <c r="C36" i="4"/>
  <c r="D36" i="4"/>
  <c r="E36" i="4"/>
  <c r="F36" i="4"/>
  <c r="A83" i="4"/>
  <c r="B83" i="4"/>
  <c r="C83" i="4"/>
  <c r="D83" i="4"/>
  <c r="E83" i="4"/>
  <c r="F83" i="4"/>
  <c r="A103" i="4"/>
  <c r="B103" i="4"/>
  <c r="C103" i="4"/>
  <c r="D103" i="4"/>
  <c r="E103" i="4"/>
  <c r="F103" i="4"/>
  <c r="A67" i="4"/>
  <c r="B67" i="4"/>
  <c r="C67" i="4"/>
  <c r="D67" i="4"/>
  <c r="E67" i="4"/>
  <c r="F67" i="4"/>
  <c r="A84" i="4"/>
  <c r="B84" i="4"/>
  <c r="C84" i="4"/>
  <c r="D84" i="4"/>
  <c r="E84" i="4"/>
  <c r="F84" i="4"/>
  <c r="A88" i="4"/>
  <c r="B88" i="4"/>
  <c r="C88" i="4"/>
  <c r="D88" i="4"/>
  <c r="E88" i="4"/>
  <c r="F88" i="4"/>
  <c r="A85" i="4"/>
  <c r="B85" i="4"/>
  <c r="C85" i="4"/>
  <c r="D85" i="4"/>
  <c r="E85" i="4"/>
  <c r="F85" i="4"/>
  <c r="A89" i="4"/>
  <c r="B89" i="4"/>
  <c r="C89" i="4"/>
  <c r="D89" i="4"/>
  <c r="E89" i="4"/>
  <c r="F89" i="4"/>
  <c r="A68" i="4"/>
  <c r="B68" i="4"/>
  <c r="C68" i="4"/>
  <c r="D68" i="4"/>
  <c r="E68" i="4"/>
  <c r="F68" i="4"/>
  <c r="A86" i="4"/>
  <c r="B86" i="4"/>
  <c r="C86" i="4"/>
  <c r="D86" i="4"/>
  <c r="E86" i="4"/>
  <c r="F86" i="4"/>
  <c r="A104" i="4"/>
  <c r="B104" i="4"/>
  <c r="C104" i="4"/>
  <c r="D104" i="4"/>
  <c r="E104" i="4"/>
  <c r="F104" i="4"/>
  <c r="A87" i="4"/>
  <c r="B87" i="4"/>
  <c r="C87" i="4"/>
  <c r="D87" i="4"/>
  <c r="E87" i="4"/>
  <c r="F87" i="4"/>
  <c r="A90" i="4"/>
  <c r="B90" i="4"/>
  <c r="C90" i="4"/>
  <c r="D90" i="4"/>
  <c r="E90" i="4"/>
  <c r="F90" i="4"/>
  <c r="A94" i="4"/>
  <c r="B94" i="4"/>
  <c r="C94" i="4"/>
  <c r="D94" i="4"/>
  <c r="E94" i="4"/>
  <c r="F94" i="4"/>
  <c r="A95" i="4"/>
  <c r="B95" i="4"/>
  <c r="C95" i="4"/>
  <c r="D95" i="4"/>
  <c r="E95" i="4"/>
  <c r="F95" i="4"/>
  <c r="A96" i="4"/>
  <c r="B96" i="4"/>
  <c r="C96" i="4"/>
  <c r="D96" i="4"/>
  <c r="E96" i="4"/>
  <c r="F96" i="4"/>
  <c r="A97" i="4"/>
  <c r="B97" i="4"/>
  <c r="C97" i="4"/>
  <c r="D97" i="4"/>
  <c r="E97" i="4"/>
  <c r="F97" i="4"/>
  <c r="A98" i="4"/>
  <c r="B98" i="4"/>
  <c r="C98" i="4"/>
  <c r="D98" i="4"/>
  <c r="E98" i="4"/>
  <c r="F98" i="4"/>
  <c r="A99" i="4"/>
  <c r="B99" i="4"/>
  <c r="C99" i="4"/>
  <c r="D99" i="4"/>
  <c r="E99" i="4"/>
  <c r="F99" i="4"/>
  <c r="A100" i="4"/>
  <c r="B100" i="4"/>
  <c r="C100" i="4"/>
  <c r="D100" i="4"/>
  <c r="E100" i="4"/>
  <c r="F100" i="4"/>
  <c r="A101" i="4"/>
  <c r="B101" i="4"/>
  <c r="C101" i="4"/>
  <c r="D101" i="4"/>
  <c r="E101" i="4"/>
  <c r="F101" i="4"/>
  <c r="A102" i="4"/>
  <c r="B102" i="4"/>
  <c r="C102" i="4"/>
  <c r="D102" i="4"/>
  <c r="E102" i="4"/>
  <c r="F102" i="4"/>
  <c r="F26" i="4"/>
  <c r="E26" i="4"/>
  <c r="D26" i="4"/>
  <c r="C26" i="4"/>
  <c r="B26" i="4"/>
  <c r="A26" i="4"/>
  <c r="A11" i="3"/>
  <c r="B11" i="3"/>
  <c r="C11" i="3"/>
  <c r="D11" i="3"/>
  <c r="E11" i="3"/>
  <c r="F11" i="3"/>
  <c r="A8" i="3"/>
  <c r="B8" i="3"/>
  <c r="C8" i="3"/>
  <c r="D8" i="3"/>
  <c r="E8" i="3"/>
  <c r="F8" i="3"/>
  <c r="A26" i="3"/>
  <c r="B26" i="3"/>
  <c r="C26" i="3"/>
  <c r="D26" i="3"/>
  <c r="E26" i="3"/>
  <c r="F26" i="3"/>
  <c r="A4" i="3"/>
  <c r="B4" i="3"/>
  <c r="C4" i="3"/>
  <c r="D4" i="3"/>
  <c r="E4" i="3"/>
  <c r="F4" i="3"/>
  <c r="A7" i="3"/>
  <c r="B7" i="3"/>
  <c r="C7" i="3"/>
  <c r="D7" i="3"/>
  <c r="E7" i="3"/>
  <c r="F7" i="3"/>
  <c r="A16" i="3"/>
  <c r="B16" i="3"/>
  <c r="C16" i="3"/>
  <c r="D16" i="3"/>
  <c r="E16" i="3"/>
  <c r="F16" i="3"/>
  <c r="A30" i="3"/>
  <c r="B30" i="3"/>
  <c r="C30" i="3"/>
  <c r="D30" i="3"/>
  <c r="E30" i="3"/>
  <c r="F30" i="3"/>
  <c r="A39" i="3"/>
  <c r="B39" i="3"/>
  <c r="C39" i="3"/>
  <c r="D39" i="3"/>
  <c r="E39" i="3"/>
  <c r="F39" i="3"/>
  <c r="A40" i="3"/>
  <c r="B40" i="3"/>
  <c r="C40" i="3"/>
  <c r="D40" i="3"/>
  <c r="E40" i="3"/>
  <c r="F40" i="3"/>
  <c r="A9" i="3"/>
  <c r="B9" i="3"/>
  <c r="C9" i="3"/>
  <c r="D9" i="3"/>
  <c r="E9" i="3"/>
  <c r="F9" i="3"/>
  <c r="A25" i="3"/>
  <c r="B25" i="3"/>
  <c r="C25" i="3"/>
  <c r="D25" i="3"/>
  <c r="E25" i="3"/>
  <c r="F25" i="3"/>
  <c r="A29" i="3"/>
  <c r="B29" i="3"/>
  <c r="C29" i="3"/>
  <c r="D29" i="3"/>
  <c r="E29" i="3"/>
  <c r="F29" i="3"/>
  <c r="A21" i="3"/>
  <c r="B21" i="3"/>
  <c r="C21" i="3"/>
  <c r="D21" i="3"/>
  <c r="E21" i="3"/>
  <c r="F21" i="3"/>
  <c r="A23" i="3"/>
  <c r="B23" i="3"/>
  <c r="C23" i="3"/>
  <c r="D23" i="3"/>
  <c r="E23" i="3"/>
  <c r="F23" i="3"/>
  <c r="A33" i="3"/>
  <c r="B33" i="3"/>
  <c r="C33" i="3"/>
  <c r="D33" i="3"/>
  <c r="E33" i="3"/>
  <c r="F33" i="3"/>
  <c r="A20" i="3"/>
  <c r="B20" i="3"/>
  <c r="C20" i="3"/>
  <c r="D20" i="3"/>
  <c r="E20" i="3"/>
  <c r="F20" i="3"/>
  <c r="A19" i="3"/>
  <c r="B19" i="3"/>
  <c r="C19" i="3"/>
  <c r="D19" i="3"/>
  <c r="E19" i="3"/>
  <c r="F19" i="3"/>
  <c r="A15" i="3"/>
  <c r="B15" i="3"/>
  <c r="C15" i="3"/>
  <c r="D15" i="3"/>
  <c r="E15" i="3"/>
  <c r="F15" i="3"/>
  <c r="A60" i="3"/>
  <c r="B60" i="3"/>
  <c r="C60" i="3"/>
  <c r="D60" i="3"/>
  <c r="E60" i="3"/>
  <c r="F60" i="3"/>
  <c r="A22" i="3"/>
  <c r="B22" i="3"/>
  <c r="C22" i="3"/>
  <c r="D22" i="3"/>
  <c r="E22" i="3"/>
  <c r="F22" i="3"/>
  <c r="A61" i="3"/>
  <c r="B61" i="3"/>
  <c r="C61" i="3"/>
  <c r="D61" i="3"/>
  <c r="E61" i="3"/>
  <c r="F61" i="3"/>
  <c r="A18" i="3"/>
  <c r="B18" i="3"/>
  <c r="C18" i="3"/>
  <c r="D18" i="3"/>
  <c r="E18" i="3"/>
  <c r="F18" i="3"/>
  <c r="A59" i="3"/>
  <c r="B59" i="3"/>
  <c r="C59" i="3"/>
  <c r="D59" i="3"/>
  <c r="E59" i="3"/>
  <c r="F59" i="3"/>
  <c r="A55" i="3"/>
  <c r="B55" i="3"/>
  <c r="C55" i="3"/>
  <c r="D55" i="3"/>
  <c r="E55" i="3"/>
  <c r="F55" i="3"/>
  <c r="A2" i="3"/>
  <c r="B2" i="3"/>
  <c r="C2" i="3"/>
  <c r="D2" i="3"/>
  <c r="E2" i="3"/>
  <c r="F2" i="3"/>
  <c r="A36" i="3"/>
  <c r="B36" i="3"/>
  <c r="C36" i="3"/>
  <c r="D36" i="3"/>
  <c r="E36" i="3"/>
  <c r="F36" i="3"/>
  <c r="A10" i="3"/>
  <c r="B10" i="3"/>
  <c r="C10" i="3"/>
  <c r="D10" i="3"/>
  <c r="E10" i="3"/>
  <c r="F10" i="3"/>
  <c r="A43" i="3"/>
  <c r="B43" i="3"/>
  <c r="C43" i="3"/>
  <c r="D43" i="3"/>
  <c r="E43" i="3"/>
  <c r="F43" i="3"/>
  <c r="A71" i="3"/>
  <c r="B71" i="3"/>
  <c r="C71" i="3"/>
  <c r="D71" i="3"/>
  <c r="E71" i="3"/>
  <c r="F71" i="3"/>
  <c r="A58" i="3"/>
  <c r="B58" i="3"/>
  <c r="C58" i="3"/>
  <c r="D58" i="3"/>
  <c r="E58" i="3"/>
  <c r="F58" i="3"/>
  <c r="A72" i="3"/>
  <c r="B72" i="3"/>
  <c r="C72" i="3"/>
  <c r="D72" i="3"/>
  <c r="E72" i="3"/>
  <c r="F72" i="3"/>
  <c r="A3" i="3"/>
  <c r="B3" i="3"/>
  <c r="C3" i="3"/>
  <c r="D3" i="3"/>
  <c r="E3" i="3"/>
  <c r="F3" i="3"/>
  <c r="A32" i="3"/>
  <c r="B32" i="3"/>
  <c r="C32" i="3"/>
  <c r="D32" i="3"/>
  <c r="E32" i="3"/>
  <c r="F32" i="3"/>
  <c r="A31" i="3"/>
  <c r="B31" i="3"/>
  <c r="C31" i="3"/>
  <c r="D31" i="3"/>
  <c r="E31" i="3"/>
  <c r="F31" i="3"/>
  <c r="A46" i="3"/>
  <c r="B46" i="3"/>
  <c r="C46" i="3"/>
  <c r="D46" i="3"/>
  <c r="E46" i="3"/>
  <c r="F46" i="3"/>
  <c r="A27" i="3"/>
  <c r="B27" i="3"/>
  <c r="C27" i="3"/>
  <c r="D27" i="3"/>
  <c r="E27" i="3"/>
  <c r="F27" i="3"/>
  <c r="A62" i="3"/>
  <c r="B62" i="3"/>
  <c r="C62" i="3"/>
  <c r="D62" i="3"/>
  <c r="E62" i="3"/>
  <c r="F62" i="3"/>
  <c r="A41" i="3"/>
  <c r="B41" i="3"/>
  <c r="C41" i="3"/>
  <c r="D41" i="3"/>
  <c r="E41" i="3"/>
  <c r="F41" i="3"/>
  <c r="A44" i="3"/>
  <c r="B44" i="3"/>
  <c r="C44" i="3"/>
  <c r="D44" i="3"/>
  <c r="E44" i="3"/>
  <c r="F44" i="3"/>
  <c r="A56" i="3"/>
  <c r="B56" i="3"/>
  <c r="C56" i="3"/>
  <c r="D56" i="3"/>
  <c r="E56" i="3"/>
  <c r="F56" i="3"/>
  <c r="A73" i="3"/>
  <c r="B73" i="3"/>
  <c r="C73" i="3"/>
  <c r="D73" i="3"/>
  <c r="E73" i="3"/>
  <c r="F73" i="3"/>
  <c r="A37" i="3"/>
  <c r="B37" i="3"/>
  <c r="C37" i="3"/>
  <c r="D37" i="3"/>
  <c r="E37" i="3"/>
  <c r="F37" i="3"/>
  <c r="A48" i="3"/>
  <c r="B48" i="3"/>
  <c r="C48" i="3"/>
  <c r="D48" i="3"/>
  <c r="E48" i="3"/>
  <c r="F48" i="3"/>
  <c r="A12" i="3"/>
  <c r="B12" i="3"/>
  <c r="C12" i="3"/>
  <c r="D12" i="3"/>
  <c r="E12" i="3"/>
  <c r="F12" i="3"/>
  <c r="A14" i="3"/>
  <c r="B14" i="3"/>
  <c r="C14" i="3"/>
  <c r="D14" i="3"/>
  <c r="E14" i="3"/>
  <c r="F14" i="3"/>
  <c r="A74" i="3"/>
  <c r="B74" i="3"/>
  <c r="C74" i="3"/>
  <c r="D74" i="3"/>
  <c r="E74" i="3"/>
  <c r="F74" i="3"/>
  <c r="A50" i="3"/>
  <c r="B50" i="3"/>
  <c r="C50" i="3"/>
  <c r="D50" i="3"/>
  <c r="E50" i="3"/>
  <c r="F50" i="3"/>
  <c r="A63" i="3"/>
  <c r="B63" i="3"/>
  <c r="C63" i="3"/>
  <c r="D63" i="3"/>
  <c r="E63" i="3"/>
  <c r="F63" i="3"/>
  <c r="A17" i="3"/>
  <c r="B17" i="3"/>
  <c r="C17" i="3"/>
  <c r="D17" i="3"/>
  <c r="E17" i="3"/>
  <c r="F17" i="3"/>
  <c r="A75" i="3"/>
  <c r="B75" i="3"/>
  <c r="C75" i="3"/>
  <c r="D75" i="3"/>
  <c r="E75" i="3"/>
  <c r="F75" i="3"/>
  <c r="A49" i="3"/>
  <c r="B49" i="3"/>
  <c r="C49" i="3"/>
  <c r="D49" i="3"/>
  <c r="E49" i="3"/>
  <c r="F49" i="3"/>
  <c r="A28" i="3"/>
  <c r="B28" i="3"/>
  <c r="C28" i="3"/>
  <c r="D28" i="3"/>
  <c r="E28" i="3"/>
  <c r="F28" i="3"/>
  <c r="A76" i="3"/>
  <c r="B76" i="3"/>
  <c r="C76" i="3"/>
  <c r="D76" i="3"/>
  <c r="E76" i="3"/>
  <c r="F76" i="3"/>
  <c r="A13" i="3"/>
  <c r="B13" i="3"/>
  <c r="C13" i="3"/>
  <c r="D13" i="3"/>
  <c r="E13" i="3"/>
  <c r="F13" i="3"/>
  <c r="A47" i="3"/>
  <c r="B47" i="3"/>
  <c r="C47" i="3"/>
  <c r="D47" i="3"/>
  <c r="E47" i="3"/>
  <c r="F47" i="3"/>
  <c r="A77" i="3"/>
  <c r="B77" i="3"/>
  <c r="C77" i="3"/>
  <c r="D77" i="3"/>
  <c r="E77" i="3"/>
  <c r="F77" i="3"/>
  <c r="A35" i="3"/>
  <c r="B35" i="3"/>
  <c r="C35" i="3"/>
  <c r="D35" i="3"/>
  <c r="E35" i="3"/>
  <c r="F35" i="3"/>
  <c r="A78" i="3"/>
  <c r="B78" i="3"/>
  <c r="C78" i="3"/>
  <c r="D78" i="3"/>
  <c r="E78" i="3"/>
  <c r="F78" i="3"/>
  <c r="A34" i="3"/>
  <c r="B34" i="3"/>
  <c r="C34" i="3"/>
  <c r="D34" i="3"/>
  <c r="E34" i="3"/>
  <c r="F34" i="3"/>
  <c r="A45" i="3"/>
  <c r="B45" i="3"/>
  <c r="C45" i="3"/>
  <c r="D45" i="3"/>
  <c r="E45" i="3"/>
  <c r="F45" i="3"/>
  <c r="A79" i="3"/>
  <c r="B79" i="3"/>
  <c r="C79" i="3"/>
  <c r="D79" i="3"/>
  <c r="E79" i="3"/>
  <c r="F79" i="3"/>
  <c r="A38" i="3"/>
  <c r="B38" i="3"/>
  <c r="C38" i="3"/>
  <c r="D38" i="3"/>
  <c r="E38" i="3"/>
  <c r="F38" i="3"/>
  <c r="A57" i="3"/>
  <c r="B57" i="3"/>
  <c r="C57" i="3"/>
  <c r="D57" i="3"/>
  <c r="E57" i="3"/>
  <c r="F57" i="3"/>
  <c r="A54" i="3"/>
  <c r="B54" i="3"/>
  <c r="C54" i="3"/>
  <c r="D54" i="3"/>
  <c r="E54" i="3"/>
  <c r="F54" i="3"/>
  <c r="A6" i="3"/>
  <c r="B6" i="3"/>
  <c r="C6" i="3"/>
  <c r="D6" i="3"/>
  <c r="E6" i="3"/>
  <c r="F6" i="3"/>
  <c r="A81" i="3"/>
  <c r="B81" i="3"/>
  <c r="C81" i="3"/>
  <c r="D81" i="3"/>
  <c r="E81" i="3"/>
  <c r="F81" i="3"/>
  <c r="A94" i="3"/>
  <c r="B94" i="3"/>
  <c r="C94" i="3"/>
  <c r="D94" i="3"/>
  <c r="E94" i="3"/>
  <c r="F94" i="3"/>
  <c r="A82" i="3"/>
  <c r="B82" i="3"/>
  <c r="C82" i="3"/>
  <c r="D82" i="3"/>
  <c r="E82" i="3"/>
  <c r="F82" i="3"/>
  <c r="A83" i="3"/>
  <c r="B83" i="3"/>
  <c r="C83" i="3"/>
  <c r="D83" i="3"/>
  <c r="E83" i="3"/>
  <c r="F83" i="3"/>
  <c r="A51" i="3"/>
  <c r="B51" i="3"/>
  <c r="C51" i="3"/>
  <c r="D51" i="3"/>
  <c r="E51" i="3"/>
  <c r="F51" i="3"/>
  <c r="A53" i="3"/>
  <c r="B53" i="3"/>
  <c r="C53" i="3"/>
  <c r="D53" i="3"/>
  <c r="E53" i="3"/>
  <c r="F53" i="3"/>
  <c r="A84" i="3"/>
  <c r="B84" i="3"/>
  <c r="C84" i="3"/>
  <c r="D84" i="3"/>
  <c r="E84" i="3"/>
  <c r="F84" i="3"/>
  <c r="A85" i="3"/>
  <c r="B85" i="3"/>
  <c r="C85" i="3"/>
  <c r="D85" i="3"/>
  <c r="E85" i="3"/>
  <c r="F85" i="3"/>
  <c r="A69" i="3"/>
  <c r="B69" i="3"/>
  <c r="C69" i="3"/>
  <c r="D69" i="3"/>
  <c r="E69" i="3"/>
  <c r="F69" i="3"/>
  <c r="A70" i="3"/>
  <c r="B70" i="3"/>
  <c r="C70" i="3"/>
  <c r="D70" i="3"/>
  <c r="E70" i="3"/>
  <c r="F70" i="3"/>
  <c r="A91" i="3"/>
  <c r="B91" i="3"/>
  <c r="C91" i="3"/>
  <c r="D91" i="3"/>
  <c r="E91" i="3"/>
  <c r="F91" i="3"/>
  <c r="A86" i="3"/>
  <c r="B86" i="3"/>
  <c r="C86" i="3"/>
  <c r="D86" i="3"/>
  <c r="E86" i="3"/>
  <c r="F86" i="3"/>
  <c r="A88" i="3"/>
  <c r="B88" i="3"/>
  <c r="C88" i="3"/>
  <c r="D88" i="3"/>
  <c r="E88" i="3"/>
  <c r="F88" i="3"/>
  <c r="A24" i="3"/>
  <c r="B24" i="3"/>
  <c r="C24" i="3"/>
  <c r="D24" i="3"/>
  <c r="E24" i="3"/>
  <c r="F24" i="3"/>
  <c r="A87" i="3"/>
  <c r="B87" i="3"/>
  <c r="C87" i="3"/>
  <c r="D87" i="3"/>
  <c r="E87" i="3"/>
  <c r="F87" i="3"/>
  <c r="A52" i="3"/>
  <c r="B52" i="3"/>
  <c r="C52" i="3"/>
  <c r="D52" i="3"/>
  <c r="E52" i="3"/>
  <c r="F52" i="3"/>
  <c r="A95" i="3"/>
  <c r="B95" i="3"/>
  <c r="C95" i="3"/>
  <c r="D95" i="3"/>
  <c r="E95" i="3"/>
  <c r="F95" i="3"/>
  <c r="A42" i="3"/>
  <c r="B42" i="3"/>
  <c r="C42" i="3"/>
  <c r="D42" i="3"/>
  <c r="E42" i="3"/>
  <c r="F42" i="3"/>
  <c r="A89" i="3"/>
  <c r="B89" i="3"/>
  <c r="C89" i="3"/>
  <c r="D89" i="3"/>
  <c r="E89" i="3"/>
  <c r="F89" i="3"/>
  <c r="A96" i="3"/>
  <c r="B96" i="3"/>
  <c r="C96" i="3"/>
  <c r="D96" i="3"/>
  <c r="E96" i="3"/>
  <c r="F96" i="3"/>
  <c r="A97" i="3"/>
  <c r="B97" i="3"/>
  <c r="C97" i="3"/>
  <c r="D97" i="3"/>
  <c r="E97" i="3"/>
  <c r="F97" i="3"/>
  <c r="A98" i="3"/>
  <c r="B98" i="3"/>
  <c r="C98" i="3"/>
  <c r="D98" i="3"/>
  <c r="E98" i="3"/>
  <c r="F98" i="3"/>
  <c r="A99" i="3"/>
  <c r="B99" i="3"/>
  <c r="C99" i="3"/>
  <c r="D99" i="3"/>
  <c r="E99" i="3"/>
  <c r="F99" i="3"/>
  <c r="A100" i="3"/>
  <c r="B100" i="3"/>
  <c r="C100" i="3"/>
  <c r="D100" i="3"/>
  <c r="E100" i="3"/>
  <c r="F100" i="3"/>
  <c r="A101" i="3"/>
  <c r="B101" i="3"/>
  <c r="C101" i="3"/>
  <c r="D101" i="3"/>
  <c r="E101" i="3"/>
  <c r="F101" i="3"/>
  <c r="A102" i="3"/>
  <c r="B102" i="3"/>
  <c r="C102" i="3"/>
  <c r="D102" i="3"/>
  <c r="E102" i="3"/>
  <c r="F102" i="3"/>
  <c r="A103" i="3"/>
  <c r="B103" i="3"/>
  <c r="C103" i="3"/>
  <c r="D103" i="3"/>
  <c r="E103" i="3"/>
  <c r="F103" i="3"/>
  <c r="A104" i="3"/>
  <c r="B104" i="3"/>
  <c r="C104" i="3"/>
  <c r="D104" i="3"/>
  <c r="E104" i="3"/>
  <c r="F104" i="3"/>
  <c r="F5" i="3"/>
  <c r="C5" i="3"/>
  <c r="B5" i="3"/>
  <c r="A5" i="3"/>
  <c r="A3" i="6"/>
  <c r="B3" i="6"/>
  <c r="C3" i="6"/>
  <c r="D3" i="6"/>
  <c r="E3" i="6"/>
  <c r="F3" i="6"/>
  <c r="A5" i="6"/>
  <c r="B5" i="6"/>
  <c r="C5" i="6"/>
  <c r="D5" i="6"/>
  <c r="E5" i="6"/>
  <c r="F5" i="6"/>
  <c r="A4" i="6"/>
  <c r="B4" i="6"/>
  <c r="C4" i="6"/>
  <c r="D4" i="6"/>
  <c r="E4" i="6"/>
  <c r="F4" i="6"/>
  <c r="A7" i="6"/>
  <c r="B7" i="6"/>
  <c r="C7" i="6"/>
  <c r="D7" i="6"/>
  <c r="E7" i="6"/>
  <c r="F7" i="6"/>
  <c r="A8" i="6"/>
  <c r="B8" i="6"/>
  <c r="C8" i="6"/>
  <c r="D8" i="6"/>
  <c r="E8" i="6"/>
  <c r="F8" i="6"/>
  <c r="A6" i="6"/>
  <c r="B6" i="6"/>
  <c r="C6" i="6"/>
  <c r="D6" i="6"/>
  <c r="E6" i="6"/>
  <c r="F6" i="6"/>
  <c r="A21" i="6"/>
  <c r="B21" i="6"/>
  <c r="C21" i="6"/>
  <c r="D21" i="6"/>
  <c r="E21" i="6"/>
  <c r="F21" i="6"/>
  <c r="A15" i="6"/>
  <c r="B15" i="6"/>
  <c r="C15" i="6"/>
  <c r="D15" i="6"/>
  <c r="E15" i="6"/>
  <c r="F15" i="6"/>
  <c r="A19" i="6"/>
  <c r="B19" i="6"/>
  <c r="C19" i="6"/>
  <c r="D19" i="6"/>
  <c r="E19" i="6"/>
  <c r="F19" i="6"/>
  <c r="A9" i="6"/>
  <c r="B9" i="6"/>
  <c r="C9" i="6"/>
  <c r="D9" i="6"/>
  <c r="E9" i="6"/>
  <c r="F9" i="6"/>
  <c r="A17" i="6"/>
  <c r="B17" i="6"/>
  <c r="C17" i="6"/>
  <c r="D17" i="6"/>
  <c r="E17" i="6"/>
  <c r="F17" i="6"/>
  <c r="A22" i="6"/>
  <c r="B22" i="6"/>
  <c r="C22" i="6"/>
  <c r="D22" i="6"/>
  <c r="E22" i="6"/>
  <c r="F22" i="6"/>
  <c r="A12" i="6"/>
  <c r="B12" i="6"/>
  <c r="C12" i="6"/>
  <c r="D12" i="6"/>
  <c r="E12" i="6"/>
  <c r="F12" i="6"/>
  <c r="A14" i="6"/>
  <c r="B14" i="6"/>
  <c r="C14" i="6"/>
  <c r="D14" i="6"/>
  <c r="E14" i="6"/>
  <c r="F14" i="6"/>
  <c r="A13" i="6"/>
  <c r="B13" i="6"/>
  <c r="C13" i="6"/>
  <c r="D13" i="6"/>
  <c r="E13" i="6"/>
  <c r="F13" i="6"/>
  <c r="A10" i="6"/>
  <c r="B10" i="6"/>
  <c r="C10" i="6"/>
  <c r="D10" i="6"/>
  <c r="E10" i="6"/>
  <c r="F10" i="6"/>
  <c r="A27" i="6"/>
  <c r="B27" i="6"/>
  <c r="C27" i="6"/>
  <c r="D27" i="6"/>
  <c r="E27" i="6"/>
  <c r="F27" i="6"/>
  <c r="A23" i="6"/>
  <c r="B23" i="6"/>
  <c r="C23" i="6"/>
  <c r="D23" i="6"/>
  <c r="E23" i="6"/>
  <c r="F23" i="6"/>
  <c r="A16" i="6"/>
  <c r="B16" i="6"/>
  <c r="C16" i="6"/>
  <c r="D16" i="6"/>
  <c r="E16" i="6"/>
  <c r="F16" i="6"/>
  <c r="A28" i="6"/>
  <c r="B28" i="6"/>
  <c r="C28" i="6"/>
  <c r="D28" i="6"/>
  <c r="E28" i="6"/>
  <c r="F28" i="6"/>
  <c r="A18" i="6"/>
  <c r="B18" i="6"/>
  <c r="C18" i="6"/>
  <c r="D18" i="6"/>
  <c r="E18" i="6"/>
  <c r="F18" i="6"/>
  <c r="A24" i="6"/>
  <c r="B24" i="6"/>
  <c r="C24" i="6"/>
  <c r="D24" i="6"/>
  <c r="E24" i="6"/>
  <c r="F24" i="6"/>
  <c r="A50" i="6"/>
  <c r="B50" i="6"/>
  <c r="C50" i="6"/>
  <c r="D50" i="6"/>
  <c r="E50" i="6"/>
  <c r="F50" i="6"/>
  <c r="A39" i="6"/>
  <c r="B39" i="6"/>
  <c r="C39" i="6"/>
  <c r="D39" i="6"/>
  <c r="E39" i="6"/>
  <c r="F39" i="6"/>
  <c r="A32" i="6"/>
  <c r="B32" i="6"/>
  <c r="C32" i="6"/>
  <c r="D32" i="6"/>
  <c r="E32" i="6"/>
  <c r="F32" i="6"/>
  <c r="A29" i="6"/>
  <c r="B29" i="6"/>
  <c r="C29" i="6"/>
  <c r="D29" i="6"/>
  <c r="E29" i="6"/>
  <c r="F29" i="6"/>
  <c r="A31" i="6"/>
  <c r="B31" i="6"/>
  <c r="C31" i="6"/>
  <c r="D31" i="6"/>
  <c r="E31" i="6"/>
  <c r="F31" i="6"/>
  <c r="A36" i="6"/>
  <c r="B36" i="6"/>
  <c r="C36" i="6"/>
  <c r="D36" i="6"/>
  <c r="E36" i="6"/>
  <c r="F36" i="6"/>
  <c r="A20" i="6"/>
  <c r="B20" i="6"/>
  <c r="C20" i="6"/>
  <c r="D20" i="6"/>
  <c r="E20" i="6"/>
  <c r="F20" i="6"/>
  <c r="A11" i="6"/>
  <c r="B11" i="6"/>
  <c r="C11" i="6"/>
  <c r="D11" i="6"/>
  <c r="E11" i="6"/>
  <c r="F11" i="6"/>
  <c r="A49" i="6"/>
  <c r="B49" i="6"/>
  <c r="C49" i="6"/>
  <c r="D49" i="6"/>
  <c r="E49" i="6"/>
  <c r="F49" i="6"/>
  <c r="A48" i="6"/>
  <c r="B48" i="6"/>
  <c r="C48" i="6"/>
  <c r="D48" i="6"/>
  <c r="E48" i="6"/>
  <c r="F48" i="6"/>
  <c r="A51" i="6"/>
  <c r="B51" i="6"/>
  <c r="C51" i="6"/>
  <c r="D51" i="6"/>
  <c r="E51" i="6"/>
  <c r="F51" i="6"/>
  <c r="A26" i="6"/>
  <c r="B26" i="6"/>
  <c r="C26" i="6"/>
  <c r="D26" i="6"/>
  <c r="E26" i="6"/>
  <c r="F26" i="6"/>
  <c r="A56" i="6"/>
  <c r="B56" i="6"/>
  <c r="C56" i="6"/>
  <c r="D56" i="6"/>
  <c r="E56" i="6"/>
  <c r="F56" i="6"/>
  <c r="A63" i="6"/>
  <c r="B63" i="6"/>
  <c r="C63" i="6"/>
  <c r="D63" i="6"/>
  <c r="E63" i="6"/>
  <c r="F63" i="6"/>
  <c r="A59" i="6"/>
  <c r="B59" i="6"/>
  <c r="C59" i="6"/>
  <c r="D59" i="6"/>
  <c r="E59" i="6"/>
  <c r="F59" i="6"/>
  <c r="A58" i="6"/>
  <c r="B58" i="6"/>
  <c r="C58" i="6"/>
  <c r="D58" i="6"/>
  <c r="E58" i="6"/>
  <c r="F58" i="6"/>
  <c r="A33" i="6"/>
  <c r="B33" i="6"/>
  <c r="C33" i="6"/>
  <c r="D33" i="6"/>
  <c r="E33" i="6"/>
  <c r="F33" i="6"/>
  <c r="A41" i="6"/>
  <c r="B41" i="6"/>
  <c r="C41" i="6"/>
  <c r="D41" i="6"/>
  <c r="E41" i="6"/>
  <c r="F41" i="6"/>
  <c r="A47" i="6"/>
  <c r="B47" i="6"/>
  <c r="C47" i="6"/>
  <c r="D47" i="6"/>
  <c r="E47" i="6"/>
  <c r="F47" i="6"/>
  <c r="A30" i="6"/>
  <c r="B30" i="6"/>
  <c r="C30" i="6"/>
  <c r="D30" i="6"/>
  <c r="E30" i="6"/>
  <c r="F30" i="6"/>
  <c r="A34" i="6"/>
  <c r="B34" i="6"/>
  <c r="C34" i="6"/>
  <c r="D34" i="6"/>
  <c r="E34" i="6"/>
  <c r="F34" i="6"/>
  <c r="A57" i="6"/>
  <c r="B57" i="6"/>
  <c r="C57" i="6"/>
  <c r="D57" i="6"/>
  <c r="E57" i="6"/>
  <c r="F57" i="6"/>
  <c r="A60" i="6"/>
  <c r="B60" i="6"/>
  <c r="C60" i="6"/>
  <c r="D60" i="6"/>
  <c r="E60" i="6"/>
  <c r="F60" i="6"/>
  <c r="A43" i="6"/>
  <c r="B43" i="6"/>
  <c r="C43" i="6"/>
  <c r="D43" i="6"/>
  <c r="E43" i="6"/>
  <c r="F43" i="6"/>
  <c r="A45" i="6"/>
  <c r="B45" i="6"/>
  <c r="C45" i="6"/>
  <c r="D45" i="6"/>
  <c r="E45" i="6"/>
  <c r="F45" i="6"/>
  <c r="A38" i="6"/>
  <c r="B38" i="6"/>
  <c r="C38" i="6"/>
  <c r="D38" i="6"/>
  <c r="E38" i="6"/>
  <c r="F38" i="6"/>
  <c r="A46" i="6"/>
  <c r="B46" i="6"/>
  <c r="C46" i="6"/>
  <c r="D46" i="6"/>
  <c r="E46" i="6"/>
  <c r="F46" i="6"/>
  <c r="A44" i="6"/>
  <c r="B44" i="6"/>
  <c r="C44" i="6"/>
  <c r="D44" i="6"/>
  <c r="E44" i="6"/>
  <c r="F44" i="6"/>
  <c r="A78" i="6"/>
  <c r="B78" i="6"/>
  <c r="C78" i="6"/>
  <c r="D78" i="6"/>
  <c r="E78" i="6"/>
  <c r="F78" i="6"/>
  <c r="A75" i="6"/>
  <c r="B75" i="6"/>
  <c r="C75" i="6"/>
  <c r="D75" i="6"/>
  <c r="E75" i="6"/>
  <c r="F75" i="6"/>
  <c r="A77" i="6"/>
  <c r="B77" i="6"/>
  <c r="C77" i="6"/>
  <c r="D77" i="6"/>
  <c r="E77" i="6"/>
  <c r="F77" i="6"/>
  <c r="A61" i="6"/>
  <c r="B61" i="6"/>
  <c r="C61" i="6"/>
  <c r="D61" i="6"/>
  <c r="E61" i="6"/>
  <c r="F61" i="6"/>
  <c r="A42" i="6"/>
  <c r="B42" i="6"/>
  <c r="C42" i="6"/>
  <c r="D42" i="6"/>
  <c r="E42" i="6"/>
  <c r="F42" i="6"/>
  <c r="A54" i="6"/>
  <c r="B54" i="6"/>
  <c r="C54" i="6"/>
  <c r="D54" i="6"/>
  <c r="E54" i="6"/>
  <c r="F54" i="6"/>
  <c r="A37" i="6"/>
  <c r="B37" i="6"/>
  <c r="C37" i="6"/>
  <c r="D37" i="6"/>
  <c r="E37" i="6"/>
  <c r="F37" i="6"/>
  <c r="A53" i="6"/>
  <c r="B53" i="6"/>
  <c r="C53" i="6"/>
  <c r="D53" i="6"/>
  <c r="E53" i="6"/>
  <c r="F53" i="6"/>
  <c r="A65" i="6"/>
  <c r="B65" i="6"/>
  <c r="C65" i="6"/>
  <c r="D65" i="6"/>
  <c r="E65" i="6"/>
  <c r="F65" i="6"/>
  <c r="A35" i="6"/>
  <c r="B35" i="6"/>
  <c r="C35" i="6"/>
  <c r="D35" i="6"/>
  <c r="E35" i="6"/>
  <c r="F35" i="6"/>
  <c r="A52" i="6"/>
  <c r="B52" i="6"/>
  <c r="C52" i="6"/>
  <c r="D52" i="6"/>
  <c r="E52" i="6"/>
  <c r="F52" i="6"/>
  <c r="A76" i="6"/>
  <c r="B76" i="6"/>
  <c r="C76" i="6"/>
  <c r="D76" i="6"/>
  <c r="E76" i="6"/>
  <c r="F76" i="6"/>
  <c r="A73" i="6"/>
  <c r="B73" i="6"/>
  <c r="C73" i="6"/>
  <c r="D73" i="6"/>
  <c r="E73" i="6"/>
  <c r="F73" i="6"/>
  <c r="A71" i="6"/>
  <c r="B71" i="6"/>
  <c r="C71" i="6"/>
  <c r="D71" i="6"/>
  <c r="E71" i="6"/>
  <c r="F71" i="6"/>
  <c r="A62" i="6"/>
  <c r="B62" i="6"/>
  <c r="C62" i="6"/>
  <c r="D62" i="6"/>
  <c r="E62" i="6"/>
  <c r="F62" i="6"/>
  <c r="A64" i="6"/>
  <c r="B64" i="6"/>
  <c r="C64" i="6"/>
  <c r="D64" i="6"/>
  <c r="E64" i="6"/>
  <c r="F64" i="6"/>
  <c r="A72" i="6"/>
  <c r="B72" i="6"/>
  <c r="C72" i="6"/>
  <c r="D72" i="6"/>
  <c r="E72" i="6"/>
  <c r="F72" i="6"/>
  <c r="A69" i="6"/>
  <c r="B69" i="6"/>
  <c r="C69" i="6"/>
  <c r="D69" i="6"/>
  <c r="E69" i="6"/>
  <c r="F69" i="6"/>
  <c r="A79" i="6"/>
  <c r="B79" i="6"/>
  <c r="C79" i="6"/>
  <c r="D79" i="6"/>
  <c r="E79" i="6"/>
  <c r="F79" i="6"/>
  <c r="A74" i="6"/>
  <c r="B74" i="6"/>
  <c r="C74" i="6"/>
  <c r="D74" i="6"/>
  <c r="E74" i="6"/>
  <c r="F74" i="6"/>
  <c r="A67" i="6"/>
  <c r="B67" i="6"/>
  <c r="C67" i="6"/>
  <c r="D67" i="6"/>
  <c r="E67" i="6"/>
  <c r="F67" i="6"/>
  <c r="A55" i="6"/>
  <c r="B55" i="6"/>
  <c r="C55" i="6"/>
  <c r="D55" i="6"/>
  <c r="E55" i="6"/>
  <c r="F55" i="6"/>
  <c r="A86" i="6"/>
  <c r="B86" i="6"/>
  <c r="C86" i="6"/>
  <c r="D86" i="6"/>
  <c r="E86" i="6"/>
  <c r="F86" i="6"/>
  <c r="A40" i="6"/>
  <c r="B40" i="6"/>
  <c r="C40" i="6"/>
  <c r="D40" i="6"/>
  <c r="E40" i="6"/>
  <c r="F40" i="6"/>
  <c r="A81" i="6"/>
  <c r="B81" i="6"/>
  <c r="C81" i="6"/>
  <c r="D81" i="6"/>
  <c r="E81" i="6"/>
  <c r="F81" i="6"/>
  <c r="A80" i="6"/>
  <c r="B80" i="6"/>
  <c r="C80" i="6"/>
  <c r="D80" i="6"/>
  <c r="E80" i="6"/>
  <c r="F80" i="6"/>
  <c r="A85" i="6"/>
  <c r="B85" i="6"/>
  <c r="C85" i="6"/>
  <c r="D85" i="6"/>
  <c r="E85" i="6"/>
  <c r="F85" i="6"/>
  <c r="A82" i="6"/>
  <c r="B82" i="6"/>
  <c r="C82" i="6"/>
  <c r="D82" i="6"/>
  <c r="E82" i="6"/>
  <c r="F82" i="6"/>
  <c r="A89" i="6"/>
  <c r="B89" i="6"/>
  <c r="C89" i="6"/>
  <c r="D89" i="6"/>
  <c r="E89" i="6"/>
  <c r="F89" i="6"/>
  <c r="A90" i="6"/>
  <c r="B90" i="6"/>
  <c r="C90" i="6"/>
  <c r="D90" i="6"/>
  <c r="E90" i="6"/>
  <c r="F90" i="6"/>
  <c r="A91" i="6"/>
  <c r="B91" i="6"/>
  <c r="C91" i="6"/>
  <c r="D91" i="6"/>
  <c r="E91" i="6"/>
  <c r="F91" i="6"/>
  <c r="A83" i="6"/>
  <c r="B83" i="6"/>
  <c r="C83" i="6"/>
  <c r="D83" i="6"/>
  <c r="E83" i="6"/>
  <c r="F83" i="6"/>
  <c r="A93" i="6"/>
  <c r="B93" i="6"/>
  <c r="C93" i="6"/>
  <c r="D93" i="6"/>
  <c r="E93" i="6"/>
  <c r="F93" i="6"/>
  <c r="A70" i="6"/>
  <c r="B70" i="6"/>
  <c r="C70" i="6"/>
  <c r="D70" i="6"/>
  <c r="E70" i="6"/>
  <c r="F70" i="6"/>
  <c r="A102" i="6"/>
  <c r="B102" i="6"/>
  <c r="C102" i="6"/>
  <c r="D102" i="6"/>
  <c r="E102" i="6"/>
  <c r="F102" i="6"/>
  <c r="A97" i="6"/>
  <c r="B97" i="6"/>
  <c r="C97" i="6"/>
  <c r="D97" i="6"/>
  <c r="E97" i="6"/>
  <c r="F97" i="6"/>
  <c r="A96" i="6"/>
  <c r="B96" i="6"/>
  <c r="C96" i="6"/>
  <c r="D96" i="6"/>
  <c r="E96" i="6"/>
  <c r="F96" i="6"/>
  <c r="A95" i="6"/>
  <c r="B95" i="6"/>
  <c r="C95" i="6"/>
  <c r="D95" i="6"/>
  <c r="E95" i="6"/>
  <c r="F95" i="6"/>
  <c r="A98" i="6"/>
  <c r="B98" i="6"/>
  <c r="C98" i="6"/>
  <c r="D98" i="6"/>
  <c r="E98" i="6"/>
  <c r="F98" i="6"/>
  <c r="A101" i="6"/>
  <c r="B101" i="6"/>
  <c r="C101" i="6"/>
  <c r="D101" i="6"/>
  <c r="E101" i="6"/>
  <c r="F101" i="6"/>
  <c r="A104" i="6"/>
  <c r="B104" i="6"/>
  <c r="C104" i="6"/>
  <c r="D104" i="6"/>
  <c r="E104" i="6"/>
  <c r="F104" i="6"/>
  <c r="A94" i="6"/>
  <c r="B94" i="6"/>
  <c r="C94" i="6"/>
  <c r="D94" i="6"/>
  <c r="E94" i="6"/>
  <c r="F94" i="6"/>
  <c r="A100" i="6"/>
  <c r="B100" i="6"/>
  <c r="C100" i="6"/>
  <c r="D100" i="6"/>
  <c r="E100" i="6"/>
  <c r="F100" i="6"/>
  <c r="F2" i="6"/>
  <c r="E2" i="6"/>
  <c r="D2" i="6"/>
  <c r="C2" i="6"/>
  <c r="B2" i="6"/>
  <c r="A2" i="6"/>
  <c r="A5" i="2"/>
  <c r="B5" i="2"/>
  <c r="C5" i="2"/>
  <c r="D5" i="2"/>
  <c r="E5" i="2"/>
  <c r="F5" i="2"/>
  <c r="A3" i="2"/>
  <c r="B3" i="2"/>
  <c r="C3" i="2"/>
  <c r="D3" i="2"/>
  <c r="E3" i="2"/>
  <c r="F3" i="2"/>
  <c r="A7" i="2"/>
  <c r="B7" i="2"/>
  <c r="C7" i="2"/>
  <c r="D7" i="2"/>
  <c r="E7" i="2"/>
  <c r="F7" i="2"/>
  <c r="A6" i="2"/>
  <c r="B6" i="2"/>
  <c r="C6" i="2"/>
  <c r="D6" i="2"/>
  <c r="E6" i="2"/>
  <c r="F6" i="2"/>
  <c r="A9" i="2"/>
  <c r="B9" i="2"/>
  <c r="C9" i="2"/>
  <c r="D9" i="2"/>
  <c r="E9" i="2"/>
  <c r="F9" i="2"/>
  <c r="A13" i="2"/>
  <c r="B13" i="2"/>
  <c r="C13" i="2"/>
  <c r="D13" i="2"/>
  <c r="E13" i="2"/>
  <c r="F13" i="2"/>
  <c r="A8" i="2"/>
  <c r="B8" i="2"/>
  <c r="C8" i="2"/>
  <c r="D8" i="2"/>
  <c r="E8" i="2"/>
  <c r="F8" i="2"/>
  <c r="A15" i="2"/>
  <c r="B15" i="2"/>
  <c r="C15" i="2"/>
  <c r="D15" i="2"/>
  <c r="E15" i="2"/>
  <c r="F15" i="2"/>
  <c r="A61" i="2"/>
  <c r="B61" i="2"/>
  <c r="C61" i="2"/>
  <c r="D61" i="2"/>
  <c r="E61" i="2"/>
  <c r="F61" i="2"/>
  <c r="A12" i="2"/>
  <c r="B12" i="2"/>
  <c r="C12" i="2"/>
  <c r="D12" i="2"/>
  <c r="E12" i="2"/>
  <c r="F12" i="2"/>
  <c r="A2" i="2"/>
  <c r="B2" i="2"/>
  <c r="C2" i="2"/>
  <c r="D2" i="2"/>
  <c r="E2" i="2"/>
  <c r="F2" i="2"/>
  <c r="A16" i="2"/>
  <c r="B16" i="2"/>
  <c r="C16" i="2"/>
  <c r="D16" i="2"/>
  <c r="E16" i="2"/>
  <c r="F16" i="2"/>
  <c r="A47" i="2"/>
  <c r="B47" i="2"/>
  <c r="C47" i="2"/>
  <c r="D47" i="2"/>
  <c r="E47" i="2"/>
  <c r="F47" i="2"/>
  <c r="A17" i="2"/>
  <c r="B17" i="2"/>
  <c r="C17" i="2"/>
  <c r="D17" i="2"/>
  <c r="E17" i="2"/>
  <c r="F17" i="2"/>
  <c r="A18" i="2"/>
  <c r="B18" i="2"/>
  <c r="C18" i="2"/>
  <c r="D18" i="2"/>
  <c r="E18" i="2"/>
  <c r="F18" i="2"/>
  <c r="A22" i="2"/>
  <c r="B22" i="2"/>
  <c r="C22" i="2"/>
  <c r="D22" i="2"/>
  <c r="E22" i="2"/>
  <c r="F22" i="2"/>
  <c r="A14" i="2"/>
  <c r="B14" i="2"/>
  <c r="C14" i="2"/>
  <c r="D14" i="2"/>
  <c r="E14" i="2"/>
  <c r="F14" i="2"/>
  <c r="A37" i="2"/>
  <c r="B37" i="2"/>
  <c r="C37" i="2"/>
  <c r="D37" i="2"/>
  <c r="E37" i="2"/>
  <c r="F37" i="2"/>
  <c r="A35" i="2"/>
  <c r="B35" i="2"/>
  <c r="C35" i="2"/>
  <c r="D35" i="2"/>
  <c r="E35" i="2"/>
  <c r="F35" i="2"/>
  <c r="A28" i="2"/>
  <c r="B28" i="2"/>
  <c r="C28" i="2"/>
  <c r="D28" i="2"/>
  <c r="E28" i="2"/>
  <c r="F28" i="2"/>
  <c r="A19" i="2"/>
  <c r="B19" i="2"/>
  <c r="C19" i="2"/>
  <c r="D19" i="2"/>
  <c r="E19" i="2"/>
  <c r="F19" i="2"/>
  <c r="A21" i="2"/>
  <c r="B21" i="2"/>
  <c r="C21" i="2"/>
  <c r="D21" i="2"/>
  <c r="E21" i="2"/>
  <c r="F21" i="2"/>
  <c r="A29" i="2"/>
  <c r="B29" i="2"/>
  <c r="C29" i="2"/>
  <c r="D29" i="2"/>
  <c r="E29" i="2"/>
  <c r="F29" i="2"/>
  <c r="A24" i="2"/>
  <c r="B24" i="2"/>
  <c r="C24" i="2"/>
  <c r="D24" i="2"/>
  <c r="E24" i="2"/>
  <c r="F24" i="2"/>
  <c r="A32" i="2"/>
  <c r="B32" i="2"/>
  <c r="C32" i="2"/>
  <c r="D32" i="2"/>
  <c r="E32" i="2"/>
  <c r="F32" i="2"/>
  <c r="A31" i="2"/>
  <c r="B31" i="2"/>
  <c r="C31" i="2"/>
  <c r="D31" i="2"/>
  <c r="E31" i="2"/>
  <c r="F31" i="2"/>
  <c r="A23" i="2"/>
  <c r="B23" i="2"/>
  <c r="C23" i="2"/>
  <c r="D23" i="2"/>
  <c r="E23" i="2"/>
  <c r="F23" i="2"/>
  <c r="A26" i="2"/>
  <c r="B26" i="2"/>
  <c r="C26" i="2"/>
  <c r="D26" i="2"/>
  <c r="E26" i="2"/>
  <c r="F26" i="2"/>
  <c r="A49" i="2"/>
  <c r="B49" i="2"/>
  <c r="C49" i="2"/>
  <c r="D49" i="2"/>
  <c r="E49" i="2"/>
  <c r="F49" i="2"/>
  <c r="A27" i="2"/>
  <c r="B27" i="2"/>
  <c r="C27" i="2"/>
  <c r="D27" i="2"/>
  <c r="E27" i="2"/>
  <c r="F27" i="2"/>
  <c r="A30" i="2"/>
  <c r="B30" i="2"/>
  <c r="C30" i="2"/>
  <c r="D30" i="2"/>
  <c r="E30" i="2"/>
  <c r="F30" i="2"/>
  <c r="A11" i="2"/>
  <c r="B11" i="2"/>
  <c r="C11" i="2"/>
  <c r="D11" i="2"/>
  <c r="E11" i="2"/>
  <c r="F11" i="2"/>
  <c r="A25" i="2"/>
  <c r="B25" i="2"/>
  <c r="C25" i="2"/>
  <c r="D25" i="2"/>
  <c r="E25" i="2"/>
  <c r="F25" i="2"/>
  <c r="A39" i="2"/>
  <c r="B39" i="2"/>
  <c r="C39" i="2"/>
  <c r="D39" i="2"/>
  <c r="E39" i="2"/>
  <c r="F39" i="2"/>
  <c r="A44" i="2"/>
  <c r="B44" i="2"/>
  <c r="C44" i="2"/>
  <c r="D44" i="2"/>
  <c r="E44" i="2"/>
  <c r="F44" i="2"/>
  <c r="A36" i="2"/>
  <c r="B36" i="2"/>
  <c r="C36" i="2"/>
  <c r="D36" i="2"/>
  <c r="E36" i="2"/>
  <c r="F36" i="2"/>
  <c r="A34" i="2"/>
  <c r="B34" i="2"/>
  <c r="C34" i="2"/>
  <c r="D34" i="2"/>
  <c r="E34" i="2"/>
  <c r="F34" i="2"/>
  <c r="A33" i="2"/>
  <c r="B33" i="2"/>
  <c r="C33" i="2"/>
  <c r="D33" i="2"/>
  <c r="E33" i="2"/>
  <c r="F33" i="2"/>
  <c r="A43" i="2"/>
  <c r="B43" i="2"/>
  <c r="C43" i="2"/>
  <c r="D43" i="2"/>
  <c r="E43" i="2"/>
  <c r="F43" i="2"/>
  <c r="A40" i="2"/>
  <c r="B40" i="2"/>
  <c r="C40" i="2"/>
  <c r="D40" i="2"/>
  <c r="E40" i="2"/>
  <c r="F40" i="2"/>
  <c r="A38" i="2"/>
  <c r="B38" i="2"/>
  <c r="C38" i="2"/>
  <c r="D38" i="2"/>
  <c r="E38" i="2"/>
  <c r="F38" i="2"/>
  <c r="A42" i="2"/>
  <c r="B42" i="2"/>
  <c r="C42" i="2"/>
  <c r="D42" i="2"/>
  <c r="E42" i="2"/>
  <c r="F42" i="2"/>
  <c r="A54" i="2"/>
  <c r="B54" i="2"/>
  <c r="C54" i="2"/>
  <c r="D54" i="2"/>
  <c r="E54" i="2"/>
  <c r="F54" i="2"/>
  <c r="A52" i="2"/>
  <c r="B52" i="2"/>
  <c r="C52" i="2"/>
  <c r="D52" i="2"/>
  <c r="E52" i="2"/>
  <c r="F52" i="2"/>
  <c r="A41" i="2"/>
  <c r="B41" i="2"/>
  <c r="C41" i="2"/>
  <c r="D41" i="2"/>
  <c r="E41" i="2"/>
  <c r="F41" i="2"/>
  <c r="A20" i="2"/>
  <c r="B20" i="2"/>
  <c r="C20" i="2"/>
  <c r="D20" i="2"/>
  <c r="E20" i="2"/>
  <c r="F20" i="2"/>
  <c r="A56" i="2"/>
  <c r="B56" i="2"/>
  <c r="C56" i="2"/>
  <c r="D56" i="2"/>
  <c r="E56" i="2"/>
  <c r="F56" i="2"/>
  <c r="A45" i="2"/>
  <c r="B45" i="2"/>
  <c r="C45" i="2"/>
  <c r="D45" i="2"/>
  <c r="E45" i="2"/>
  <c r="F45" i="2"/>
  <c r="A55" i="2"/>
  <c r="B55" i="2"/>
  <c r="C55" i="2"/>
  <c r="D55" i="2"/>
  <c r="E55" i="2"/>
  <c r="F55" i="2"/>
  <c r="A48" i="2"/>
  <c r="B48" i="2"/>
  <c r="C48" i="2"/>
  <c r="D48" i="2"/>
  <c r="E48" i="2"/>
  <c r="F48" i="2"/>
  <c r="A53" i="2"/>
  <c r="B53" i="2"/>
  <c r="C53" i="2"/>
  <c r="D53" i="2"/>
  <c r="E53" i="2"/>
  <c r="F53" i="2"/>
  <c r="A58" i="2"/>
  <c r="B58" i="2"/>
  <c r="C58" i="2"/>
  <c r="D58" i="2"/>
  <c r="E58" i="2"/>
  <c r="F58" i="2"/>
  <c r="A51" i="2"/>
  <c r="B51" i="2"/>
  <c r="C51" i="2"/>
  <c r="D51" i="2"/>
  <c r="E51" i="2"/>
  <c r="F51" i="2"/>
  <c r="A57" i="2"/>
  <c r="B57" i="2"/>
  <c r="C57" i="2"/>
  <c r="D57" i="2"/>
  <c r="E57" i="2"/>
  <c r="F57" i="2"/>
  <c r="A50" i="2"/>
  <c r="B50" i="2"/>
  <c r="C50" i="2"/>
  <c r="D50" i="2"/>
  <c r="E50" i="2"/>
  <c r="F50" i="2"/>
  <c r="A60" i="2"/>
  <c r="B60" i="2"/>
  <c r="C60" i="2"/>
  <c r="D60" i="2"/>
  <c r="E60" i="2"/>
  <c r="F60" i="2"/>
  <c r="A10" i="2"/>
  <c r="B10" i="2"/>
  <c r="C10" i="2"/>
  <c r="D10" i="2"/>
  <c r="E10" i="2"/>
  <c r="F10" i="2"/>
  <c r="A59" i="2"/>
  <c r="B59" i="2"/>
  <c r="C59" i="2"/>
  <c r="D59" i="2"/>
  <c r="E59" i="2"/>
  <c r="F59" i="2"/>
  <c r="A46" i="2"/>
  <c r="B46" i="2"/>
  <c r="C46" i="2"/>
  <c r="D46" i="2"/>
  <c r="E46" i="2"/>
  <c r="F46" i="2"/>
  <c r="A62" i="2"/>
  <c r="B62" i="2"/>
  <c r="C62" i="2"/>
  <c r="D62" i="2"/>
  <c r="E62" i="2"/>
  <c r="F62" i="2"/>
  <c r="A66" i="2"/>
  <c r="B66" i="2"/>
  <c r="C66" i="2"/>
  <c r="D66" i="2"/>
  <c r="E66" i="2"/>
  <c r="F66" i="2"/>
  <c r="A68" i="2"/>
  <c r="B68" i="2"/>
  <c r="C68" i="2"/>
  <c r="D68" i="2"/>
  <c r="E68" i="2"/>
  <c r="F68" i="2"/>
  <c r="A63" i="2"/>
  <c r="B63" i="2"/>
  <c r="C63" i="2"/>
  <c r="D63" i="2"/>
  <c r="E63" i="2"/>
  <c r="F63" i="2"/>
  <c r="A65" i="2"/>
  <c r="B65" i="2"/>
  <c r="C65" i="2"/>
  <c r="D65" i="2"/>
  <c r="E65" i="2"/>
  <c r="F65" i="2"/>
  <c r="A67" i="2"/>
  <c r="B67" i="2"/>
  <c r="C67" i="2"/>
  <c r="D67" i="2"/>
  <c r="E67" i="2"/>
  <c r="F67" i="2"/>
  <c r="A89" i="2"/>
  <c r="B89" i="2"/>
  <c r="C89" i="2"/>
  <c r="D89" i="2"/>
  <c r="E89" i="2"/>
  <c r="F89" i="2"/>
  <c r="A82" i="2"/>
  <c r="B82" i="2"/>
  <c r="C82" i="2"/>
  <c r="D82" i="2"/>
  <c r="E82" i="2"/>
  <c r="F82" i="2"/>
  <c r="A76" i="2"/>
  <c r="B76" i="2"/>
  <c r="C76" i="2"/>
  <c r="D76" i="2"/>
  <c r="E76" i="2"/>
  <c r="F76" i="2"/>
  <c r="A70" i="2"/>
  <c r="B70" i="2"/>
  <c r="C70" i="2"/>
  <c r="D70" i="2"/>
  <c r="E70" i="2"/>
  <c r="F70" i="2"/>
  <c r="A83" i="2"/>
  <c r="B83" i="2"/>
  <c r="C83" i="2"/>
  <c r="D83" i="2"/>
  <c r="E83" i="2"/>
  <c r="F83" i="2"/>
  <c r="A78" i="2"/>
  <c r="B78" i="2"/>
  <c r="C78" i="2"/>
  <c r="D78" i="2"/>
  <c r="E78" i="2"/>
  <c r="F78" i="2"/>
  <c r="A84" i="2"/>
  <c r="B84" i="2"/>
  <c r="C84" i="2"/>
  <c r="D84" i="2"/>
  <c r="E84" i="2"/>
  <c r="F84" i="2"/>
  <c r="A77" i="2"/>
  <c r="B77" i="2"/>
  <c r="C77" i="2"/>
  <c r="D77" i="2"/>
  <c r="E77" i="2"/>
  <c r="F77" i="2"/>
  <c r="A73" i="2"/>
  <c r="B73" i="2"/>
  <c r="C73" i="2"/>
  <c r="D73" i="2"/>
  <c r="E73" i="2"/>
  <c r="F73" i="2"/>
  <c r="A69" i="2"/>
  <c r="B69" i="2"/>
  <c r="C69" i="2"/>
  <c r="D69" i="2"/>
  <c r="E69" i="2"/>
  <c r="F69" i="2"/>
  <c r="A88" i="2"/>
  <c r="B88" i="2"/>
  <c r="C88" i="2"/>
  <c r="D88" i="2"/>
  <c r="E88" i="2"/>
  <c r="F88" i="2"/>
  <c r="A90" i="2"/>
  <c r="B90" i="2"/>
  <c r="C90" i="2"/>
  <c r="D90" i="2"/>
  <c r="E90" i="2"/>
  <c r="F90" i="2"/>
  <c r="A72" i="2"/>
  <c r="B72" i="2"/>
  <c r="C72" i="2"/>
  <c r="D72" i="2"/>
  <c r="E72" i="2"/>
  <c r="F72" i="2"/>
  <c r="A87" i="2"/>
  <c r="B87" i="2"/>
  <c r="C87" i="2"/>
  <c r="D87" i="2"/>
  <c r="E87" i="2"/>
  <c r="F87" i="2"/>
  <c r="A79" i="2"/>
  <c r="B79" i="2"/>
  <c r="C79" i="2"/>
  <c r="D79" i="2"/>
  <c r="E79" i="2"/>
  <c r="F79" i="2"/>
  <c r="A74" i="2"/>
  <c r="B74" i="2"/>
  <c r="C74" i="2"/>
  <c r="D74" i="2"/>
  <c r="E74" i="2"/>
  <c r="F74" i="2"/>
  <c r="A80" i="2"/>
  <c r="B80" i="2"/>
  <c r="C80" i="2"/>
  <c r="D80" i="2"/>
  <c r="E80" i="2"/>
  <c r="F80" i="2"/>
  <c r="A95" i="2"/>
  <c r="B95" i="2"/>
  <c r="C95" i="2"/>
  <c r="D95" i="2"/>
  <c r="E95" i="2"/>
  <c r="F95" i="2"/>
  <c r="A81" i="2"/>
  <c r="B81" i="2"/>
  <c r="C81" i="2"/>
  <c r="D81" i="2"/>
  <c r="E81" i="2"/>
  <c r="F81" i="2"/>
  <c r="A96" i="2"/>
  <c r="B96" i="2"/>
  <c r="C96" i="2"/>
  <c r="D96" i="2"/>
  <c r="E96" i="2"/>
  <c r="F96" i="2"/>
  <c r="A97" i="2"/>
  <c r="B97" i="2"/>
  <c r="C97" i="2"/>
  <c r="D97" i="2"/>
  <c r="E97" i="2"/>
  <c r="F97" i="2"/>
  <c r="A93" i="2"/>
  <c r="B93" i="2"/>
  <c r="C93" i="2"/>
  <c r="D93" i="2"/>
  <c r="E93" i="2"/>
  <c r="F93" i="2"/>
  <c r="A102" i="2"/>
  <c r="B102" i="2"/>
  <c r="C102" i="2"/>
  <c r="D102" i="2"/>
  <c r="E102" i="2"/>
  <c r="F102" i="2"/>
  <c r="A98" i="2"/>
  <c r="B98" i="2"/>
  <c r="C98" i="2"/>
  <c r="D98" i="2"/>
  <c r="E98" i="2"/>
  <c r="F98" i="2"/>
  <c r="A99" i="2"/>
  <c r="B99" i="2"/>
  <c r="C99" i="2"/>
  <c r="D99" i="2"/>
  <c r="E99" i="2"/>
  <c r="F99" i="2"/>
  <c r="A104" i="2"/>
  <c r="B104" i="2"/>
  <c r="C104" i="2"/>
  <c r="D104" i="2"/>
  <c r="E104" i="2"/>
  <c r="F104" i="2"/>
  <c r="A103" i="2"/>
  <c r="B103" i="2"/>
  <c r="C103" i="2"/>
  <c r="D103" i="2"/>
  <c r="E103" i="2"/>
  <c r="F103" i="2"/>
  <c r="A94" i="2"/>
  <c r="B94" i="2"/>
  <c r="C94" i="2"/>
  <c r="D94" i="2"/>
  <c r="E94" i="2"/>
  <c r="F94" i="2"/>
  <c r="F4" i="2"/>
  <c r="E4" i="2"/>
  <c r="D4" i="2"/>
  <c r="C4" i="2"/>
  <c r="B4" i="2"/>
  <c r="A4" i="2"/>
  <c r="D109" i="7"/>
  <c r="D111" i="7"/>
  <c r="D106" i="7"/>
  <c r="D105" i="7"/>
  <c r="D104" i="7"/>
  <c r="D108" i="7"/>
  <c r="D103" i="7"/>
  <c r="D99" i="7"/>
  <c r="D101" i="7"/>
  <c r="D110" i="7"/>
  <c r="D102" i="7"/>
  <c r="D107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E104" i="7"/>
  <c r="F104" i="7"/>
  <c r="G104" i="7"/>
  <c r="I104" i="7"/>
  <c r="J104" i="7"/>
  <c r="K104" i="7"/>
  <c r="L104" i="7"/>
  <c r="M104" i="7"/>
  <c r="N104" i="7"/>
  <c r="O104" i="7"/>
  <c r="P104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E99" i="7"/>
  <c r="F99" i="7"/>
  <c r="G99" i="7"/>
  <c r="H99" i="7"/>
  <c r="I99" i="7"/>
  <c r="J99" i="7"/>
  <c r="K99" i="7"/>
  <c r="L99" i="7"/>
  <c r="M99" i="7"/>
  <c r="N99" i="7"/>
  <c r="O99" i="7"/>
  <c r="P99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E66" i="7"/>
  <c r="F66" i="7"/>
  <c r="G66" i="7"/>
  <c r="H66" i="7"/>
  <c r="I66" i="7"/>
  <c r="J66" i="7"/>
  <c r="K66" i="7"/>
  <c r="L66" i="7"/>
  <c r="M66" i="7"/>
  <c r="N66" i="7"/>
  <c r="O66" i="7"/>
  <c r="P66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D5" i="7"/>
  <c r="E5" i="7"/>
  <c r="F5" i="7"/>
  <c r="G5" i="7"/>
  <c r="H5" i="7"/>
  <c r="I5" i="7"/>
  <c r="J5" i="7"/>
  <c r="K5" i="7"/>
  <c r="L5" i="7"/>
  <c r="M5" i="7"/>
  <c r="N5" i="7"/>
  <c r="O5" i="7"/>
  <c r="P5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D6" i="7"/>
  <c r="E6" i="7"/>
  <c r="F6" i="7"/>
  <c r="G6" i="7"/>
  <c r="H6" i="7"/>
  <c r="I6" i="7"/>
  <c r="J6" i="7"/>
  <c r="K6" i="7"/>
  <c r="L6" i="7"/>
  <c r="M6" i="7"/>
  <c r="N6" i="7"/>
  <c r="O6" i="7"/>
  <c r="P6" i="7"/>
  <c r="D12" i="7"/>
  <c r="E12" i="7"/>
  <c r="F12" i="7"/>
  <c r="G12" i="7"/>
  <c r="H12" i="7"/>
  <c r="I12" i="7"/>
  <c r="J12" i="7"/>
  <c r="L12" i="7"/>
  <c r="M12" i="7"/>
  <c r="N12" i="7"/>
  <c r="O12" i="7"/>
  <c r="P12" i="7"/>
  <c r="D9" i="7"/>
  <c r="E9" i="7"/>
  <c r="F9" i="7"/>
  <c r="G9" i="7"/>
  <c r="H9" i="7"/>
  <c r="I9" i="7"/>
  <c r="J9" i="7"/>
  <c r="K9" i="7"/>
  <c r="L9" i="7"/>
  <c r="M9" i="7"/>
  <c r="N9" i="7"/>
  <c r="O9" i="7"/>
  <c r="P9" i="7"/>
  <c r="D8" i="7"/>
  <c r="E8" i="7"/>
  <c r="F8" i="7"/>
  <c r="G8" i="7"/>
  <c r="H8" i="7"/>
  <c r="I8" i="7"/>
  <c r="J8" i="7"/>
  <c r="K8" i="7"/>
  <c r="L8" i="7"/>
  <c r="M8" i="7"/>
  <c r="N8" i="7"/>
  <c r="O8" i="7"/>
  <c r="P8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D4" i="7"/>
  <c r="E4" i="7"/>
  <c r="F4" i="7"/>
  <c r="G4" i="7"/>
  <c r="H4" i="7"/>
  <c r="I4" i="7"/>
  <c r="J4" i="7"/>
  <c r="K4" i="7"/>
  <c r="L4" i="7"/>
  <c r="M4" i="7"/>
  <c r="N4" i="7"/>
  <c r="O4" i="7"/>
  <c r="P4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D7" i="7"/>
  <c r="E7" i="7"/>
  <c r="F7" i="7"/>
  <c r="G7" i="7"/>
  <c r="H7" i="7"/>
  <c r="I7" i="7"/>
  <c r="J7" i="7"/>
  <c r="K7" i="7"/>
  <c r="L7" i="7"/>
  <c r="M7" i="7"/>
  <c r="N7" i="7"/>
  <c r="O7" i="7"/>
  <c r="P7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B99" i="7"/>
  <c r="B61" i="7"/>
  <c r="B72" i="7"/>
  <c r="B73" i="7"/>
  <c r="B71" i="7"/>
  <c r="B69" i="7"/>
  <c r="B68" i="7"/>
  <c r="B66" i="7"/>
  <c r="B67" i="7"/>
  <c r="B63" i="7"/>
  <c r="B65" i="7"/>
  <c r="B62" i="7"/>
  <c r="B64" i="7"/>
  <c r="B54" i="7"/>
  <c r="B49" i="7"/>
  <c r="B51" i="7"/>
  <c r="B50" i="7"/>
  <c r="B44" i="7"/>
  <c r="B53" i="7"/>
  <c r="B46" i="7"/>
  <c r="B48" i="7"/>
  <c r="B52" i="7"/>
  <c r="B45" i="7"/>
  <c r="B47" i="7"/>
  <c r="B42" i="7"/>
  <c r="B31" i="7"/>
  <c r="B34" i="7"/>
  <c r="B23" i="7"/>
  <c r="B28" i="7"/>
  <c r="B32" i="7"/>
  <c r="B33" i="7"/>
  <c r="B24" i="7"/>
  <c r="B30" i="7"/>
  <c r="B35" i="7"/>
  <c r="B26" i="7"/>
  <c r="B29" i="7"/>
  <c r="B27" i="7"/>
  <c r="B7" i="7"/>
  <c r="B11" i="7"/>
  <c r="B13" i="7"/>
  <c r="B4" i="7"/>
  <c r="B16" i="7"/>
  <c r="B8" i="7"/>
  <c r="B9" i="7"/>
  <c r="B12" i="7"/>
  <c r="B6" i="7"/>
  <c r="B10" i="7"/>
  <c r="B5" i="7"/>
  <c r="B15" i="7"/>
  <c r="R93" i="7" l="1"/>
  <c r="Q82" i="7"/>
  <c r="R82" i="7" s="1"/>
  <c r="N95" i="7"/>
  <c r="Q90" i="7"/>
  <c r="R90" i="7" s="1"/>
  <c r="Q86" i="7"/>
  <c r="R86" i="7" s="1"/>
  <c r="O95" i="7"/>
  <c r="P95" i="7"/>
  <c r="D95" i="7"/>
  <c r="Q80" i="7"/>
  <c r="R80" i="7" s="1"/>
  <c r="Q81" i="7"/>
  <c r="R81" i="7" s="1"/>
  <c r="Q87" i="7"/>
  <c r="R87" i="7" s="1"/>
  <c r="Q84" i="7"/>
  <c r="R84" i="7" s="1"/>
  <c r="J95" i="7"/>
  <c r="K95" i="7"/>
  <c r="L95" i="7"/>
  <c r="M95" i="7"/>
  <c r="Q88" i="7"/>
  <c r="R88" i="7" s="1"/>
  <c r="G95" i="7"/>
  <c r="Q89" i="7"/>
  <c r="R89" i="7" s="1"/>
  <c r="H95" i="7"/>
  <c r="Q85" i="7"/>
  <c r="R85" i="7" s="1"/>
  <c r="F95" i="7"/>
  <c r="Q91" i="7"/>
  <c r="R91" i="7" s="1"/>
  <c r="I95" i="7"/>
  <c r="Q92" i="7"/>
  <c r="R92" i="7" s="1"/>
  <c r="E95" i="7"/>
  <c r="F114" i="7"/>
  <c r="F19" i="7"/>
  <c r="H19" i="7"/>
  <c r="N19" i="7"/>
  <c r="M57" i="7"/>
  <c r="G114" i="7"/>
  <c r="Q109" i="7"/>
  <c r="D38" i="7"/>
  <c r="P38" i="7"/>
  <c r="F76" i="7"/>
  <c r="H114" i="7"/>
  <c r="E57" i="7"/>
  <c r="O57" i="7"/>
  <c r="Q69" i="7"/>
  <c r="R69" i="7" s="1"/>
  <c r="I114" i="7"/>
  <c r="Q99" i="7"/>
  <c r="F38" i="7"/>
  <c r="H76" i="7"/>
  <c r="J114" i="7"/>
  <c r="G57" i="7"/>
  <c r="Q65" i="7"/>
  <c r="R65" i="7" s="1"/>
  <c r="J76" i="7"/>
  <c r="L114" i="7"/>
  <c r="D114" i="7"/>
  <c r="P114" i="7"/>
  <c r="I38" i="7"/>
  <c r="Q26" i="7"/>
  <c r="R26" i="7" s="1"/>
  <c r="Q28" i="7"/>
  <c r="R28" i="7" s="1"/>
  <c r="Q11" i="7"/>
  <c r="R11" i="7" s="1"/>
  <c r="Q16" i="7"/>
  <c r="R16" i="7" s="1"/>
  <c r="Q5" i="7"/>
  <c r="R5" i="7" s="1"/>
  <c r="G38" i="7"/>
  <c r="Q29" i="7"/>
  <c r="R29" i="7" s="1"/>
  <c r="Q32" i="7"/>
  <c r="R32" i="7" s="1"/>
  <c r="F57" i="7"/>
  <c r="Q68" i="7"/>
  <c r="R68" i="7" s="1"/>
  <c r="E114" i="7"/>
  <c r="Q108" i="7"/>
  <c r="K38" i="7"/>
  <c r="Q47" i="7"/>
  <c r="R47" i="7" s="1"/>
  <c r="Q44" i="7"/>
  <c r="R44" i="7" s="1"/>
  <c r="G76" i="7"/>
  <c r="Q62" i="7"/>
  <c r="R62" i="7" s="1"/>
  <c r="H57" i="7"/>
  <c r="Q103" i="7"/>
  <c r="J38" i="7"/>
  <c r="H38" i="7"/>
  <c r="Q45" i="7"/>
  <c r="R45" i="7" s="1"/>
  <c r="Q50" i="7"/>
  <c r="R50" i="7" s="1"/>
  <c r="I76" i="7"/>
  <c r="Q35" i="7"/>
  <c r="R35" i="7" s="1"/>
  <c r="Q23" i="7"/>
  <c r="R23" i="7" s="1"/>
  <c r="L19" i="7"/>
  <c r="L38" i="7"/>
  <c r="K57" i="7"/>
  <c r="I57" i="7"/>
  <c r="Q52" i="7"/>
  <c r="R52" i="7" s="1"/>
  <c r="Q51" i="7"/>
  <c r="R51" i="7" s="1"/>
  <c r="K76" i="7"/>
  <c r="M38" i="7"/>
  <c r="Q30" i="7"/>
  <c r="R30" i="7" s="1"/>
  <c r="Q34" i="7"/>
  <c r="R34" i="7" s="1"/>
  <c r="L57" i="7"/>
  <c r="L76" i="7"/>
  <c r="Q63" i="7"/>
  <c r="R63" i="7" s="1"/>
  <c r="Q73" i="7"/>
  <c r="R73" i="7" s="1"/>
  <c r="K114" i="7"/>
  <c r="Q106" i="7"/>
  <c r="Q101" i="7"/>
  <c r="Q71" i="7"/>
  <c r="R71" i="7" s="1"/>
  <c r="Q48" i="7"/>
  <c r="R48" i="7" s="1"/>
  <c r="Q49" i="7"/>
  <c r="R49" i="7" s="1"/>
  <c r="M76" i="7"/>
  <c r="O19" i="7"/>
  <c r="O38" i="7"/>
  <c r="Q24" i="7"/>
  <c r="R24" i="7" s="1"/>
  <c r="Q31" i="7"/>
  <c r="R31" i="7" s="1"/>
  <c r="N57" i="7"/>
  <c r="N76" i="7"/>
  <c r="Q67" i="7"/>
  <c r="R67" i="7" s="1"/>
  <c r="Q72" i="7"/>
  <c r="R72" i="7" s="1"/>
  <c r="M114" i="7"/>
  <c r="Q105" i="7"/>
  <c r="Q110" i="7"/>
  <c r="Q111" i="7"/>
  <c r="N38" i="7"/>
  <c r="Q46" i="7"/>
  <c r="R46" i="7" s="1"/>
  <c r="Q54" i="7"/>
  <c r="R54" i="7" s="1"/>
  <c r="O76" i="7"/>
  <c r="N114" i="7"/>
  <c r="J57" i="7"/>
  <c r="E19" i="7"/>
  <c r="Q27" i="7"/>
  <c r="R27" i="7" s="1"/>
  <c r="Q33" i="7"/>
  <c r="R33" i="7" s="1"/>
  <c r="D57" i="7"/>
  <c r="P57" i="7"/>
  <c r="D76" i="7"/>
  <c r="P76" i="7"/>
  <c r="Q66" i="7"/>
  <c r="R66" i="7" s="1"/>
  <c r="Q61" i="7"/>
  <c r="R61" i="7" s="1"/>
  <c r="O114" i="7"/>
  <c r="Q104" i="7"/>
  <c r="Q102" i="7"/>
  <c r="Q42" i="7"/>
  <c r="R42" i="7" s="1"/>
  <c r="Q53" i="7"/>
  <c r="R53" i="7" s="1"/>
  <c r="E76" i="7"/>
  <c r="J19" i="7"/>
  <c r="K19" i="7"/>
  <c r="Q6" i="7"/>
  <c r="R6" i="7" s="1"/>
  <c r="Q13" i="7"/>
  <c r="R13" i="7" s="1"/>
  <c r="G19" i="7"/>
  <c r="Q12" i="7"/>
  <c r="R12" i="7" s="1"/>
  <c r="Q10" i="7"/>
  <c r="R10" i="7" s="1"/>
  <c r="Q4" i="7"/>
  <c r="R4" i="7" s="1"/>
  <c r="Q9" i="7"/>
  <c r="R9" i="7" s="1"/>
  <c r="Q7" i="7"/>
  <c r="R7" i="7" s="1"/>
  <c r="Q15" i="7"/>
  <c r="R15" i="7" s="1"/>
  <c r="M19" i="7"/>
  <c r="Q8" i="7"/>
  <c r="R8" i="7" s="1"/>
  <c r="I19" i="7"/>
  <c r="D19" i="7"/>
  <c r="P19" i="7"/>
  <c r="E38" i="7"/>
  <c r="Q107" i="7"/>
  <c r="Q64" i="7"/>
  <c r="R115" i="7" l="1"/>
  <c r="R100" i="7" s="1"/>
  <c r="Q95" i="7"/>
  <c r="R95" i="7" s="1"/>
  <c r="Q38" i="7"/>
  <c r="R38" i="7" s="1"/>
  <c r="Q57" i="7"/>
  <c r="R57" i="7" s="1"/>
  <c r="Q19" i="7"/>
  <c r="R19" i="7" s="1"/>
  <c r="Q76" i="7"/>
  <c r="R76" i="7" s="1"/>
  <c r="R64" i="7"/>
  <c r="Q114" i="7"/>
  <c r="R114" i="7" s="1"/>
  <c r="R111" i="7" l="1"/>
  <c r="R112" i="7"/>
  <c r="R101" i="7"/>
  <c r="R104" i="7"/>
  <c r="R102" i="7"/>
  <c r="R108" i="7"/>
  <c r="R110" i="7"/>
  <c r="R99" i="7"/>
  <c r="R107" i="7"/>
  <c r="R109" i="7"/>
  <c r="R106" i="7"/>
  <c r="R103" i="7"/>
  <c r="R105" i="7"/>
  <c r="W12" i="5"/>
  <c r="W5" i="3"/>
  <c r="W26" i="4"/>
  <c r="V7" i="2"/>
  <c r="V61" i="2"/>
  <c r="V26" i="2"/>
  <c r="V31" i="2"/>
  <c r="V32" i="2"/>
  <c r="V2" i="2"/>
  <c r="V41" i="2"/>
  <c r="V51" i="2"/>
  <c r="V59" i="2"/>
  <c r="V66" i="2"/>
  <c r="V82" i="2"/>
  <c r="V89" i="2"/>
  <c r="V70" i="2"/>
  <c r="V69" i="2"/>
  <c r="V87" i="2"/>
  <c r="V81" i="2"/>
  <c r="V80" i="2"/>
  <c r="V4" i="2"/>
  <c r="V79" i="2"/>
  <c r="V74" i="2"/>
  <c r="V65" i="2"/>
  <c r="V22" i="2"/>
  <c r="V73" i="2"/>
  <c r="V90" i="2"/>
  <c r="V34" i="2"/>
  <c r="V45" i="2"/>
  <c r="V60" i="2"/>
  <c r="V23" i="2"/>
  <c r="V9" i="2"/>
  <c r="V30" i="2"/>
  <c r="V88" i="2"/>
  <c r="V48" i="2"/>
  <c r="V8" i="2"/>
  <c r="V40" i="2"/>
  <c r="V72" i="2"/>
  <c r="V49" i="2"/>
  <c r="V16" i="2"/>
  <c r="V6" i="2"/>
  <c r="V33" i="2"/>
  <c r="V47" i="2"/>
  <c r="V3" i="2"/>
  <c r="V25" i="2"/>
  <c r="V20" i="2"/>
  <c r="V12" i="2"/>
  <c r="V5" i="2"/>
  <c r="V10" i="2"/>
  <c r="V27" i="2"/>
  <c r="V19" i="2"/>
  <c r="V36" i="2"/>
  <c r="V37" i="2"/>
  <c r="V35" i="2"/>
  <c r="V17" i="2"/>
  <c r="V53" i="2"/>
  <c r="V28" i="2"/>
  <c r="V11" i="2"/>
  <c r="V68" i="2"/>
  <c r="V21" i="2"/>
  <c r="V78" i="2"/>
  <c r="V38" i="2"/>
  <c r="V14" i="2"/>
  <c r="V62" i="2"/>
  <c r="V44" i="2"/>
  <c r="V63" i="2"/>
  <c r="V50" i="2"/>
  <c r="V24" i="2"/>
  <c r="V84" i="2"/>
  <c r="V39" i="2"/>
  <c r="V76" i="2"/>
  <c r="V83" i="2"/>
  <c r="V56" i="2"/>
  <c r="V13" i="2"/>
  <c r="V18" i="2"/>
  <c r="V43" i="2"/>
  <c r="V58" i="2"/>
  <c r="V57" i="2"/>
  <c r="V77" i="2"/>
  <c r="V67" i="2"/>
  <c r="V46" i="2"/>
  <c r="V52" i="2"/>
  <c r="V29" i="2"/>
  <c r="V42" i="2"/>
  <c r="V15" i="2"/>
  <c r="V55" i="2"/>
  <c r="V54" i="2"/>
  <c r="H103" i="1" l="1"/>
  <c r="H95" i="1"/>
  <c r="H104" i="1"/>
  <c r="H102" i="1"/>
  <c r="H101" i="1"/>
  <c r="H8" i="1"/>
  <c r="H97" i="1"/>
  <c r="H96" i="1"/>
  <c r="H44" i="1"/>
  <c r="H27" i="1"/>
  <c r="H19" i="1"/>
  <c r="H13" i="1"/>
  <c r="H52" i="1"/>
  <c r="H64" i="1"/>
  <c r="H11" i="1"/>
  <c r="H2" i="1"/>
  <c r="H56" i="1"/>
  <c r="H7" i="1"/>
  <c r="H9" i="1"/>
  <c r="H38" i="1"/>
  <c r="H57" i="1"/>
  <c r="H6" i="1"/>
  <c r="H5" i="1"/>
  <c r="H66" i="1"/>
  <c r="H61" i="1"/>
  <c r="H36" i="1"/>
  <c r="H17" i="1"/>
  <c r="H76" i="1"/>
  <c r="H30" i="1"/>
  <c r="H46" i="1"/>
  <c r="H79" i="1"/>
  <c r="H23" i="1"/>
  <c r="H71" i="1"/>
  <c r="H93" i="1"/>
  <c r="H4" i="1"/>
  <c r="H16" i="1"/>
  <c r="H74" i="1"/>
  <c r="H32" i="1"/>
  <c r="H20" i="1"/>
  <c r="H58" i="1"/>
  <c r="H62" i="1"/>
  <c r="H25" i="1"/>
  <c r="H34" i="1"/>
  <c r="H60" i="1"/>
  <c r="H54" i="1"/>
  <c r="H26" i="1"/>
  <c r="H29" i="1"/>
  <c r="H28" i="1"/>
  <c r="H37" i="1"/>
  <c r="H39" i="1"/>
  <c r="H55" i="1"/>
  <c r="H98" i="1"/>
  <c r="H31" i="1"/>
  <c r="H10" i="1"/>
  <c r="H14" i="1"/>
  <c r="H73" i="1"/>
  <c r="H45" i="1"/>
  <c r="H67" i="1"/>
  <c r="H24" i="1"/>
  <c r="H51" i="1"/>
  <c r="H22" i="1"/>
  <c r="H18" i="1"/>
  <c r="H94" i="1"/>
  <c r="H88" i="1"/>
  <c r="H69" i="1"/>
  <c r="H63" i="1"/>
  <c r="H87" i="1"/>
  <c r="H48" i="1"/>
  <c r="H41" i="1"/>
  <c r="H15" i="1"/>
  <c r="H89" i="1"/>
  <c r="H40" i="1"/>
  <c r="H59" i="1"/>
  <c r="H3" i="1"/>
  <c r="H49" i="1"/>
  <c r="H82" i="1"/>
  <c r="H33" i="1"/>
  <c r="H65" i="1"/>
  <c r="H83" i="1"/>
  <c r="H50" i="1"/>
  <c r="H43" i="1"/>
  <c r="H92" i="1"/>
  <c r="H35" i="1"/>
  <c r="H47" i="1"/>
  <c r="H72" i="1"/>
  <c r="H85" i="1"/>
  <c r="H79" i="20" s="1"/>
  <c r="I79" i="20" s="1"/>
  <c r="H70" i="1"/>
  <c r="H81" i="1"/>
  <c r="H90" i="1"/>
  <c r="H75" i="1"/>
  <c r="H12" i="1"/>
  <c r="H21" i="1"/>
  <c r="H53" i="1"/>
  <c r="V8" i="1"/>
  <c r="V44" i="1"/>
  <c r="V27" i="1"/>
  <c r="V19" i="1"/>
  <c r="V13" i="1"/>
  <c r="V52" i="1"/>
  <c r="V64" i="1"/>
  <c r="V11" i="1"/>
  <c r="V2" i="1"/>
  <c r="V56" i="1"/>
  <c r="V7" i="1"/>
  <c r="V9" i="1"/>
  <c r="V38" i="1"/>
  <c r="V57" i="1"/>
  <c r="V6" i="1"/>
  <c r="V5" i="1"/>
  <c r="V66" i="1"/>
  <c r="V61" i="1"/>
  <c r="V36" i="1"/>
  <c r="V17" i="1"/>
  <c r="V76" i="1"/>
  <c r="V30" i="1"/>
  <c r="V46" i="1"/>
  <c r="V79" i="1"/>
  <c r="V23" i="1"/>
  <c r="V71" i="1"/>
  <c r="V93" i="1"/>
  <c r="V4" i="1"/>
  <c r="V16" i="1"/>
  <c r="V74" i="1"/>
  <c r="V32" i="1"/>
  <c r="V20" i="1"/>
  <c r="V58" i="1"/>
  <c r="V62" i="1"/>
  <c r="V25" i="1"/>
  <c r="V34" i="1"/>
  <c r="V60" i="1"/>
  <c r="V54" i="1"/>
  <c r="V26" i="1"/>
  <c r="V29" i="1"/>
  <c r="V28" i="1"/>
  <c r="V37" i="1"/>
  <c r="V39" i="1"/>
  <c r="V55" i="1"/>
  <c r="V31" i="1"/>
  <c r="V10" i="1"/>
  <c r="V14" i="1"/>
  <c r="V73" i="1"/>
  <c r="V45" i="1"/>
  <c r="V67" i="1"/>
  <c r="V24" i="1"/>
  <c r="V51" i="1"/>
  <c r="V22" i="1"/>
  <c r="V18" i="1"/>
  <c r="V88" i="1"/>
  <c r="V69" i="1"/>
  <c r="V63" i="1"/>
  <c r="V87" i="1"/>
  <c r="V48" i="1"/>
  <c r="V41" i="1"/>
  <c r="V15" i="1"/>
  <c r="V89" i="1"/>
  <c r="V40" i="1"/>
  <c r="V59" i="1"/>
  <c r="V3" i="1"/>
  <c r="V49" i="1"/>
  <c r="V82" i="1"/>
  <c r="V33" i="1"/>
  <c r="V65" i="1"/>
  <c r="V83" i="1"/>
  <c r="V50" i="1"/>
  <c r="V43" i="1"/>
  <c r="V92" i="1"/>
  <c r="V35" i="1"/>
  <c r="V47" i="1"/>
  <c r="V72" i="1"/>
  <c r="V85" i="1"/>
  <c r="V70" i="1"/>
  <c r="V81" i="1"/>
  <c r="V90" i="1"/>
  <c r="V75" i="1"/>
  <c r="V12" i="1"/>
  <c r="V21" i="1"/>
  <c r="V53" i="1"/>
  <c r="V86" i="1"/>
  <c r="H86" i="1"/>
  <c r="W37" i="1" l="1"/>
  <c r="X37" i="1" s="1"/>
  <c r="H76" i="5" s="1"/>
  <c r="W74" i="1"/>
  <c r="X74" i="1" s="1"/>
  <c r="H44" i="5" s="1"/>
  <c r="W52" i="1"/>
  <c r="X52" i="1" s="1"/>
  <c r="I16" i="1"/>
  <c r="H2" i="20"/>
  <c r="H31" i="19"/>
  <c r="I19" i="1"/>
  <c r="H18" i="20"/>
  <c r="H22" i="19"/>
  <c r="I41" i="1"/>
  <c r="H12" i="19"/>
  <c r="H43" i="20"/>
  <c r="I45" i="1"/>
  <c r="H26" i="19"/>
  <c r="H36" i="20"/>
  <c r="I54" i="1"/>
  <c r="H26" i="20"/>
  <c r="H48" i="19"/>
  <c r="I71" i="1"/>
  <c r="H67" i="19"/>
  <c r="H74" i="20"/>
  <c r="I57" i="1"/>
  <c r="H48" i="20"/>
  <c r="H24" i="19"/>
  <c r="I44" i="1"/>
  <c r="H49" i="20"/>
  <c r="H52" i="19"/>
  <c r="I27" i="1"/>
  <c r="H42" i="19"/>
  <c r="H56" i="20"/>
  <c r="W4" i="1"/>
  <c r="X4" i="1" s="1"/>
  <c r="H14" i="5" s="1"/>
  <c r="I21" i="1"/>
  <c r="H47" i="19"/>
  <c r="H52" i="20"/>
  <c r="I50" i="1"/>
  <c r="H45" i="19"/>
  <c r="H31" i="20"/>
  <c r="I48" i="1"/>
  <c r="H63" i="19"/>
  <c r="H59" i="20"/>
  <c r="I73" i="1"/>
  <c r="H74" i="19"/>
  <c r="H80" i="20"/>
  <c r="I60" i="1"/>
  <c r="H10" i="20"/>
  <c r="H33" i="19"/>
  <c r="I23" i="1"/>
  <c r="H35" i="20"/>
  <c r="H14" i="19"/>
  <c r="I38" i="1"/>
  <c r="H55" i="20"/>
  <c r="H30" i="19"/>
  <c r="I96" i="1"/>
  <c r="H102" i="19"/>
  <c r="H102" i="20"/>
  <c r="I9" i="1"/>
  <c r="H44" i="20"/>
  <c r="H2" i="19"/>
  <c r="I51" i="1"/>
  <c r="H17" i="20"/>
  <c r="H41" i="19"/>
  <c r="I24" i="1"/>
  <c r="H36" i="19"/>
  <c r="H3" i="20"/>
  <c r="I6" i="1"/>
  <c r="H30" i="20"/>
  <c r="H8" i="19"/>
  <c r="I75" i="1"/>
  <c r="H79" i="19"/>
  <c r="H53" i="20"/>
  <c r="I65" i="1"/>
  <c r="H62" i="20"/>
  <c r="H65" i="19"/>
  <c r="I63" i="1"/>
  <c r="H58" i="19"/>
  <c r="H25" i="20"/>
  <c r="I10" i="1"/>
  <c r="H34" i="20"/>
  <c r="H16" i="19"/>
  <c r="I25" i="1"/>
  <c r="H38" i="19"/>
  <c r="H20" i="20"/>
  <c r="I46" i="1"/>
  <c r="H61" i="20"/>
  <c r="H60" i="19"/>
  <c r="I7" i="1"/>
  <c r="H6" i="19"/>
  <c r="H23" i="20"/>
  <c r="I8" i="1"/>
  <c r="H14" i="20"/>
  <c r="H5" i="19"/>
  <c r="I28" i="1"/>
  <c r="H29" i="20"/>
  <c r="H21" i="19"/>
  <c r="I5" i="1"/>
  <c r="H32" i="20"/>
  <c r="H7" i="19"/>
  <c r="I67" i="1"/>
  <c r="H27" i="19"/>
  <c r="H64" i="20"/>
  <c r="I79" i="1"/>
  <c r="H78" i="20"/>
  <c r="H72" i="19"/>
  <c r="I90" i="1"/>
  <c r="H86" i="19"/>
  <c r="H90" i="20"/>
  <c r="I33" i="1"/>
  <c r="H54" i="20"/>
  <c r="H37" i="19"/>
  <c r="I69" i="1"/>
  <c r="H81" i="20"/>
  <c r="H77" i="19"/>
  <c r="I31" i="1"/>
  <c r="H29" i="19"/>
  <c r="H51" i="20"/>
  <c r="I62" i="1"/>
  <c r="H41" i="20"/>
  <c r="H62" i="19"/>
  <c r="I30" i="1"/>
  <c r="H15" i="19"/>
  <c r="H58" i="20"/>
  <c r="I56" i="1"/>
  <c r="H50" i="20"/>
  <c r="H44" i="19"/>
  <c r="I101" i="1"/>
  <c r="H97" i="19"/>
  <c r="H99" i="20"/>
  <c r="I66" i="1"/>
  <c r="H66" i="19"/>
  <c r="H72" i="20"/>
  <c r="I29" i="1"/>
  <c r="H21" i="20"/>
  <c r="H35" i="19"/>
  <c r="I92" i="1"/>
  <c r="H89" i="19"/>
  <c r="H93" i="20"/>
  <c r="I53" i="1"/>
  <c r="H5" i="20"/>
  <c r="H50" i="19"/>
  <c r="I87" i="1"/>
  <c r="H87" i="20"/>
  <c r="H83" i="19"/>
  <c r="I88" i="1"/>
  <c r="H81" i="19"/>
  <c r="H86" i="20"/>
  <c r="I58" i="1"/>
  <c r="H46" i="19"/>
  <c r="H22" i="20"/>
  <c r="I76" i="1"/>
  <c r="H69" i="19"/>
  <c r="H65" i="20"/>
  <c r="I2" i="1"/>
  <c r="H16" i="20"/>
  <c r="H3" i="19"/>
  <c r="I102" i="1"/>
  <c r="H98" i="20"/>
  <c r="H96" i="19"/>
  <c r="I26" i="1"/>
  <c r="H25" i="19"/>
  <c r="H13" i="20"/>
  <c r="I43" i="1"/>
  <c r="H42" i="20"/>
  <c r="H57" i="19"/>
  <c r="I12" i="1"/>
  <c r="H43" i="19"/>
  <c r="H40" i="20"/>
  <c r="I34" i="1"/>
  <c r="H38" i="20"/>
  <c r="H28" i="19"/>
  <c r="I81" i="1"/>
  <c r="H67" i="20"/>
  <c r="H61" i="19"/>
  <c r="I70" i="1"/>
  <c r="H70" i="19"/>
  <c r="H70" i="20"/>
  <c r="I49" i="1"/>
  <c r="H39" i="20"/>
  <c r="H54" i="19"/>
  <c r="I94" i="1"/>
  <c r="H104" i="19"/>
  <c r="H104" i="20"/>
  <c r="I55" i="1"/>
  <c r="H75" i="20"/>
  <c r="H68" i="19"/>
  <c r="I20" i="1"/>
  <c r="H13" i="19"/>
  <c r="H37" i="20"/>
  <c r="I17" i="1"/>
  <c r="H19" i="19"/>
  <c r="H19" i="20"/>
  <c r="I11" i="1"/>
  <c r="H9" i="19"/>
  <c r="H24" i="20"/>
  <c r="I104" i="1"/>
  <c r="H94" i="19"/>
  <c r="H96" i="20"/>
  <c r="I47" i="1"/>
  <c r="H49" i="19"/>
  <c r="H8" i="20"/>
  <c r="I13" i="1"/>
  <c r="H11" i="20"/>
  <c r="H10" i="19"/>
  <c r="I35" i="1"/>
  <c r="H27" i="20"/>
  <c r="H39" i="19"/>
  <c r="I89" i="1"/>
  <c r="H75" i="19"/>
  <c r="H89" i="20"/>
  <c r="I4" i="1"/>
  <c r="H4" i="19"/>
  <c r="H6" i="20"/>
  <c r="I93" i="1"/>
  <c r="H91" i="20"/>
  <c r="H88" i="19"/>
  <c r="I83" i="1"/>
  <c r="H77" i="20"/>
  <c r="H71" i="19"/>
  <c r="I97" i="1"/>
  <c r="H101" i="20"/>
  <c r="H101" i="19"/>
  <c r="I98" i="1"/>
  <c r="H100" i="19"/>
  <c r="H100" i="20"/>
  <c r="I85" i="1"/>
  <c r="H82" i="19"/>
  <c r="I3" i="1"/>
  <c r="H18" i="19"/>
  <c r="H7" i="20"/>
  <c r="I18" i="1"/>
  <c r="H32" i="19"/>
  <c r="H33" i="20"/>
  <c r="I39" i="1"/>
  <c r="H60" i="20"/>
  <c r="H40" i="19"/>
  <c r="I32" i="1"/>
  <c r="H47" i="20"/>
  <c r="H17" i="19"/>
  <c r="I36" i="1"/>
  <c r="H15" i="20"/>
  <c r="H55" i="19"/>
  <c r="I64" i="1"/>
  <c r="H53" i="19"/>
  <c r="H57" i="20"/>
  <c r="I95" i="1"/>
  <c r="H103" i="19"/>
  <c r="H103" i="20"/>
  <c r="I40" i="1"/>
  <c r="H4" i="20"/>
  <c r="H51" i="19"/>
  <c r="I15" i="1"/>
  <c r="H20" i="19"/>
  <c r="H9" i="20"/>
  <c r="I86" i="1"/>
  <c r="H83" i="20"/>
  <c r="H84" i="19"/>
  <c r="I14" i="1"/>
  <c r="H11" i="19"/>
  <c r="H28" i="20"/>
  <c r="I82" i="1"/>
  <c r="H80" i="19"/>
  <c r="H71" i="20"/>
  <c r="I72" i="1"/>
  <c r="H76" i="19"/>
  <c r="H63" i="20"/>
  <c r="I59" i="1"/>
  <c r="H23" i="19"/>
  <c r="H46" i="20"/>
  <c r="I22" i="1"/>
  <c r="H34" i="19"/>
  <c r="H12" i="20"/>
  <c r="I37" i="1"/>
  <c r="H45" i="20"/>
  <c r="H56" i="19"/>
  <c r="I74" i="1"/>
  <c r="H76" i="20"/>
  <c r="H78" i="19"/>
  <c r="I61" i="1"/>
  <c r="H69" i="20"/>
  <c r="H64" i="19"/>
  <c r="I52" i="1"/>
  <c r="H59" i="19"/>
  <c r="H68" i="20"/>
  <c r="I103" i="1"/>
  <c r="H97" i="20"/>
  <c r="H95" i="19"/>
  <c r="W62" i="1"/>
  <c r="X62" i="1" s="1"/>
  <c r="H61" i="5" s="1"/>
  <c r="W29" i="1"/>
  <c r="X29" i="1" s="1"/>
  <c r="H43" i="5" s="1"/>
  <c r="W5" i="1"/>
  <c r="X5" i="1" s="1"/>
  <c r="I78" i="4"/>
  <c r="I40" i="5"/>
  <c r="J40" i="5" s="1"/>
  <c r="I76" i="3"/>
  <c r="I54" i="2"/>
  <c r="W54" i="2" s="1"/>
  <c r="H67" i="6"/>
  <c r="W56" i="1"/>
  <c r="X56" i="1" s="1"/>
  <c r="H40" i="5" s="1"/>
  <c r="I36" i="3"/>
  <c r="I7" i="2"/>
  <c r="W7" i="2" s="1"/>
  <c r="I46" i="5"/>
  <c r="J46" i="5" s="1"/>
  <c r="H39" i="6"/>
  <c r="I15" i="4"/>
  <c r="I6" i="5"/>
  <c r="J6" i="5" s="1"/>
  <c r="I20" i="3"/>
  <c r="I26" i="4"/>
  <c r="H5" i="6"/>
  <c r="I34" i="2"/>
  <c r="W34" i="2" s="1"/>
  <c r="H65" i="6"/>
  <c r="I82" i="4"/>
  <c r="I45" i="3"/>
  <c r="I10" i="2"/>
  <c r="W10" i="2" s="1"/>
  <c r="I60" i="5"/>
  <c r="J60" i="5" s="1"/>
  <c r="H2" i="6"/>
  <c r="I7" i="4"/>
  <c r="I12" i="5"/>
  <c r="J12" i="5" s="1"/>
  <c r="I45" i="2"/>
  <c r="W45" i="2" s="1"/>
  <c r="I47" i="3"/>
  <c r="H38" i="6"/>
  <c r="I52" i="4"/>
  <c r="I79" i="3"/>
  <c r="I59" i="5"/>
  <c r="J59" i="5" s="1"/>
  <c r="I59" i="2"/>
  <c r="W59" i="2" s="1"/>
  <c r="H91" i="6"/>
  <c r="I63" i="4"/>
  <c r="I90" i="5"/>
  <c r="J90" i="5" s="1"/>
  <c r="I85" i="3"/>
  <c r="I84" i="2"/>
  <c r="W84" i="2" s="1"/>
  <c r="I44" i="2"/>
  <c r="W44" i="2" s="1"/>
  <c r="H85" i="6"/>
  <c r="I82" i="5"/>
  <c r="J82" i="5" s="1"/>
  <c r="I74" i="3"/>
  <c r="I76" i="4"/>
  <c r="I21" i="2"/>
  <c r="W21" i="2" s="1"/>
  <c r="H41" i="6"/>
  <c r="I47" i="5"/>
  <c r="J47" i="5" s="1"/>
  <c r="I41" i="3"/>
  <c r="I27" i="4"/>
  <c r="I48" i="4"/>
  <c r="I35" i="2"/>
  <c r="W35" i="2" s="1"/>
  <c r="H48" i="6"/>
  <c r="I64" i="5"/>
  <c r="J64" i="5" s="1"/>
  <c r="I46" i="3"/>
  <c r="I102" i="4"/>
  <c r="I104" i="5"/>
  <c r="J104" i="5" s="1"/>
  <c r="H100" i="6"/>
  <c r="I104" i="3"/>
  <c r="I94" i="2"/>
  <c r="W94" i="2" s="1"/>
  <c r="I28" i="2"/>
  <c r="W28" i="2" s="1"/>
  <c r="I11" i="4"/>
  <c r="I41" i="5"/>
  <c r="J41" i="5" s="1"/>
  <c r="H74" i="6"/>
  <c r="I27" i="3"/>
  <c r="I28" i="4"/>
  <c r="I82" i="3"/>
  <c r="I70" i="5"/>
  <c r="J70" i="5" s="1"/>
  <c r="I82" i="2"/>
  <c r="W82" i="2" s="1"/>
  <c r="H73" i="6"/>
  <c r="I58" i="4"/>
  <c r="I43" i="3"/>
  <c r="I8" i="2"/>
  <c r="W8" i="2" s="1"/>
  <c r="I54" i="5"/>
  <c r="J54" i="5" s="1"/>
  <c r="H37" i="6"/>
  <c r="I38" i="4"/>
  <c r="I55" i="3"/>
  <c r="I5" i="2"/>
  <c r="W5" i="2" s="1"/>
  <c r="I23" i="5"/>
  <c r="J23" i="5" s="1"/>
  <c r="H23" i="6"/>
  <c r="I95" i="3"/>
  <c r="H93" i="6"/>
  <c r="I104" i="4"/>
  <c r="I95" i="5"/>
  <c r="J95" i="5" s="1"/>
  <c r="I95" i="2"/>
  <c r="W95" i="2" s="1"/>
  <c r="I19" i="5"/>
  <c r="J19" i="5" s="1"/>
  <c r="H26" i="6"/>
  <c r="I73" i="3"/>
  <c r="I49" i="2"/>
  <c r="W49" i="2" s="1"/>
  <c r="I74" i="4"/>
  <c r="I25" i="5"/>
  <c r="J25" i="5" s="1"/>
  <c r="H19" i="6"/>
  <c r="I9" i="2"/>
  <c r="W9" i="2" s="1"/>
  <c r="I31" i="4"/>
  <c r="I21" i="3"/>
  <c r="I65" i="2"/>
  <c r="W65" i="2" s="1"/>
  <c r="I36" i="5"/>
  <c r="J36" i="5" s="1"/>
  <c r="H31" i="6"/>
  <c r="I83" i="4"/>
  <c r="I81" i="3"/>
  <c r="H78" i="6"/>
  <c r="I45" i="4"/>
  <c r="I91" i="3"/>
  <c r="I80" i="5"/>
  <c r="J80" i="5" s="1"/>
  <c r="I90" i="2"/>
  <c r="W90" i="2" s="1"/>
  <c r="I32" i="2"/>
  <c r="W32" i="2" s="1"/>
  <c r="I44" i="3"/>
  <c r="I39" i="4"/>
  <c r="H47" i="6"/>
  <c r="I66" i="5"/>
  <c r="J66" i="5" s="1"/>
  <c r="I83" i="2"/>
  <c r="W83" i="2" s="1"/>
  <c r="I79" i="5"/>
  <c r="J79" i="5" s="1"/>
  <c r="I53" i="3"/>
  <c r="H82" i="6"/>
  <c r="I67" i="4"/>
  <c r="I63" i="3"/>
  <c r="I49" i="4"/>
  <c r="H20" i="6"/>
  <c r="I48" i="5"/>
  <c r="J48" i="5" s="1"/>
  <c r="I33" i="2"/>
  <c r="W33" i="2" s="1"/>
  <c r="H69" i="6"/>
  <c r="I62" i="4"/>
  <c r="I61" i="5"/>
  <c r="J61" i="5" s="1"/>
  <c r="I57" i="3"/>
  <c r="I62" i="2"/>
  <c r="W62" i="2" s="1"/>
  <c r="I39" i="2"/>
  <c r="W39" i="2" s="1"/>
  <c r="I66" i="4"/>
  <c r="I14" i="3"/>
  <c r="H29" i="6"/>
  <c r="I63" i="5"/>
  <c r="J63" i="5" s="1"/>
  <c r="I100" i="4"/>
  <c r="I102" i="5"/>
  <c r="J102" i="5" s="1"/>
  <c r="H104" i="6"/>
  <c r="I102" i="3"/>
  <c r="I104" i="2"/>
  <c r="W104" i="2" s="1"/>
  <c r="I22" i="2"/>
  <c r="W22" i="2" s="1"/>
  <c r="H10" i="6"/>
  <c r="I24" i="5"/>
  <c r="J24" i="5" s="1"/>
  <c r="I3" i="3"/>
  <c r="I72" i="4"/>
  <c r="I63" i="2"/>
  <c r="W63" i="2" s="1"/>
  <c r="H30" i="6"/>
  <c r="I14" i="4"/>
  <c r="I21" i="5"/>
  <c r="J21" i="5" s="1"/>
  <c r="I6" i="3"/>
  <c r="H36" i="6"/>
  <c r="I51" i="5"/>
  <c r="J51" i="5" s="1"/>
  <c r="I31" i="3"/>
  <c r="I37" i="2"/>
  <c r="W37" i="2" s="1"/>
  <c r="I18" i="4"/>
  <c r="H80" i="6"/>
  <c r="I75" i="5"/>
  <c r="J75" i="5" s="1"/>
  <c r="I50" i="3"/>
  <c r="I61" i="4"/>
  <c r="I36" i="2"/>
  <c r="W36" i="2" s="1"/>
  <c r="I67" i="5"/>
  <c r="J67" i="5" s="1"/>
  <c r="I69" i="2"/>
  <c r="W69" i="2" s="1"/>
  <c r="I59" i="3"/>
  <c r="H45" i="6"/>
  <c r="I23" i="4"/>
  <c r="I77" i="2"/>
  <c r="W77" i="2" s="1"/>
  <c r="I88" i="4"/>
  <c r="I69" i="3"/>
  <c r="I69" i="5"/>
  <c r="J69" i="5" s="1"/>
  <c r="H83" i="6"/>
  <c r="I89" i="4"/>
  <c r="I77" i="5"/>
  <c r="J77" i="5" s="1"/>
  <c r="I87" i="2"/>
  <c r="W87" i="2" s="1"/>
  <c r="I88" i="3"/>
  <c r="H77" i="6"/>
  <c r="H101" i="6"/>
  <c r="I101" i="3"/>
  <c r="I99" i="2"/>
  <c r="W99" i="2" s="1"/>
  <c r="I99" i="4"/>
  <c r="I101" i="5"/>
  <c r="J101" i="5" s="1"/>
  <c r="H54" i="6"/>
  <c r="I78" i="3"/>
  <c r="I80" i="4"/>
  <c r="I39" i="5"/>
  <c r="J39" i="5" s="1"/>
  <c r="I58" i="2"/>
  <c r="W58" i="2" s="1"/>
  <c r="I78" i="5"/>
  <c r="J78" i="5" s="1"/>
  <c r="I83" i="3"/>
  <c r="H76" i="6"/>
  <c r="I76" i="2"/>
  <c r="W76" i="2" s="1"/>
  <c r="I55" i="4"/>
  <c r="I4" i="4"/>
  <c r="I3" i="2"/>
  <c r="W3" i="2" s="1"/>
  <c r="I2" i="3"/>
  <c r="I9" i="5"/>
  <c r="J9" i="5" s="1"/>
  <c r="H52" i="6"/>
  <c r="I102" i="2"/>
  <c r="W102" i="2" s="1"/>
  <c r="I99" i="3"/>
  <c r="I97" i="4"/>
  <c r="I99" i="5"/>
  <c r="J99" i="5" s="1"/>
  <c r="H95" i="6"/>
  <c r="H3" i="6"/>
  <c r="I5" i="5"/>
  <c r="J5" i="5" s="1"/>
  <c r="I42" i="2"/>
  <c r="W42" i="2" s="1"/>
  <c r="I28" i="3"/>
  <c r="I33" i="4"/>
  <c r="I5" i="3"/>
  <c r="I20" i="2"/>
  <c r="W20" i="2" s="1"/>
  <c r="I3" i="4"/>
  <c r="H17" i="6"/>
  <c r="I3" i="5"/>
  <c r="J3" i="5" s="1"/>
  <c r="I62" i="5"/>
  <c r="J62" i="5" s="1"/>
  <c r="I87" i="3"/>
  <c r="H60" i="6"/>
  <c r="I74" i="2"/>
  <c r="W74" i="2" s="1"/>
  <c r="I86" i="4"/>
  <c r="H96" i="6"/>
  <c r="I93" i="2"/>
  <c r="W93" i="2" s="1"/>
  <c r="I96" i="4"/>
  <c r="I98" i="5"/>
  <c r="J98" i="5" s="1"/>
  <c r="I98" i="3"/>
  <c r="I101" i="4"/>
  <c r="I103" i="5"/>
  <c r="J103" i="5" s="1"/>
  <c r="H94" i="6"/>
  <c r="I103" i="2"/>
  <c r="W103" i="2" s="1"/>
  <c r="I103" i="3"/>
  <c r="I58" i="3"/>
  <c r="I65" i="5"/>
  <c r="J65" i="5" s="1"/>
  <c r="H58" i="6"/>
  <c r="I12" i="2"/>
  <c r="W12" i="2" s="1"/>
  <c r="I40" i="4"/>
  <c r="H12" i="6"/>
  <c r="I19" i="4"/>
  <c r="I16" i="2"/>
  <c r="W16" i="2" s="1"/>
  <c r="I16" i="5"/>
  <c r="J16" i="5" s="1"/>
  <c r="I33" i="3"/>
  <c r="I19" i="3"/>
  <c r="I32" i="4"/>
  <c r="H27" i="6"/>
  <c r="I28" i="5"/>
  <c r="J28" i="5" s="1"/>
  <c r="I56" i="2"/>
  <c r="W56" i="2" s="1"/>
  <c r="H8" i="6"/>
  <c r="I25" i="4"/>
  <c r="I13" i="5"/>
  <c r="J13" i="5" s="1"/>
  <c r="I51" i="3"/>
  <c r="I70" i="2"/>
  <c r="W70" i="2" s="1"/>
  <c r="I29" i="4"/>
  <c r="I20" i="5"/>
  <c r="J20" i="5" s="1"/>
  <c r="I7" i="3"/>
  <c r="H18" i="6"/>
  <c r="I18" i="2"/>
  <c r="W18" i="2" s="1"/>
  <c r="I56" i="3"/>
  <c r="I21" i="4"/>
  <c r="H32" i="6"/>
  <c r="I49" i="5"/>
  <c r="J49" i="5" s="1"/>
  <c r="I31" i="2"/>
  <c r="W31" i="2" s="1"/>
  <c r="I30" i="3"/>
  <c r="I48" i="2"/>
  <c r="W48" i="2" s="1"/>
  <c r="H16" i="6"/>
  <c r="I44" i="4"/>
  <c r="I22" i="5"/>
  <c r="J22" i="5" s="1"/>
  <c r="H6" i="6"/>
  <c r="I15" i="3"/>
  <c r="I57" i="2"/>
  <c r="W57" i="2" s="1"/>
  <c r="I13" i="4"/>
  <c r="I7" i="5"/>
  <c r="J7" i="5" s="1"/>
  <c r="I94" i="4"/>
  <c r="I96" i="5"/>
  <c r="J96" i="5" s="1"/>
  <c r="I96" i="2"/>
  <c r="W96" i="2" s="1"/>
  <c r="I96" i="3"/>
  <c r="H102" i="6"/>
  <c r="I42" i="4"/>
  <c r="H59" i="6"/>
  <c r="I26" i="2"/>
  <c r="W26" i="2" s="1"/>
  <c r="I56" i="5"/>
  <c r="J56" i="5" s="1"/>
  <c r="I61" i="3"/>
  <c r="I55" i="2"/>
  <c r="W55" i="2" s="1"/>
  <c r="I73" i="5"/>
  <c r="J73" i="5" s="1"/>
  <c r="H55" i="6"/>
  <c r="I77" i="3"/>
  <c r="I34" i="4"/>
  <c r="I89" i="3"/>
  <c r="H90" i="6"/>
  <c r="W90" i="6" s="1"/>
  <c r="I88" i="2"/>
  <c r="W88" i="2" s="1"/>
  <c r="I90" i="4"/>
  <c r="I91" i="5"/>
  <c r="J91" i="5" s="1"/>
  <c r="H79" i="6"/>
  <c r="I74" i="5"/>
  <c r="J74" i="5" s="1"/>
  <c r="I32" i="3"/>
  <c r="I35" i="4"/>
  <c r="I14" i="2"/>
  <c r="W14" i="2" s="1"/>
  <c r="W69" i="1"/>
  <c r="X69" i="1" s="1"/>
  <c r="H79" i="5" s="1"/>
  <c r="I75" i="3"/>
  <c r="I77" i="4"/>
  <c r="H43" i="6"/>
  <c r="I68" i="5"/>
  <c r="J68" i="5" s="1"/>
  <c r="I40" i="2"/>
  <c r="W40" i="2" s="1"/>
  <c r="I13" i="3"/>
  <c r="I41" i="2"/>
  <c r="W41" i="2" s="1"/>
  <c r="I79" i="4"/>
  <c r="H81" i="6"/>
  <c r="I76" i="5"/>
  <c r="J76" i="5" s="1"/>
  <c r="I43" i="4"/>
  <c r="I66" i="2"/>
  <c r="W66" i="2" s="1"/>
  <c r="I53" i="5"/>
  <c r="J53" i="5" s="1"/>
  <c r="I11" i="3"/>
  <c r="H21" i="6"/>
  <c r="I11" i="5"/>
  <c r="J11" i="5" s="1"/>
  <c r="I50" i="2"/>
  <c r="W50" i="2" s="1"/>
  <c r="H4" i="6"/>
  <c r="I46" i="4"/>
  <c r="I18" i="3"/>
  <c r="H97" i="6"/>
  <c r="I97" i="3"/>
  <c r="I95" i="4"/>
  <c r="I97" i="2"/>
  <c r="W97" i="2" s="1"/>
  <c r="I97" i="5"/>
  <c r="J97" i="5" s="1"/>
  <c r="I52" i="3"/>
  <c r="H75" i="6"/>
  <c r="I80" i="2"/>
  <c r="W80" i="2" s="1"/>
  <c r="I56" i="4"/>
  <c r="I86" i="5"/>
  <c r="J86" i="5" s="1"/>
  <c r="I40" i="3"/>
  <c r="I24" i="4"/>
  <c r="H33" i="6"/>
  <c r="I26" i="5"/>
  <c r="J26" i="5" s="1"/>
  <c r="I52" i="2"/>
  <c r="W52" i="2" s="1"/>
  <c r="I100" i="5"/>
  <c r="J100" i="5" s="1"/>
  <c r="H98" i="6"/>
  <c r="I100" i="3"/>
  <c r="I98" i="2"/>
  <c r="W98" i="2" s="1"/>
  <c r="I98" i="4"/>
  <c r="I35" i="3"/>
  <c r="I53" i="2"/>
  <c r="W53" i="2" s="1"/>
  <c r="H9" i="6"/>
  <c r="I17" i="4"/>
  <c r="I18" i="5"/>
  <c r="J18" i="5" s="1"/>
  <c r="I60" i="3"/>
  <c r="H44" i="6"/>
  <c r="I22" i="4"/>
  <c r="I30" i="5"/>
  <c r="J30" i="5" s="1"/>
  <c r="I67" i="2"/>
  <c r="W67" i="2" s="1"/>
  <c r="I57" i="4"/>
  <c r="I23" i="2"/>
  <c r="W23" i="2" s="1"/>
  <c r="H57" i="6"/>
  <c r="I72" i="5"/>
  <c r="J72" i="5" s="1"/>
  <c r="I29" i="3"/>
  <c r="W31" i="1"/>
  <c r="X31" i="1" s="1"/>
  <c r="H48" i="5" s="1"/>
  <c r="I68" i="4"/>
  <c r="I27" i="5"/>
  <c r="J27" i="5" s="1"/>
  <c r="I24" i="3"/>
  <c r="H40" i="6"/>
  <c r="I79" i="2"/>
  <c r="W79" i="2" s="1"/>
  <c r="I51" i="4"/>
  <c r="H72" i="6"/>
  <c r="I58" i="5"/>
  <c r="J58" i="5" s="1"/>
  <c r="I38" i="2"/>
  <c r="W38" i="2" s="1"/>
  <c r="I49" i="3"/>
  <c r="I59" i="4"/>
  <c r="I84" i="5"/>
  <c r="J84" i="5" s="1"/>
  <c r="I73" i="2"/>
  <c r="W73" i="2" s="1"/>
  <c r="I70" i="3"/>
  <c r="H50" i="6"/>
  <c r="I78" i="2"/>
  <c r="W78" i="2" s="1"/>
  <c r="H64" i="6"/>
  <c r="I84" i="3"/>
  <c r="I84" i="4"/>
  <c r="I44" i="5"/>
  <c r="J44" i="5" s="1"/>
  <c r="I51" i="2"/>
  <c r="W51" i="2" s="1"/>
  <c r="I47" i="4"/>
  <c r="H28" i="6"/>
  <c r="I34" i="3"/>
  <c r="I42" i="5"/>
  <c r="J42" i="5" s="1"/>
  <c r="I39" i="3"/>
  <c r="I60" i="2"/>
  <c r="W60" i="2" s="1"/>
  <c r="H49" i="6"/>
  <c r="I81" i="4"/>
  <c r="I35" i="5"/>
  <c r="J35" i="5" s="1"/>
  <c r="I25" i="2"/>
  <c r="W25" i="2" s="1"/>
  <c r="I10" i="4"/>
  <c r="H56" i="6"/>
  <c r="I37" i="5"/>
  <c r="J37" i="5" s="1"/>
  <c r="I12" i="3"/>
  <c r="I73" i="4"/>
  <c r="I19" i="2"/>
  <c r="W19" i="2" s="1"/>
  <c r="I55" i="5"/>
  <c r="J55" i="5" s="1"/>
  <c r="H51" i="6"/>
  <c r="I62" i="3"/>
  <c r="I26" i="3"/>
  <c r="I2" i="4"/>
  <c r="I11" i="2"/>
  <c r="W11" i="2" s="1"/>
  <c r="H46" i="6"/>
  <c r="I2" i="5"/>
  <c r="J2" i="5" s="1"/>
  <c r="I31" i="5"/>
  <c r="J31" i="5" s="1"/>
  <c r="I54" i="3"/>
  <c r="I68" i="2"/>
  <c r="W68" i="2" s="1"/>
  <c r="H35" i="6"/>
  <c r="I36" i="4"/>
  <c r="I53" i="4"/>
  <c r="I15" i="2"/>
  <c r="W15" i="2" s="1"/>
  <c r="I23" i="3"/>
  <c r="I45" i="5"/>
  <c r="J45" i="5" s="1"/>
  <c r="H53" i="6"/>
  <c r="I71" i="3"/>
  <c r="I71" i="5"/>
  <c r="J71" i="5" s="1"/>
  <c r="H63" i="6"/>
  <c r="I71" i="4"/>
  <c r="I61" i="2"/>
  <c r="W61" i="2" s="1"/>
  <c r="H14" i="6"/>
  <c r="I54" i="4"/>
  <c r="I38" i="3"/>
  <c r="I15" i="5"/>
  <c r="J15" i="5" s="1"/>
  <c r="I46" i="2"/>
  <c r="W46" i="2" s="1"/>
  <c r="I81" i="2"/>
  <c r="W81" i="2" s="1"/>
  <c r="I87" i="4"/>
  <c r="I38" i="5"/>
  <c r="J38" i="5" s="1"/>
  <c r="H70" i="6"/>
  <c r="I42" i="3"/>
  <c r="H89" i="6"/>
  <c r="I72" i="2"/>
  <c r="W72" i="2" s="1"/>
  <c r="I85" i="4"/>
  <c r="I83" i="5"/>
  <c r="J83" i="5" s="1"/>
  <c r="I86" i="3"/>
  <c r="I17" i="2"/>
  <c r="W17" i="2" s="1"/>
  <c r="I5" i="4"/>
  <c r="I8" i="3"/>
  <c r="H13" i="6"/>
  <c r="I4" i="5"/>
  <c r="J4" i="5" s="1"/>
  <c r="I17" i="3"/>
  <c r="I34" i="5"/>
  <c r="J34" i="5" s="1"/>
  <c r="I43" i="2"/>
  <c r="W43" i="2" s="1"/>
  <c r="I20" i="4"/>
  <c r="H71" i="6"/>
  <c r="H24" i="6"/>
  <c r="I13" i="2"/>
  <c r="W13" i="2" s="1"/>
  <c r="I10" i="3"/>
  <c r="I60" i="4"/>
  <c r="I50" i="5"/>
  <c r="J50" i="5" s="1"/>
  <c r="I4" i="3"/>
  <c r="I10" i="5"/>
  <c r="J10" i="5" s="1"/>
  <c r="O10" i="17" s="1"/>
  <c r="R10" i="17" s="1"/>
  <c r="I2" i="2"/>
  <c r="H34" i="6"/>
  <c r="I8" i="4"/>
  <c r="I48" i="3"/>
  <c r="I30" i="2"/>
  <c r="W30" i="2" s="1"/>
  <c r="I12" i="4"/>
  <c r="H42" i="6"/>
  <c r="I52" i="5"/>
  <c r="J52" i="5" s="1"/>
  <c r="I47" i="2"/>
  <c r="W47" i="2" s="1"/>
  <c r="I16" i="4"/>
  <c r="H61" i="6"/>
  <c r="I57" i="5"/>
  <c r="J57" i="5" s="1"/>
  <c r="I72" i="3"/>
  <c r="H86" i="6"/>
  <c r="I103" i="4"/>
  <c r="I89" i="2"/>
  <c r="W89" i="2" s="1"/>
  <c r="I94" i="5"/>
  <c r="J94" i="5" s="1"/>
  <c r="I94" i="3"/>
  <c r="I29" i="2"/>
  <c r="W29" i="2" s="1"/>
  <c r="H22" i="6"/>
  <c r="I33" i="5"/>
  <c r="J33" i="5" s="1"/>
  <c r="I22" i="3"/>
  <c r="I9" i="4"/>
  <c r="H62" i="6"/>
  <c r="I43" i="5"/>
  <c r="J43" i="5" s="1"/>
  <c r="I27" i="2"/>
  <c r="W27" i="2" s="1"/>
  <c r="I37" i="3"/>
  <c r="I75" i="4"/>
  <c r="H11" i="6"/>
  <c r="I6" i="4"/>
  <c r="I9" i="3"/>
  <c r="I14" i="5"/>
  <c r="J14" i="5" s="1"/>
  <c r="I4" i="2"/>
  <c r="W4" i="2" s="1"/>
  <c r="I16" i="3"/>
  <c r="I8" i="5"/>
  <c r="J8" i="5" s="1"/>
  <c r="I6" i="2"/>
  <c r="W6" i="2" s="1"/>
  <c r="H7" i="6"/>
  <c r="I30" i="4"/>
  <c r="H15" i="6"/>
  <c r="I17" i="5"/>
  <c r="J17" i="5" s="1"/>
  <c r="I24" i="2"/>
  <c r="W24" i="2" s="1"/>
  <c r="I25" i="3"/>
  <c r="I50" i="4"/>
  <c r="W85" i="1"/>
  <c r="X85" i="1" s="1"/>
  <c r="H27" i="5" s="1"/>
  <c r="W3" i="1"/>
  <c r="X3" i="1" s="1"/>
  <c r="H10" i="5" s="1"/>
  <c r="W32" i="1"/>
  <c r="X32" i="1" s="1"/>
  <c r="H49" i="5" s="1"/>
  <c r="W36" i="1"/>
  <c r="X36" i="1" s="1"/>
  <c r="H22" i="5" s="1"/>
  <c r="W64" i="1"/>
  <c r="X64" i="1" s="1"/>
  <c r="W88" i="1"/>
  <c r="X88" i="1" s="1"/>
  <c r="H77" i="5" s="1"/>
  <c r="W58" i="1"/>
  <c r="X58" i="1" s="1"/>
  <c r="H39" i="5" s="1"/>
  <c r="W76" i="1"/>
  <c r="X76" i="1" s="1"/>
  <c r="H78" i="5" s="1"/>
  <c r="W2" i="1"/>
  <c r="X2" i="1" s="1"/>
  <c r="H9" i="5" s="1"/>
  <c r="W81" i="1"/>
  <c r="X81" i="1" s="1"/>
  <c r="H67" i="5" s="1"/>
  <c r="W82" i="1"/>
  <c r="X82" i="1" s="1"/>
  <c r="H69" i="5" s="1"/>
  <c r="W63" i="1"/>
  <c r="X63" i="1" s="1"/>
  <c r="H28" i="5" s="1"/>
  <c r="W70" i="1"/>
  <c r="X70" i="1" s="1"/>
  <c r="H30" i="5" s="1"/>
  <c r="W20" i="1"/>
  <c r="X20" i="1" s="1"/>
  <c r="H74" i="5" s="1"/>
  <c r="W49" i="1"/>
  <c r="X49" i="1" s="1"/>
  <c r="H34" i="5" s="1"/>
  <c r="W55" i="1"/>
  <c r="X55" i="1" s="1"/>
  <c r="W61" i="1"/>
  <c r="X61" i="1" s="1"/>
  <c r="W67" i="1"/>
  <c r="X67" i="1" s="1"/>
  <c r="H71" i="5" s="1"/>
  <c r="W26" i="1"/>
  <c r="X26" i="1" s="1"/>
  <c r="H56" i="5" s="1"/>
  <c r="W45" i="1"/>
  <c r="X45" i="1" s="1"/>
  <c r="W12" i="1"/>
  <c r="X12" i="1" s="1"/>
  <c r="H3" i="5" s="1"/>
  <c r="W46" i="1"/>
  <c r="X46" i="1" s="1"/>
  <c r="H18" i="5" s="1"/>
  <c r="W25" i="1"/>
  <c r="X25" i="1" s="1"/>
  <c r="H75" i="5" s="1"/>
  <c r="W92" i="1"/>
  <c r="X92" i="1" s="1"/>
  <c r="H95" i="5" s="1"/>
  <c r="W6" i="1"/>
  <c r="X6" i="1" s="1"/>
  <c r="H46" i="5" s="1"/>
  <c r="W72" i="1"/>
  <c r="X72" i="1" s="1"/>
  <c r="H84" i="5" s="1"/>
  <c r="W18" i="1"/>
  <c r="X18" i="1" s="1"/>
  <c r="W39" i="1"/>
  <c r="X39" i="1" s="1"/>
  <c r="H58" i="5" s="1"/>
  <c r="W9" i="1"/>
  <c r="X9" i="1" s="1"/>
  <c r="H25" i="5" s="1"/>
  <c r="W59" i="1"/>
  <c r="X59" i="1" s="1"/>
  <c r="H68" i="5" s="1"/>
  <c r="W22" i="1"/>
  <c r="X22" i="1" s="1"/>
  <c r="H52" i="5" s="1"/>
  <c r="W8" i="1"/>
  <c r="X8" i="1" s="1"/>
  <c r="H23" i="5" s="1"/>
  <c r="W17" i="1"/>
  <c r="X17" i="1" s="1"/>
  <c r="H72" i="5" s="1"/>
  <c r="W27" i="1"/>
  <c r="X27" i="1" s="1"/>
  <c r="W23" i="1"/>
  <c r="X23" i="1" s="1"/>
  <c r="H47" i="5" s="1"/>
  <c r="W30" i="1"/>
  <c r="X30" i="1" s="1"/>
  <c r="H63" i="5" s="1"/>
  <c r="W7" i="1"/>
  <c r="X7" i="1" s="1"/>
  <c r="H54" i="5" s="1"/>
  <c r="W75" i="1"/>
  <c r="X75" i="1" s="1"/>
  <c r="H62" i="5" s="1"/>
  <c r="W90" i="1"/>
  <c r="X90" i="1" s="1"/>
  <c r="H80" i="5" s="1"/>
  <c r="W65" i="1"/>
  <c r="X65" i="1" s="1"/>
  <c r="H36" i="5" s="1"/>
  <c r="W48" i="1"/>
  <c r="X48" i="1" s="1"/>
  <c r="H59" i="5" s="1"/>
  <c r="W87" i="1"/>
  <c r="X87" i="1" s="1"/>
  <c r="H91" i="5" s="1"/>
  <c r="W11" i="1"/>
  <c r="X11" i="1" s="1"/>
  <c r="H50" i="5" s="1"/>
  <c r="W33" i="1"/>
  <c r="X33" i="1" s="1"/>
  <c r="H66" i="5" s="1"/>
  <c r="W14" i="1"/>
  <c r="X14" i="1" s="1"/>
  <c r="W21" i="1"/>
  <c r="X21" i="1" s="1"/>
  <c r="H60" i="5" s="1"/>
  <c r="W53" i="1"/>
  <c r="X53" i="1" s="1"/>
  <c r="H73" i="5" s="1"/>
  <c r="W60" i="1"/>
  <c r="X60" i="1" s="1"/>
  <c r="H82" i="5" s="1"/>
  <c r="W34" i="1"/>
  <c r="X34" i="1" s="1"/>
  <c r="H51" i="5" s="1"/>
  <c r="W57" i="1"/>
  <c r="X57" i="1" s="1"/>
  <c r="H41" i="5" s="1"/>
  <c r="W50" i="1"/>
  <c r="X50" i="1" s="1"/>
  <c r="W71" i="1"/>
  <c r="X71" i="1" s="1"/>
  <c r="H21" i="5" s="1"/>
  <c r="W73" i="1"/>
  <c r="X73" i="1" s="1"/>
  <c r="H90" i="5" s="1"/>
  <c r="W41" i="1"/>
  <c r="X41" i="1" s="1"/>
  <c r="H65" i="5" s="1"/>
  <c r="W43" i="1"/>
  <c r="X43" i="1" s="1"/>
  <c r="H15" i="5" s="1"/>
  <c r="W79" i="1"/>
  <c r="X79" i="1" s="1"/>
  <c r="H83" i="5" s="1"/>
  <c r="W83" i="1"/>
  <c r="X83" i="1" s="1"/>
  <c r="H70" i="5" s="1"/>
  <c r="W10" i="1"/>
  <c r="X10" i="1" s="1"/>
  <c r="W15" i="1"/>
  <c r="X15" i="1" s="1"/>
  <c r="H24" i="5" s="1"/>
  <c r="W47" i="1"/>
  <c r="X47" i="1" s="1"/>
  <c r="H42" i="5" s="1"/>
  <c r="W40" i="1"/>
  <c r="X40" i="1" s="1"/>
  <c r="H35" i="5" s="1"/>
  <c r="W51" i="1"/>
  <c r="X51" i="1" s="1"/>
  <c r="H37" i="5" s="1"/>
  <c r="W28" i="1"/>
  <c r="X28" i="1" s="1"/>
  <c r="H55" i="5" s="1"/>
  <c r="W16" i="1"/>
  <c r="X16" i="1" s="1"/>
  <c r="H2" i="5" s="1"/>
  <c r="W66" i="1"/>
  <c r="X66" i="1" s="1"/>
  <c r="H31" i="5" s="1"/>
  <c r="W13" i="1"/>
  <c r="X13" i="1" s="1"/>
  <c r="H45" i="5" s="1"/>
  <c r="W54" i="1"/>
  <c r="X54" i="1" s="1"/>
  <c r="H19" i="5" s="1"/>
  <c r="W38" i="1"/>
  <c r="X38" i="1" s="1"/>
  <c r="H64" i="5" s="1"/>
  <c r="W35" i="1"/>
  <c r="X35" i="1" s="1"/>
  <c r="H57" i="5" s="1"/>
  <c r="W89" i="1"/>
  <c r="X89" i="1" s="1"/>
  <c r="H94" i="5" s="1"/>
  <c r="W24" i="1"/>
  <c r="X24" i="1" s="1"/>
  <c r="H33" i="5" s="1"/>
  <c r="W19" i="1"/>
  <c r="X19" i="1" s="1"/>
  <c r="H17" i="5" s="1"/>
  <c r="W86" i="1"/>
  <c r="X86" i="1" s="1"/>
  <c r="H38" i="5" s="1"/>
  <c r="W44" i="1"/>
  <c r="X44" i="1" s="1"/>
  <c r="H26" i="5" s="1"/>
  <c r="H13" i="3" l="1"/>
  <c r="H41" i="2"/>
  <c r="H79" i="4"/>
  <c r="H84" i="4"/>
  <c r="H78" i="2"/>
  <c r="H84" i="3"/>
  <c r="H50" i="2"/>
  <c r="H11" i="5"/>
  <c r="H18" i="3"/>
  <c r="H46" i="4"/>
  <c r="P10" i="17"/>
  <c r="S10" i="17"/>
  <c r="T10" i="17" s="1"/>
  <c r="H58" i="4"/>
  <c r="H8" i="2"/>
  <c r="H43" i="3"/>
  <c r="H24" i="3"/>
  <c r="H68" i="4"/>
  <c r="H79" i="2"/>
  <c r="H25" i="3"/>
  <c r="H50" i="4"/>
  <c r="H24" i="2"/>
  <c r="H34" i="3"/>
  <c r="H51" i="2"/>
  <c r="H47" i="4"/>
  <c r="H74" i="3"/>
  <c r="H76" i="4"/>
  <c r="H44" i="2"/>
  <c r="H14" i="3"/>
  <c r="H66" i="4"/>
  <c r="H39" i="2"/>
  <c r="H56" i="2"/>
  <c r="H32" i="4"/>
  <c r="H19" i="3"/>
  <c r="H47" i="2"/>
  <c r="H72" i="3"/>
  <c r="H16" i="4"/>
  <c r="H82" i="3"/>
  <c r="H82" i="2"/>
  <c r="H28" i="4"/>
  <c r="H33" i="3"/>
  <c r="H19" i="4"/>
  <c r="H16" i="5"/>
  <c r="H16" i="2"/>
  <c r="H57" i="4"/>
  <c r="H29" i="3"/>
  <c r="H23" i="2"/>
  <c r="H5" i="3"/>
  <c r="H3" i="4"/>
  <c r="H20" i="2"/>
  <c r="H3" i="2"/>
  <c r="H4" i="4"/>
  <c r="H2" i="3"/>
  <c r="H33" i="2"/>
  <c r="H63" i="3"/>
  <c r="H49" i="4"/>
  <c r="H48" i="4"/>
  <c r="H46" i="3"/>
  <c r="H35" i="2"/>
  <c r="H85" i="4"/>
  <c r="H72" i="2"/>
  <c r="H86" i="3"/>
  <c r="H32" i="2"/>
  <c r="H44" i="3"/>
  <c r="H39" i="4"/>
  <c r="H5" i="2"/>
  <c r="H38" i="4"/>
  <c r="H55" i="3"/>
  <c r="H34" i="2"/>
  <c r="H20" i="3"/>
  <c r="H26" i="4"/>
  <c r="H6" i="5"/>
  <c r="H83" i="3"/>
  <c r="H55" i="4"/>
  <c r="H76" i="2"/>
  <c r="H16" i="3"/>
  <c r="H8" i="5"/>
  <c r="H6" i="2"/>
  <c r="H30" i="4"/>
  <c r="H49" i="2"/>
  <c r="H74" i="4"/>
  <c r="H73" i="3"/>
  <c r="H12" i="2"/>
  <c r="H40" i="4"/>
  <c r="H58" i="3"/>
  <c r="H27" i="2"/>
  <c r="H75" i="4"/>
  <c r="H37" i="3"/>
  <c r="H81" i="4"/>
  <c r="H60" i="2"/>
  <c r="H39" i="3"/>
  <c r="H78" i="3"/>
  <c r="H58" i="2"/>
  <c r="H80" i="4"/>
  <c r="H71" i="4"/>
  <c r="H61" i="2"/>
  <c r="H71" i="3"/>
  <c r="H57" i="3"/>
  <c r="H62" i="4"/>
  <c r="H62" i="2"/>
  <c r="H87" i="4"/>
  <c r="H81" i="2"/>
  <c r="H42" i="3"/>
  <c r="H60" i="4"/>
  <c r="H13" i="2"/>
  <c r="H10" i="3"/>
  <c r="H88" i="2"/>
  <c r="H89" i="3"/>
  <c r="H90" i="4"/>
  <c r="H66" i="2"/>
  <c r="H53" i="5"/>
  <c r="H11" i="3"/>
  <c r="H43" i="4"/>
  <c r="H14" i="4"/>
  <c r="H63" i="2"/>
  <c r="H6" i="3"/>
  <c r="H65" i="2"/>
  <c r="H83" i="4"/>
  <c r="H81" i="3"/>
  <c r="H51" i="3"/>
  <c r="H25" i="4"/>
  <c r="H13" i="5"/>
  <c r="H70" i="2"/>
  <c r="H48" i="2"/>
  <c r="H44" i="4"/>
  <c r="H30" i="3"/>
  <c r="H7" i="2"/>
  <c r="H15" i="4"/>
  <c r="H36" i="3"/>
  <c r="H38" i="3"/>
  <c r="H46" i="2"/>
  <c r="H54" i="4"/>
  <c r="H26" i="2"/>
  <c r="H42" i="4"/>
  <c r="H61" i="3"/>
  <c r="H23" i="3"/>
  <c r="H53" i="4"/>
  <c r="H15" i="2"/>
  <c r="H40" i="2"/>
  <c r="H75" i="3"/>
  <c r="H77" i="4"/>
  <c r="H52" i="4"/>
  <c r="H79" i="3"/>
  <c r="H59" i="2"/>
  <c r="H11" i="2"/>
  <c r="H26" i="3"/>
  <c r="H2" i="4"/>
  <c r="H38" i="2"/>
  <c r="H49" i="3"/>
  <c r="H51" i="4"/>
  <c r="H73" i="4"/>
  <c r="H62" i="3"/>
  <c r="H19" i="2"/>
  <c r="H7" i="4"/>
  <c r="H47" i="3"/>
  <c r="H12" i="5"/>
  <c r="H45" i="2"/>
  <c r="H90" i="2"/>
  <c r="H45" i="4"/>
  <c r="H91" i="3"/>
  <c r="H18" i="2"/>
  <c r="H20" i="5"/>
  <c r="H7" i="3"/>
  <c r="H29" i="4"/>
  <c r="H20" i="4"/>
  <c r="H43" i="2"/>
  <c r="H17" i="3"/>
  <c r="H31" i="2"/>
  <c r="H56" i="3"/>
  <c r="H21" i="4"/>
  <c r="H31" i="3"/>
  <c r="H37" i="2"/>
  <c r="H18" i="4"/>
  <c r="H48" i="3"/>
  <c r="H12" i="4"/>
  <c r="H30" i="2"/>
  <c r="H89" i="4"/>
  <c r="H87" i="2"/>
  <c r="H88" i="3"/>
  <c r="H68" i="2"/>
  <c r="H36" i="4"/>
  <c r="H54" i="3"/>
  <c r="H85" i="3"/>
  <c r="H84" i="2"/>
  <c r="H63" i="4"/>
  <c r="H31" i="4"/>
  <c r="H9" i="2"/>
  <c r="H21" i="3"/>
  <c r="H7" i="5"/>
  <c r="H13" i="4"/>
  <c r="H57" i="2"/>
  <c r="H15" i="3"/>
  <c r="H40" i="3"/>
  <c r="H52" i="2"/>
  <c r="H24" i="4"/>
  <c r="H25" i="2"/>
  <c r="H10" i="4"/>
  <c r="H12" i="3"/>
  <c r="H27" i="3"/>
  <c r="H11" i="4"/>
  <c r="H28" i="2"/>
  <c r="H86" i="4"/>
  <c r="H74" i="2"/>
  <c r="H87" i="3"/>
  <c r="H73" i="2"/>
  <c r="H59" i="4"/>
  <c r="H70" i="3"/>
  <c r="H32" i="3"/>
  <c r="H14" i="2"/>
  <c r="H35" i="4"/>
  <c r="H8" i="4"/>
  <c r="H4" i="3"/>
  <c r="H2" i="2"/>
  <c r="H53" i="3"/>
  <c r="H67" i="4"/>
  <c r="H83" i="2"/>
  <c r="H78" i="4"/>
  <c r="H54" i="2"/>
  <c r="H76" i="3"/>
  <c r="H9" i="3"/>
  <c r="H6" i="4"/>
  <c r="H4" i="2"/>
  <c r="H104" i="4"/>
  <c r="H95" i="2"/>
  <c r="H95" i="3"/>
  <c r="H22" i="2"/>
  <c r="H72" i="4"/>
  <c r="H3" i="3"/>
  <c r="H77" i="2"/>
  <c r="H88" i="4"/>
  <c r="H69" i="3"/>
  <c r="H67" i="2"/>
  <c r="H22" i="4"/>
  <c r="H60" i="3"/>
  <c r="H22" i="3"/>
  <c r="H9" i="4"/>
  <c r="H29" i="2"/>
  <c r="H55" i="2"/>
  <c r="H77" i="3"/>
  <c r="H34" i="4"/>
  <c r="H27" i="4"/>
  <c r="H41" i="3"/>
  <c r="H21" i="2"/>
  <c r="H50" i="3"/>
  <c r="H61" i="4"/>
  <c r="H36" i="2"/>
  <c r="H94" i="3"/>
  <c r="H89" i="2"/>
  <c r="H103" i="4"/>
  <c r="H17" i="2"/>
  <c r="H8" i="3"/>
  <c r="H5" i="4"/>
  <c r="H4" i="5"/>
  <c r="H45" i="3"/>
  <c r="H82" i="4"/>
  <c r="H10" i="2"/>
  <c r="H5" i="5"/>
  <c r="H42" i="2"/>
  <c r="H28" i="3"/>
  <c r="H33" i="4"/>
  <c r="H53" i="2"/>
  <c r="H35" i="3"/>
  <c r="H17" i="4"/>
  <c r="H59" i="3"/>
  <c r="H69" i="2"/>
  <c r="H23" i="4"/>
  <c r="W2" i="2"/>
  <c r="I67" i="20"/>
  <c r="W67" i="20"/>
  <c r="I69" i="20"/>
  <c r="W69" i="20"/>
  <c r="I101" i="20"/>
  <c r="W101" i="20"/>
  <c r="I81" i="20"/>
  <c r="W81" i="20"/>
  <c r="I63" i="19"/>
  <c r="W63" i="19"/>
  <c r="I63" i="20"/>
  <c r="W63" i="20"/>
  <c r="I24" i="20"/>
  <c r="W24" i="20"/>
  <c r="I86" i="20"/>
  <c r="W86" i="20"/>
  <c r="I7" i="19"/>
  <c r="W7" i="19"/>
  <c r="I76" i="20"/>
  <c r="W76" i="20"/>
  <c r="I76" i="19"/>
  <c r="W76" i="19"/>
  <c r="I20" i="19"/>
  <c r="W20" i="19"/>
  <c r="I15" i="20"/>
  <c r="W15" i="20"/>
  <c r="I18" i="19"/>
  <c r="W18" i="19"/>
  <c r="I77" i="20"/>
  <c r="W77" i="20"/>
  <c r="I27" i="20"/>
  <c r="W27" i="20"/>
  <c r="I9" i="19"/>
  <c r="W9" i="19"/>
  <c r="I104" i="19"/>
  <c r="W104" i="19"/>
  <c r="I38" i="20"/>
  <c r="W38" i="20"/>
  <c r="I98" i="20"/>
  <c r="W98" i="20"/>
  <c r="I81" i="19"/>
  <c r="W81" i="19"/>
  <c r="I21" i="20"/>
  <c r="W21" i="20"/>
  <c r="I15" i="19"/>
  <c r="W15" i="19"/>
  <c r="I54" i="20"/>
  <c r="W54" i="20"/>
  <c r="I32" i="20"/>
  <c r="W32" i="20"/>
  <c r="I61" i="20"/>
  <c r="W61" i="20"/>
  <c r="I62" i="20"/>
  <c r="W62" i="20"/>
  <c r="I17" i="20"/>
  <c r="W17" i="20"/>
  <c r="I35" i="20"/>
  <c r="W35" i="20"/>
  <c r="I45" i="19"/>
  <c r="W45" i="19"/>
  <c r="I24" i="19"/>
  <c r="W24" i="19"/>
  <c r="I43" i="20"/>
  <c r="W43" i="20"/>
  <c r="I26" i="19"/>
  <c r="W26" i="19"/>
  <c r="I104" i="20"/>
  <c r="W104" i="20"/>
  <c r="I35" i="19"/>
  <c r="W35" i="19"/>
  <c r="I37" i="19"/>
  <c r="W37" i="19"/>
  <c r="I48" i="20"/>
  <c r="W48" i="20"/>
  <c r="W12" i="19"/>
  <c r="I12" i="19"/>
  <c r="I94" i="19"/>
  <c r="W94" i="19"/>
  <c r="I46" i="19"/>
  <c r="W46" i="19"/>
  <c r="I27" i="19"/>
  <c r="W27" i="19"/>
  <c r="I36" i="20"/>
  <c r="W36" i="20"/>
  <c r="I9" i="20"/>
  <c r="W9" i="20"/>
  <c r="I31" i="20"/>
  <c r="W31" i="20"/>
  <c r="I95" i="19"/>
  <c r="W95" i="19"/>
  <c r="I56" i="19"/>
  <c r="W56" i="19"/>
  <c r="I71" i="20"/>
  <c r="W71" i="20"/>
  <c r="I51" i="19"/>
  <c r="W51" i="19"/>
  <c r="I17" i="19"/>
  <c r="W17" i="19"/>
  <c r="W79" i="20"/>
  <c r="I88" i="19"/>
  <c r="W88" i="19"/>
  <c r="I10" i="19"/>
  <c r="W10" i="19"/>
  <c r="I19" i="20"/>
  <c r="W19" i="20"/>
  <c r="I54" i="19"/>
  <c r="W54" i="19"/>
  <c r="I40" i="20"/>
  <c r="W40" i="20"/>
  <c r="I3" i="19"/>
  <c r="W3" i="19"/>
  <c r="I83" i="19"/>
  <c r="W83" i="19"/>
  <c r="I72" i="20"/>
  <c r="W72" i="20"/>
  <c r="I62" i="19"/>
  <c r="W62" i="19"/>
  <c r="I90" i="20"/>
  <c r="W90" i="20"/>
  <c r="I21" i="19"/>
  <c r="W21" i="19"/>
  <c r="I20" i="20"/>
  <c r="W20" i="20"/>
  <c r="I53" i="20"/>
  <c r="W53" i="20"/>
  <c r="I2" i="19"/>
  <c r="W2" i="19"/>
  <c r="I33" i="19"/>
  <c r="W33" i="19"/>
  <c r="I52" i="20"/>
  <c r="W52" i="20"/>
  <c r="I32" i="19"/>
  <c r="W32" i="19"/>
  <c r="I50" i="20"/>
  <c r="W50" i="20"/>
  <c r="I52" i="19"/>
  <c r="W52" i="19"/>
  <c r="I7" i="20"/>
  <c r="W7" i="20"/>
  <c r="I28" i="19"/>
  <c r="W28" i="19"/>
  <c r="I97" i="20"/>
  <c r="W97" i="20"/>
  <c r="I45" i="20"/>
  <c r="W45" i="20"/>
  <c r="I80" i="19"/>
  <c r="W80" i="19"/>
  <c r="I4" i="20"/>
  <c r="W4" i="20"/>
  <c r="I47" i="20"/>
  <c r="W47" i="20"/>
  <c r="I82" i="19"/>
  <c r="W82" i="19"/>
  <c r="I91" i="20"/>
  <c r="W91" i="20"/>
  <c r="I11" i="20"/>
  <c r="W11" i="20"/>
  <c r="I19" i="19"/>
  <c r="W19" i="19"/>
  <c r="I39" i="20"/>
  <c r="W39" i="20"/>
  <c r="I43" i="19"/>
  <c r="W43" i="19"/>
  <c r="I16" i="20"/>
  <c r="W16" i="20"/>
  <c r="I87" i="20"/>
  <c r="W87" i="20"/>
  <c r="I66" i="19"/>
  <c r="W66" i="19"/>
  <c r="I41" i="20"/>
  <c r="W41" i="20"/>
  <c r="I86" i="19"/>
  <c r="W86" i="19"/>
  <c r="I29" i="20"/>
  <c r="W29" i="20"/>
  <c r="I38" i="19"/>
  <c r="W38" i="19"/>
  <c r="I79" i="19"/>
  <c r="W79" i="19"/>
  <c r="I44" i="20"/>
  <c r="W44" i="20"/>
  <c r="I10" i="20"/>
  <c r="W10" i="20"/>
  <c r="I47" i="19"/>
  <c r="W47" i="19"/>
  <c r="I74" i="20"/>
  <c r="W74" i="20"/>
  <c r="I22" i="19"/>
  <c r="W22" i="19"/>
  <c r="I83" i="20"/>
  <c r="W83" i="20"/>
  <c r="I58" i="19"/>
  <c r="W58" i="19"/>
  <c r="I60" i="19"/>
  <c r="W60" i="19"/>
  <c r="I67" i="19"/>
  <c r="W67" i="19"/>
  <c r="I18" i="20"/>
  <c r="W18" i="20"/>
  <c r="I6" i="19"/>
  <c r="W6" i="19"/>
  <c r="I41" i="19"/>
  <c r="W41" i="19"/>
  <c r="I68" i="20"/>
  <c r="W68" i="20"/>
  <c r="I12" i="20"/>
  <c r="W12" i="20"/>
  <c r="I28" i="20"/>
  <c r="W28" i="20"/>
  <c r="I103" i="20"/>
  <c r="W103" i="20"/>
  <c r="I40" i="19"/>
  <c r="W40" i="19"/>
  <c r="W100" i="20"/>
  <c r="I100" i="20"/>
  <c r="I6" i="20"/>
  <c r="W6" i="20"/>
  <c r="I8" i="20"/>
  <c r="W8" i="20"/>
  <c r="I37" i="20"/>
  <c r="W37" i="20"/>
  <c r="I70" i="20"/>
  <c r="W70" i="20"/>
  <c r="I57" i="19"/>
  <c r="W57" i="19"/>
  <c r="I65" i="20"/>
  <c r="W65" i="20"/>
  <c r="I50" i="19"/>
  <c r="W50" i="19"/>
  <c r="I99" i="20"/>
  <c r="W99" i="20"/>
  <c r="I51" i="20"/>
  <c r="W51" i="20"/>
  <c r="I72" i="19"/>
  <c r="W72" i="19"/>
  <c r="I5" i="19"/>
  <c r="W5" i="19"/>
  <c r="I16" i="19"/>
  <c r="W16" i="19"/>
  <c r="I8" i="19"/>
  <c r="W8" i="19"/>
  <c r="I102" i="20"/>
  <c r="W102" i="20"/>
  <c r="I80" i="20"/>
  <c r="W80" i="20"/>
  <c r="I53" i="19"/>
  <c r="W53" i="19"/>
  <c r="I75" i="20"/>
  <c r="W75" i="20"/>
  <c r="I55" i="20"/>
  <c r="W55" i="20"/>
  <c r="I55" i="19"/>
  <c r="W55" i="19"/>
  <c r="I14" i="19"/>
  <c r="W14" i="19"/>
  <c r="I59" i="19"/>
  <c r="W59" i="19"/>
  <c r="I34" i="19"/>
  <c r="W34" i="19"/>
  <c r="I11" i="19"/>
  <c r="W11" i="19"/>
  <c r="I103" i="19"/>
  <c r="W103" i="19"/>
  <c r="I60" i="20"/>
  <c r="W60" i="20"/>
  <c r="I100" i="19"/>
  <c r="W100" i="19"/>
  <c r="I4" i="19"/>
  <c r="W4" i="19"/>
  <c r="I49" i="19"/>
  <c r="W49" i="19"/>
  <c r="I13" i="19"/>
  <c r="W13" i="19"/>
  <c r="W70" i="19"/>
  <c r="I70" i="19"/>
  <c r="I42" i="20"/>
  <c r="W42" i="20"/>
  <c r="I69" i="19"/>
  <c r="W69" i="19"/>
  <c r="I5" i="20"/>
  <c r="W5" i="20"/>
  <c r="I97" i="19"/>
  <c r="W97" i="19"/>
  <c r="I29" i="19"/>
  <c r="W29" i="19"/>
  <c r="I78" i="20"/>
  <c r="W78" i="20"/>
  <c r="I14" i="20"/>
  <c r="W14" i="20"/>
  <c r="I34" i="20"/>
  <c r="W34" i="20"/>
  <c r="I30" i="20"/>
  <c r="W30" i="20"/>
  <c r="I102" i="19"/>
  <c r="W102" i="19"/>
  <c r="I74" i="19"/>
  <c r="W74" i="19"/>
  <c r="I56" i="20"/>
  <c r="W56" i="20"/>
  <c r="I48" i="19"/>
  <c r="W48" i="19"/>
  <c r="I31" i="19"/>
  <c r="W31" i="19"/>
  <c r="I23" i="19"/>
  <c r="W23" i="19"/>
  <c r="I75" i="19"/>
  <c r="W75" i="19"/>
  <c r="I25" i="19"/>
  <c r="W25" i="19"/>
  <c r="I89" i="19"/>
  <c r="W89" i="19"/>
  <c r="I36" i="19"/>
  <c r="W36" i="19"/>
  <c r="I78" i="19"/>
  <c r="W78" i="19"/>
  <c r="I39" i="19"/>
  <c r="W39" i="19"/>
  <c r="I96" i="19"/>
  <c r="W96" i="19"/>
  <c r="I65" i="19"/>
  <c r="W65" i="19"/>
  <c r="I42" i="19"/>
  <c r="W42" i="19"/>
  <c r="I26" i="20"/>
  <c r="W26" i="20"/>
  <c r="I2" i="20"/>
  <c r="W2" i="20"/>
  <c r="I49" i="20"/>
  <c r="W49" i="20"/>
  <c r="I71" i="19"/>
  <c r="W71" i="19"/>
  <c r="I58" i="20"/>
  <c r="W58" i="20"/>
  <c r="I64" i="19"/>
  <c r="W64" i="19"/>
  <c r="I46" i="20"/>
  <c r="W46" i="20"/>
  <c r="I84" i="19"/>
  <c r="W84" i="19"/>
  <c r="I57" i="20"/>
  <c r="W57" i="20"/>
  <c r="I33" i="20"/>
  <c r="W33" i="20"/>
  <c r="I101" i="19"/>
  <c r="W101" i="19"/>
  <c r="I89" i="20"/>
  <c r="W89" i="20"/>
  <c r="I96" i="20"/>
  <c r="W96" i="20"/>
  <c r="W68" i="19"/>
  <c r="I68" i="19"/>
  <c r="I61" i="19"/>
  <c r="W61" i="19"/>
  <c r="I13" i="20"/>
  <c r="W13" i="20"/>
  <c r="I22" i="20"/>
  <c r="W22" i="20"/>
  <c r="I93" i="20"/>
  <c r="W93" i="20"/>
  <c r="I44" i="19"/>
  <c r="W44" i="19"/>
  <c r="I77" i="19"/>
  <c r="W77" i="19"/>
  <c r="I64" i="20"/>
  <c r="W64" i="20"/>
  <c r="I23" i="20"/>
  <c r="W23" i="20"/>
  <c r="I25" i="20"/>
  <c r="W25" i="20"/>
  <c r="I3" i="20"/>
  <c r="W3" i="20"/>
  <c r="I30" i="19"/>
  <c r="W30" i="19"/>
  <c r="I59" i="20"/>
  <c r="W59" i="20"/>
  <c r="I67" i="6"/>
  <c r="W67" i="6"/>
  <c r="J76" i="3"/>
  <c r="X76" i="3"/>
  <c r="X40" i="5"/>
  <c r="J78" i="4"/>
  <c r="X78" i="4"/>
  <c r="I22" i="6"/>
  <c r="W22" i="6"/>
  <c r="J62" i="3"/>
  <c r="X62" i="3"/>
  <c r="J22" i="4"/>
  <c r="X22" i="4"/>
  <c r="J77" i="3"/>
  <c r="X77" i="3"/>
  <c r="X96" i="5"/>
  <c r="X98" i="5"/>
  <c r="J80" i="4"/>
  <c r="X80" i="4"/>
  <c r="J89" i="4"/>
  <c r="X89" i="4"/>
  <c r="I30" i="6"/>
  <c r="W30" i="6"/>
  <c r="I93" i="6"/>
  <c r="W93" i="6"/>
  <c r="I42" i="6"/>
  <c r="W42" i="6"/>
  <c r="J53" i="4"/>
  <c r="X53" i="4"/>
  <c r="I44" i="6"/>
  <c r="W44" i="6"/>
  <c r="J43" i="4"/>
  <c r="X43" i="4"/>
  <c r="I55" i="6"/>
  <c r="W55" i="6"/>
  <c r="J94" i="4"/>
  <c r="X94" i="4"/>
  <c r="J40" i="4"/>
  <c r="X40" i="4"/>
  <c r="X9" i="5"/>
  <c r="I83" i="6"/>
  <c r="W83" i="6"/>
  <c r="J50" i="3"/>
  <c r="X50" i="3"/>
  <c r="J49" i="4"/>
  <c r="X49" i="4"/>
  <c r="J95" i="3"/>
  <c r="X95" i="3"/>
  <c r="J79" i="3"/>
  <c r="X79" i="3"/>
  <c r="I65" i="6"/>
  <c r="W65" i="6"/>
  <c r="J25" i="3"/>
  <c r="X25" i="3"/>
  <c r="J6" i="4"/>
  <c r="X6" i="4"/>
  <c r="J94" i="3"/>
  <c r="X94" i="3"/>
  <c r="J12" i="4"/>
  <c r="X12" i="4"/>
  <c r="I24" i="6"/>
  <c r="W24" i="6"/>
  <c r="X83" i="5"/>
  <c r="J54" i="4"/>
  <c r="X54" i="4"/>
  <c r="J36" i="4"/>
  <c r="X36" i="4"/>
  <c r="X55" i="5"/>
  <c r="J39" i="3"/>
  <c r="X39" i="3"/>
  <c r="J70" i="3"/>
  <c r="X70" i="3"/>
  <c r="X27" i="5"/>
  <c r="J60" i="3"/>
  <c r="X60" i="3"/>
  <c r="X26" i="5"/>
  <c r="J97" i="3"/>
  <c r="X97" i="3"/>
  <c r="X76" i="5"/>
  <c r="J35" i="4"/>
  <c r="X35" i="4"/>
  <c r="X73" i="5"/>
  <c r="X7" i="5"/>
  <c r="I32" i="6"/>
  <c r="W32" i="6"/>
  <c r="I8" i="6"/>
  <c r="W8" i="6"/>
  <c r="J33" i="4"/>
  <c r="X33" i="4"/>
  <c r="J2" i="3"/>
  <c r="X2" i="3"/>
  <c r="I54" i="6"/>
  <c r="W54" i="6"/>
  <c r="X69" i="5"/>
  <c r="X75" i="5"/>
  <c r="J72" i="4"/>
  <c r="X72" i="4"/>
  <c r="J14" i="3"/>
  <c r="X14" i="3"/>
  <c r="J63" i="3"/>
  <c r="X63" i="3"/>
  <c r="X80" i="5"/>
  <c r="I19" i="6"/>
  <c r="W19" i="6"/>
  <c r="I23" i="6"/>
  <c r="W23" i="6"/>
  <c r="X70" i="5"/>
  <c r="J102" i="4"/>
  <c r="X102" i="4"/>
  <c r="J74" i="3"/>
  <c r="X74" i="3"/>
  <c r="J52" i="4"/>
  <c r="X52" i="4"/>
  <c r="X100" i="5"/>
  <c r="J61" i="4"/>
  <c r="X61" i="4"/>
  <c r="I73" i="6"/>
  <c r="W73" i="6"/>
  <c r="J9" i="3"/>
  <c r="X9" i="3"/>
  <c r="J24" i="3"/>
  <c r="X24" i="3"/>
  <c r="J95" i="4"/>
  <c r="X95" i="4"/>
  <c r="X49" i="5"/>
  <c r="J25" i="4"/>
  <c r="X25" i="4"/>
  <c r="J96" i="4"/>
  <c r="X96" i="4"/>
  <c r="J5" i="3"/>
  <c r="X5" i="3"/>
  <c r="J78" i="3"/>
  <c r="X78" i="3"/>
  <c r="I29" i="6"/>
  <c r="W29" i="6"/>
  <c r="X104" i="5"/>
  <c r="J76" i="4"/>
  <c r="X76" i="4"/>
  <c r="I11" i="6"/>
  <c r="W11" i="6"/>
  <c r="X94" i="5"/>
  <c r="I71" i="6"/>
  <c r="W71" i="6"/>
  <c r="J85" i="4"/>
  <c r="X85" i="4"/>
  <c r="I14" i="6"/>
  <c r="W14" i="6"/>
  <c r="I35" i="6"/>
  <c r="W35" i="6"/>
  <c r="X42" i="5"/>
  <c r="J68" i="4"/>
  <c r="X68" i="4"/>
  <c r="X18" i="5"/>
  <c r="I33" i="6"/>
  <c r="W33" i="6"/>
  <c r="I97" i="6"/>
  <c r="W97" i="6"/>
  <c r="I81" i="6"/>
  <c r="W81" i="6"/>
  <c r="J32" i="3"/>
  <c r="X32" i="3"/>
  <c r="J13" i="4"/>
  <c r="X13" i="4"/>
  <c r="J21" i="4"/>
  <c r="X21" i="4"/>
  <c r="I58" i="6"/>
  <c r="W58" i="6"/>
  <c r="I96" i="6"/>
  <c r="W96" i="6"/>
  <c r="J28" i="3"/>
  <c r="X28" i="3"/>
  <c r="X101" i="5"/>
  <c r="J69" i="3"/>
  <c r="X69" i="3"/>
  <c r="I80" i="6"/>
  <c r="W80" i="6"/>
  <c r="J3" i="3"/>
  <c r="X3" i="3"/>
  <c r="J66" i="4"/>
  <c r="X66" i="4"/>
  <c r="J67" i="4"/>
  <c r="X67" i="4"/>
  <c r="J91" i="3"/>
  <c r="X91" i="3"/>
  <c r="X25" i="5"/>
  <c r="X23" i="5"/>
  <c r="J82" i="3"/>
  <c r="X82" i="3"/>
  <c r="J46" i="3"/>
  <c r="X46" i="3"/>
  <c r="X82" i="5"/>
  <c r="I38" i="6"/>
  <c r="W38" i="6"/>
  <c r="I5" i="6"/>
  <c r="W5" i="6"/>
  <c r="X52" i="5"/>
  <c r="J31" i="4"/>
  <c r="X31" i="4"/>
  <c r="J38" i="3"/>
  <c r="X38" i="3"/>
  <c r="X17" i="5"/>
  <c r="J20" i="4"/>
  <c r="X20" i="4"/>
  <c r="J73" i="4"/>
  <c r="X73" i="4"/>
  <c r="J34" i="3"/>
  <c r="X34" i="3"/>
  <c r="X84" i="5"/>
  <c r="J17" i="4"/>
  <c r="X17" i="4"/>
  <c r="J24" i="4"/>
  <c r="X24" i="4"/>
  <c r="J18" i="3"/>
  <c r="X18" i="3"/>
  <c r="J79" i="4"/>
  <c r="X79" i="4"/>
  <c r="X74" i="5"/>
  <c r="J61" i="3"/>
  <c r="X61" i="3"/>
  <c r="J56" i="3"/>
  <c r="X56" i="3"/>
  <c r="X28" i="5"/>
  <c r="X65" i="5"/>
  <c r="J86" i="4"/>
  <c r="X86" i="4"/>
  <c r="J4" i="4"/>
  <c r="X4" i="4"/>
  <c r="J99" i="4"/>
  <c r="X99" i="4"/>
  <c r="J88" i="4"/>
  <c r="X88" i="4"/>
  <c r="J18" i="4"/>
  <c r="X18" i="4"/>
  <c r="X24" i="5"/>
  <c r="I82" i="6"/>
  <c r="W82" i="6"/>
  <c r="J45" i="4"/>
  <c r="X45" i="4"/>
  <c r="J74" i="4"/>
  <c r="X74" i="4"/>
  <c r="J28" i="4"/>
  <c r="X28" i="4"/>
  <c r="X64" i="5"/>
  <c r="I85" i="6"/>
  <c r="W85" i="6"/>
  <c r="J47" i="3"/>
  <c r="X47" i="3"/>
  <c r="J26" i="4"/>
  <c r="X26" i="4"/>
  <c r="I40" i="6"/>
  <c r="W40" i="6"/>
  <c r="I12" i="6"/>
  <c r="W12" i="6"/>
  <c r="I20" i="6"/>
  <c r="W20" i="6"/>
  <c r="J103" i="4"/>
  <c r="X103" i="4"/>
  <c r="I89" i="6"/>
  <c r="W89" i="6"/>
  <c r="J54" i="3"/>
  <c r="X54" i="3"/>
  <c r="J12" i="3"/>
  <c r="X12" i="3"/>
  <c r="I28" i="6"/>
  <c r="W28" i="6"/>
  <c r="J59" i="4"/>
  <c r="X59" i="4"/>
  <c r="J29" i="3"/>
  <c r="X29" i="3"/>
  <c r="I9" i="6"/>
  <c r="W9" i="6"/>
  <c r="J40" i="3"/>
  <c r="X40" i="3"/>
  <c r="J46" i="4"/>
  <c r="X46" i="4"/>
  <c r="I79" i="6"/>
  <c r="W79" i="6"/>
  <c r="X56" i="5"/>
  <c r="J15" i="3"/>
  <c r="X15" i="3"/>
  <c r="I27" i="6"/>
  <c r="W27" i="6"/>
  <c r="J58" i="3"/>
  <c r="X58" i="3"/>
  <c r="X5" i="5"/>
  <c r="J55" i="4"/>
  <c r="X55" i="4"/>
  <c r="I10" i="6"/>
  <c r="W10" i="6"/>
  <c r="J53" i="3"/>
  <c r="X53" i="3"/>
  <c r="I78" i="6"/>
  <c r="W78" i="6"/>
  <c r="J55" i="3"/>
  <c r="X55" i="3"/>
  <c r="J27" i="3"/>
  <c r="X27" i="3"/>
  <c r="I48" i="6"/>
  <c r="W48" i="6"/>
  <c r="J20" i="3"/>
  <c r="X20" i="3"/>
  <c r="I100" i="6"/>
  <c r="W100" i="6"/>
  <c r="I51" i="6"/>
  <c r="W51" i="6"/>
  <c r="J71" i="4"/>
  <c r="X71" i="4"/>
  <c r="J30" i="4"/>
  <c r="X30" i="4"/>
  <c r="I86" i="6"/>
  <c r="W86" i="6"/>
  <c r="I34" i="6"/>
  <c r="W34" i="6"/>
  <c r="X34" i="5"/>
  <c r="J42" i="3"/>
  <c r="X42" i="3"/>
  <c r="I63" i="6"/>
  <c r="W63" i="6"/>
  <c r="X31" i="5"/>
  <c r="X37" i="5"/>
  <c r="J47" i="4"/>
  <c r="X47" i="4"/>
  <c r="J49" i="3"/>
  <c r="X49" i="3"/>
  <c r="X72" i="5"/>
  <c r="X86" i="5"/>
  <c r="I4" i="6"/>
  <c r="W4" i="6"/>
  <c r="J13" i="3"/>
  <c r="X13" i="3"/>
  <c r="X91" i="5"/>
  <c r="I6" i="6"/>
  <c r="W6" i="6"/>
  <c r="I18" i="6"/>
  <c r="W18" i="6"/>
  <c r="J32" i="4"/>
  <c r="X32" i="4"/>
  <c r="J103" i="3"/>
  <c r="X103" i="3"/>
  <c r="I60" i="6"/>
  <c r="W60" i="6"/>
  <c r="I3" i="6"/>
  <c r="W3" i="6"/>
  <c r="J101" i="3"/>
  <c r="X101" i="3"/>
  <c r="J23" i="4"/>
  <c r="X23" i="4"/>
  <c r="J31" i="3"/>
  <c r="X31" i="3"/>
  <c r="J57" i="3"/>
  <c r="X57" i="3"/>
  <c r="X79" i="5"/>
  <c r="J81" i="3"/>
  <c r="X81" i="3"/>
  <c r="J73" i="3"/>
  <c r="X73" i="3"/>
  <c r="J38" i="4"/>
  <c r="X38" i="4"/>
  <c r="I74" i="6"/>
  <c r="W74" i="6"/>
  <c r="X12" i="5"/>
  <c r="X6" i="5"/>
  <c r="I49" i="6"/>
  <c r="W49" i="6"/>
  <c r="J86" i="3"/>
  <c r="X86" i="3"/>
  <c r="J75" i="4"/>
  <c r="X75" i="4"/>
  <c r="J37" i="3"/>
  <c r="X37" i="3"/>
  <c r="X71" i="5"/>
  <c r="I57" i="6"/>
  <c r="W57" i="6"/>
  <c r="J90" i="4"/>
  <c r="X90" i="4"/>
  <c r="I59" i="6"/>
  <c r="W59" i="6"/>
  <c r="X22" i="5"/>
  <c r="J7" i="3"/>
  <c r="X7" i="3"/>
  <c r="J19" i="3"/>
  <c r="X19" i="3"/>
  <c r="J87" i="3"/>
  <c r="X87" i="3"/>
  <c r="I95" i="6"/>
  <c r="W95" i="6"/>
  <c r="I76" i="6"/>
  <c r="W76" i="6"/>
  <c r="I101" i="6"/>
  <c r="W101" i="6"/>
  <c r="I45" i="6"/>
  <c r="W45" i="6"/>
  <c r="X51" i="5"/>
  <c r="X61" i="5"/>
  <c r="J83" i="4"/>
  <c r="X83" i="4"/>
  <c r="I26" i="6"/>
  <c r="W26" i="6"/>
  <c r="I37" i="6"/>
  <c r="W37" i="6"/>
  <c r="X41" i="5"/>
  <c r="J48" i="4"/>
  <c r="X48" i="4"/>
  <c r="J85" i="3"/>
  <c r="X85" i="3"/>
  <c r="J7" i="4"/>
  <c r="X7" i="4"/>
  <c r="J15" i="4"/>
  <c r="X15" i="4"/>
  <c r="X14" i="5"/>
  <c r="X15" i="5"/>
  <c r="X13" i="5"/>
  <c r="I52" i="6"/>
  <c r="W52" i="6"/>
  <c r="I50" i="6"/>
  <c r="W50" i="6"/>
  <c r="J48" i="3"/>
  <c r="X48" i="3"/>
  <c r="I15" i="6"/>
  <c r="W15" i="6"/>
  <c r="J8" i="4"/>
  <c r="O9" i="17" s="1"/>
  <c r="R9" i="17" s="1"/>
  <c r="X8" i="4"/>
  <c r="I7" i="6"/>
  <c r="W7" i="6"/>
  <c r="X43" i="5"/>
  <c r="J72" i="3"/>
  <c r="X72" i="3"/>
  <c r="J17" i="3"/>
  <c r="X17" i="3"/>
  <c r="I70" i="6"/>
  <c r="W70" i="6"/>
  <c r="X2" i="5"/>
  <c r="I56" i="6"/>
  <c r="W56" i="6"/>
  <c r="J35" i="3"/>
  <c r="X35" i="3"/>
  <c r="J56" i="4"/>
  <c r="X56" i="4"/>
  <c r="I62" i="6"/>
  <c r="W62" i="6"/>
  <c r="X57" i="5"/>
  <c r="X10" i="5"/>
  <c r="X4" i="5"/>
  <c r="X38" i="5"/>
  <c r="J71" i="3"/>
  <c r="X71" i="3"/>
  <c r="I46" i="6"/>
  <c r="W46" i="6"/>
  <c r="J10" i="4"/>
  <c r="X10" i="4"/>
  <c r="X44" i="5"/>
  <c r="X58" i="5"/>
  <c r="J98" i="4"/>
  <c r="X98" i="4"/>
  <c r="X11" i="5"/>
  <c r="X68" i="5"/>
  <c r="J42" i="4"/>
  <c r="X42" i="4"/>
  <c r="J44" i="4"/>
  <c r="X44" i="4"/>
  <c r="X20" i="5"/>
  <c r="J33" i="3"/>
  <c r="X33" i="3"/>
  <c r="I94" i="6"/>
  <c r="W94" i="6"/>
  <c r="X62" i="5"/>
  <c r="X99" i="5"/>
  <c r="J83" i="3"/>
  <c r="X83" i="3"/>
  <c r="I77" i="6"/>
  <c r="W77" i="6"/>
  <c r="J59" i="3"/>
  <c r="X59" i="3"/>
  <c r="I36" i="6"/>
  <c r="W36" i="6"/>
  <c r="J102" i="3"/>
  <c r="X102" i="3"/>
  <c r="J62" i="4"/>
  <c r="X62" i="4"/>
  <c r="X66" i="5"/>
  <c r="I31" i="6"/>
  <c r="W31" i="6"/>
  <c r="X19" i="5"/>
  <c r="X54" i="5"/>
  <c r="J11" i="4"/>
  <c r="X11" i="4"/>
  <c r="J27" i="4"/>
  <c r="X27" i="4"/>
  <c r="X90" i="5"/>
  <c r="I2" i="6"/>
  <c r="W2" i="6"/>
  <c r="I39" i="6"/>
  <c r="W39" i="6"/>
  <c r="X59" i="5"/>
  <c r="J9" i="4"/>
  <c r="X9" i="4"/>
  <c r="I61" i="6"/>
  <c r="W61" i="6"/>
  <c r="J4" i="3"/>
  <c r="O8" i="17" s="1"/>
  <c r="R8" i="17" s="1"/>
  <c r="X4" i="3"/>
  <c r="I13" i="6"/>
  <c r="W13" i="6"/>
  <c r="J87" i="4"/>
  <c r="X87" i="4"/>
  <c r="I53" i="6"/>
  <c r="W53" i="6"/>
  <c r="J84" i="4"/>
  <c r="X84" i="4"/>
  <c r="I72" i="6"/>
  <c r="W72" i="6"/>
  <c r="J57" i="4"/>
  <c r="X57" i="4"/>
  <c r="I75" i="6"/>
  <c r="W75" i="6"/>
  <c r="I21" i="6"/>
  <c r="W21" i="6"/>
  <c r="I43" i="6"/>
  <c r="W43" i="6"/>
  <c r="I90" i="6"/>
  <c r="I102" i="6"/>
  <c r="W102" i="6"/>
  <c r="I16" i="6"/>
  <c r="W16" i="6"/>
  <c r="J29" i="4"/>
  <c r="X29" i="4"/>
  <c r="X16" i="5"/>
  <c r="X103" i="5"/>
  <c r="X3" i="5"/>
  <c r="J97" i="4"/>
  <c r="X97" i="4"/>
  <c r="X78" i="5"/>
  <c r="J88" i="3"/>
  <c r="X88" i="3"/>
  <c r="J6" i="3"/>
  <c r="X6" i="3"/>
  <c r="I104" i="6"/>
  <c r="W104" i="6"/>
  <c r="I69" i="6"/>
  <c r="W69" i="6"/>
  <c r="I47" i="6"/>
  <c r="W47" i="6"/>
  <c r="X36" i="5"/>
  <c r="J41" i="3"/>
  <c r="X41" i="3"/>
  <c r="J63" i="4"/>
  <c r="X63" i="4"/>
  <c r="X60" i="5"/>
  <c r="X46" i="5"/>
  <c r="J10" i="3"/>
  <c r="X10" i="3"/>
  <c r="X63" i="5"/>
  <c r="J50" i="4"/>
  <c r="X50" i="4"/>
  <c r="J22" i="3"/>
  <c r="X22" i="3"/>
  <c r="J8" i="3"/>
  <c r="X8" i="3"/>
  <c r="X35" i="5"/>
  <c r="J84" i="3"/>
  <c r="X84" i="3"/>
  <c r="J51" i="4"/>
  <c r="X51" i="4"/>
  <c r="J100" i="3"/>
  <c r="X100" i="3"/>
  <c r="J52" i="3"/>
  <c r="X52" i="3"/>
  <c r="J11" i="3"/>
  <c r="X11" i="3"/>
  <c r="J77" i="4"/>
  <c r="X77" i="4"/>
  <c r="J89" i="3"/>
  <c r="X89" i="3"/>
  <c r="J96" i="3"/>
  <c r="X96" i="3"/>
  <c r="J101" i="4"/>
  <c r="X101" i="4"/>
  <c r="I17" i="6"/>
  <c r="W17" i="6"/>
  <c r="J99" i="3"/>
  <c r="X99" i="3"/>
  <c r="X67" i="5"/>
  <c r="X21" i="5"/>
  <c r="X102" i="5"/>
  <c r="J39" i="4"/>
  <c r="X39" i="4"/>
  <c r="X95" i="5"/>
  <c r="J43" i="3"/>
  <c r="X43" i="3"/>
  <c r="X47" i="5"/>
  <c r="I91" i="6"/>
  <c r="W91" i="6"/>
  <c r="J82" i="4"/>
  <c r="X82" i="4"/>
  <c r="X8" i="5"/>
  <c r="J16" i="3"/>
  <c r="X16" i="3"/>
  <c r="J16" i="4"/>
  <c r="X16" i="4"/>
  <c r="X50" i="5"/>
  <c r="X45" i="5"/>
  <c r="J2" i="4"/>
  <c r="X2" i="4"/>
  <c r="X33" i="5"/>
  <c r="J60" i="4"/>
  <c r="X60" i="4"/>
  <c r="J5" i="4"/>
  <c r="X5" i="4"/>
  <c r="J23" i="3"/>
  <c r="X23" i="3"/>
  <c r="J26" i="3"/>
  <c r="X26" i="3"/>
  <c r="J81" i="4"/>
  <c r="X81" i="4"/>
  <c r="I64" i="6"/>
  <c r="W64" i="6"/>
  <c r="X30" i="5"/>
  <c r="I98" i="6"/>
  <c r="W98" i="6"/>
  <c r="X97" i="5"/>
  <c r="X53" i="5"/>
  <c r="J75" i="3"/>
  <c r="X75" i="3"/>
  <c r="J34" i="4"/>
  <c r="X34" i="4"/>
  <c r="J30" i="3"/>
  <c r="X30" i="3"/>
  <c r="J51" i="3"/>
  <c r="X51" i="3"/>
  <c r="J19" i="4"/>
  <c r="X19" i="4"/>
  <c r="J98" i="3"/>
  <c r="X98" i="3"/>
  <c r="J3" i="4"/>
  <c r="X3" i="4"/>
  <c r="X39" i="5"/>
  <c r="X77" i="5"/>
  <c r="J14" i="4"/>
  <c r="X14" i="4"/>
  <c r="J100" i="4"/>
  <c r="X100" i="4"/>
  <c r="X48" i="5"/>
  <c r="J44" i="3"/>
  <c r="X44" i="3"/>
  <c r="J21" i="3"/>
  <c r="X21" i="3"/>
  <c r="J104" i="4"/>
  <c r="X104" i="4"/>
  <c r="J58" i="4"/>
  <c r="X58" i="4"/>
  <c r="J104" i="3"/>
  <c r="X104" i="3"/>
  <c r="I41" i="6"/>
  <c r="W41" i="6"/>
  <c r="J45" i="3"/>
  <c r="X45" i="3"/>
  <c r="J36" i="3"/>
  <c r="X36" i="3"/>
  <c r="P9" i="17" l="1"/>
  <c r="S9" i="17"/>
  <c r="T9" i="17" s="1"/>
  <c r="P8" i="17"/>
  <c r="S8" i="17"/>
  <c r="C13" i="17"/>
  <c r="O13" i="17" s="1"/>
  <c r="P13" i="17" s="1"/>
  <c r="O15" i="17"/>
  <c r="U4" i="17" l="1"/>
  <c r="Q4" i="17" s="1"/>
  <c r="T8" i="1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<sst xmlns="http://schemas.openxmlformats.org/spreadsheetml/2006/main" count="2170" uniqueCount="462">
  <si>
    <t>9490310077</t>
  </si>
  <si>
    <t>3390311256</t>
  </si>
  <si>
    <t>2380314986</t>
  </si>
  <si>
    <t>0140310490</t>
  </si>
  <si>
    <t>2310311260</t>
  </si>
  <si>
    <t>0140311624</t>
  </si>
  <si>
    <t>2390311378</t>
  </si>
  <si>
    <t>2380314459</t>
  </si>
  <si>
    <t>2430314735</t>
  </si>
  <si>
    <t>2160314679</t>
  </si>
  <si>
    <t>2460314961</t>
  </si>
  <si>
    <t>2200309916</t>
  </si>
  <si>
    <t>2410310083</t>
  </si>
  <si>
    <t>2200310076</t>
  </si>
  <si>
    <t>9490310566</t>
  </si>
  <si>
    <t>2370310973</t>
  </si>
  <si>
    <t>2390311420</t>
  </si>
  <si>
    <t>2410311257</t>
  </si>
  <si>
    <t>0140311323</t>
  </si>
  <si>
    <t>0140311324</t>
  </si>
  <si>
    <t>3390311422</t>
  </si>
  <si>
    <t>2390311424</t>
  </si>
  <si>
    <t>3390311425</t>
  </si>
  <si>
    <t>3390311610</t>
  </si>
  <si>
    <t>2390311662</t>
  </si>
  <si>
    <t>2390311663</t>
  </si>
  <si>
    <t>0140311629</t>
  </si>
  <si>
    <t>0140311628</t>
  </si>
  <si>
    <t>2380311664</t>
  </si>
  <si>
    <t>2380311666</t>
  </si>
  <si>
    <t>2390311695</t>
  </si>
  <si>
    <t>3390311696</t>
  </si>
  <si>
    <t>3390311946</t>
  </si>
  <si>
    <t>2200311941</t>
  </si>
  <si>
    <t>3390311948</t>
  </si>
  <si>
    <t>2390311962</t>
  </si>
  <si>
    <t>2390312218</t>
  </si>
  <si>
    <t>3390312282</t>
  </si>
  <si>
    <t>2370312246</t>
  </si>
  <si>
    <t>2390312437</t>
  </si>
  <si>
    <t>2410312329</t>
  </si>
  <si>
    <t>2390312439</t>
  </si>
  <si>
    <t>3390312440</t>
  </si>
  <si>
    <t>3390312441</t>
  </si>
  <si>
    <t>2390312543</t>
  </si>
  <si>
    <t>3390312548</t>
  </si>
  <si>
    <t>3390312613</t>
  </si>
  <si>
    <t>3390312801</t>
  </si>
  <si>
    <t>3390312968</t>
  </si>
  <si>
    <t>2390313180</t>
  </si>
  <si>
    <t>2390313181</t>
  </si>
  <si>
    <t>2410313985</t>
  </si>
  <si>
    <t>3390313207</t>
  </si>
  <si>
    <t>3390314186</t>
  </si>
  <si>
    <t>3390314204</t>
  </si>
  <si>
    <t>3390314383</t>
  </si>
  <si>
    <t>2390314474</t>
  </si>
  <si>
    <t>2430314512</t>
  </si>
  <si>
    <t>2430314519</t>
  </si>
  <si>
    <t>2160314962</t>
  </si>
  <si>
    <t>2390314387</t>
  </si>
  <si>
    <t>0140311670</t>
  </si>
  <si>
    <t>3390314928</t>
  </si>
  <si>
    <t>2160315158</t>
  </si>
  <si>
    <t>2160315496</t>
  </si>
  <si>
    <t>2380314983</t>
  </si>
  <si>
    <t>2560315042</t>
  </si>
  <si>
    <t>0140311327</t>
  </si>
  <si>
    <t>2380315163</t>
  </si>
  <si>
    <t>2390314453</t>
  </si>
  <si>
    <t>2430315156</t>
  </si>
  <si>
    <t>2430315185</t>
  </si>
  <si>
    <t>2430315186</t>
  </si>
  <si>
    <t>0140315201</t>
  </si>
  <si>
    <t>3390315408</t>
  </si>
  <si>
    <t>3390315402</t>
  </si>
  <si>
    <t>9490315684</t>
  </si>
  <si>
    <t>3390315155</t>
  </si>
  <si>
    <t>2430315335</t>
  </si>
  <si>
    <t>2430315343</t>
  </si>
  <si>
    <t>2430315345</t>
  </si>
  <si>
    <t>2310315481</t>
  </si>
  <si>
    <t>2160315608</t>
  </si>
  <si>
    <t>3390315433</t>
  </si>
  <si>
    <t>2430315571</t>
  </si>
  <si>
    <t>2430315568</t>
  </si>
  <si>
    <t>2430315569</t>
  </si>
  <si>
    <t>2160315824</t>
  </si>
  <si>
    <t>2430315807</t>
  </si>
  <si>
    <t>2430315570</t>
  </si>
  <si>
    <t>2390315855</t>
  </si>
  <si>
    <t>2390311944</t>
  </si>
  <si>
    <t>2410311259</t>
  </si>
  <si>
    <t>Manindra Nath Barman</t>
  </si>
  <si>
    <t>Sk Md Abul Hasan</t>
  </si>
  <si>
    <t>Santanu Bera</t>
  </si>
  <si>
    <t>Sunil Biswas</t>
  </si>
  <si>
    <t>Chandi Charan Mahato</t>
  </si>
  <si>
    <t>Shyamalesh Sarkar</t>
  </si>
  <si>
    <t>Avi Sk</t>
  </si>
  <si>
    <t>Rajiul Momin</t>
  </si>
  <si>
    <t>Pijush Singha</t>
  </si>
  <si>
    <t>Rajendra Kumar Bapari</t>
  </si>
  <si>
    <t>Sanjoy Paul</t>
  </si>
  <si>
    <t>Buxa Forest Craja</t>
  </si>
  <si>
    <t>Mayapur</t>
  </si>
  <si>
    <t>Contai</t>
  </si>
  <si>
    <t>Mangaldihi</t>
  </si>
  <si>
    <t>Maynaguri</t>
  </si>
  <si>
    <t>Koytha</t>
  </si>
  <si>
    <t>Khirpai</t>
  </si>
  <si>
    <t>Hridaypur</t>
  </si>
  <si>
    <t>Patrasayer</t>
  </si>
  <si>
    <t>Anara</t>
  </si>
  <si>
    <t>Sagardighi Square</t>
  </si>
  <si>
    <t>Talgachi</t>
  </si>
  <si>
    <t>Damanpur</t>
  </si>
  <si>
    <t>Kaluari</t>
  </si>
  <si>
    <t>Palaschabrighat</t>
  </si>
  <si>
    <t>Jajigram</t>
  </si>
  <si>
    <t>Paikar</t>
  </si>
  <si>
    <t>Kalipur</t>
  </si>
  <si>
    <t>Jara</t>
  </si>
  <si>
    <t>Ramjibanpur</t>
  </si>
  <si>
    <t>Rajhati</t>
  </si>
  <si>
    <t>Ghatal</t>
  </si>
  <si>
    <t>Kapista</t>
  </si>
  <si>
    <t>Parsundi</t>
  </si>
  <si>
    <t>Keshapat</t>
  </si>
  <si>
    <t>Jhargram</t>
  </si>
  <si>
    <t>Saidpur</t>
  </si>
  <si>
    <t>Dhanyaghori</t>
  </si>
  <si>
    <t>Batanal</t>
  </si>
  <si>
    <t>Binpur</t>
  </si>
  <si>
    <t>Guiadaha</t>
  </si>
  <si>
    <t>Dasghara</t>
  </si>
  <si>
    <t>Inyathpur</t>
  </si>
  <si>
    <t>Bhairabpur</t>
  </si>
  <si>
    <t>Nabagram</t>
  </si>
  <si>
    <t>Banka</t>
  </si>
  <si>
    <t>Kamarpara</t>
  </si>
  <si>
    <t>Sahapur</t>
  </si>
  <si>
    <t>Haripal</t>
  </si>
  <si>
    <t>Khanakul</t>
  </si>
  <si>
    <t>Chandrakona</t>
  </si>
  <si>
    <t>Dhuliyan</t>
  </si>
  <si>
    <t>Arambagh</t>
  </si>
  <si>
    <t>Rajbalhat</t>
  </si>
  <si>
    <t>Jirat</t>
  </si>
  <si>
    <t>Tamluk</t>
  </si>
  <si>
    <t>Ranaghat</t>
  </si>
  <si>
    <t>Jhantipahari</t>
  </si>
  <si>
    <t>Nayabasat</t>
  </si>
  <si>
    <t>Patuli</t>
  </si>
  <si>
    <t>Layekbandh</t>
  </si>
  <si>
    <t>Raiganj</t>
  </si>
  <si>
    <t>Lohapur</t>
  </si>
  <si>
    <t>Kolaghat (Ktpps)</t>
  </si>
  <si>
    <t>Santipur</t>
  </si>
  <si>
    <t>Badkulla</t>
  </si>
  <si>
    <t>Dharampur</t>
  </si>
  <si>
    <t>Kushodanga</t>
  </si>
  <si>
    <t>Chakdaha</t>
  </si>
  <si>
    <t>Haringhata</t>
  </si>
  <si>
    <t>Barobisha</t>
  </si>
  <si>
    <t>Kotulpur</t>
  </si>
  <si>
    <t>Polba</t>
  </si>
  <si>
    <t>Hidaypur</t>
  </si>
  <si>
    <t>Kharar</t>
  </si>
  <si>
    <t>Pankaj Tiwari</t>
  </si>
  <si>
    <t>Falguni Samanta</t>
  </si>
  <si>
    <t>Sulekha Das</t>
  </si>
  <si>
    <t>Sk Khairul Hossain</t>
  </si>
  <si>
    <t>Biswajit Roy</t>
  </si>
  <si>
    <t>Tamarul Sk</t>
  </si>
  <si>
    <t>Sk Abbas Ali</t>
  </si>
  <si>
    <t>Narayan Ojha</t>
  </si>
  <si>
    <t>Saiful Sekh</t>
  </si>
  <si>
    <t>Satish Ankure</t>
  </si>
  <si>
    <t>Biswajit Majee</t>
  </si>
  <si>
    <t>Ajit Modak</t>
  </si>
  <si>
    <t>Giridhari Sarkar</t>
  </si>
  <si>
    <t>Rajani Roy</t>
  </si>
  <si>
    <t>Biplab Barman</t>
  </si>
  <si>
    <t>Masidur Rahaman</t>
  </si>
  <si>
    <t>Asima Bhunia</t>
  </si>
  <si>
    <t>Shobhan Majhi</t>
  </si>
  <si>
    <t>Mosaraf Sk</t>
  </si>
  <si>
    <t>Saheb Sk</t>
  </si>
  <si>
    <t>Satyajit Chattopadhyay</t>
  </si>
  <si>
    <t>Priyanka Biswas</t>
  </si>
  <si>
    <t>Abhijit Modak</t>
  </si>
  <si>
    <t>Arnnapurna Maji</t>
  </si>
  <si>
    <t>Chandan Satik</t>
  </si>
  <si>
    <t>Mita Samanta</t>
  </si>
  <si>
    <t>Swarup Karmakar</t>
  </si>
  <si>
    <t>Parimal Das</t>
  </si>
  <si>
    <t>Subhankar Samanta</t>
  </si>
  <si>
    <t>Kartik Maity</t>
  </si>
  <si>
    <t>Sk Imran</t>
  </si>
  <si>
    <t>Puja Manna</t>
  </si>
  <si>
    <t>Pratik Chakraborty</t>
  </si>
  <si>
    <t xml:space="preserve">Khurshid Alom </t>
  </si>
  <si>
    <t>Chaitali Shit Malik</t>
  </si>
  <si>
    <t>Debika Singha Patra</t>
  </si>
  <si>
    <t>Munmun Chakraborty</t>
  </si>
  <si>
    <t>Sabir Amed</t>
  </si>
  <si>
    <t>Tumpa Poddar</t>
  </si>
  <si>
    <t>Srabani Chatterjee</t>
  </si>
  <si>
    <t>Sahabuddin Ahmed</t>
  </si>
  <si>
    <t>Shampa Mandal</t>
  </si>
  <si>
    <t>Mithu Ghosh</t>
  </si>
  <si>
    <t>Md Mustakim</t>
  </si>
  <si>
    <t>Subhajit Chanda</t>
  </si>
  <si>
    <t>Bishal Maity</t>
  </si>
  <si>
    <t>Sk Nasim Ali</t>
  </si>
  <si>
    <t>Sahanaj Parvin</t>
  </si>
  <si>
    <t>Susobhan Patra</t>
  </si>
  <si>
    <t>Mani Dhara</t>
  </si>
  <si>
    <t>Ananya Maity Bag</t>
  </si>
  <si>
    <t>Md Asraful Hoque</t>
  </si>
  <si>
    <t>Sk Momin Uddin</t>
  </si>
  <si>
    <t>Dibyendu Bhowmick</t>
  </si>
  <si>
    <t>Sahadeb Chakraborty</t>
  </si>
  <si>
    <t>Santanu Ghosh</t>
  </si>
  <si>
    <t>Soumen Baichar</t>
  </si>
  <si>
    <t>Injamul Rahaman</t>
  </si>
  <si>
    <t>Sagari Ghosh</t>
  </si>
  <si>
    <t>Asish Kumar Mandal</t>
  </si>
  <si>
    <t>Soumya Ghosh</t>
  </si>
  <si>
    <t>Ruma Bagdi</t>
  </si>
  <si>
    <t>Satyajit Kar</t>
  </si>
  <si>
    <t>Debasis Dey</t>
  </si>
  <si>
    <t xml:space="preserve">Manorama Chakraborty Roy </t>
  </si>
  <si>
    <t>Subhankar Sahoo</t>
  </si>
  <si>
    <t>Joydev Das</t>
  </si>
  <si>
    <t>Suraj Fulmali</t>
  </si>
  <si>
    <t>Sudipta Mandal</t>
  </si>
  <si>
    <t>Reshma Khatun</t>
  </si>
  <si>
    <t>Sahabul Mandal</t>
  </si>
  <si>
    <t>Amit Sikder</t>
  </si>
  <si>
    <t>Swapan Kumar Biswas</t>
  </si>
  <si>
    <t>Md Zulfikar Ali</t>
  </si>
  <si>
    <t>Priti Das</t>
  </si>
  <si>
    <t>Rumpa Pal Mondal</t>
  </si>
  <si>
    <t xml:space="preserve">Md Khalique Ansari </t>
  </si>
  <si>
    <t xml:space="preserve">Mahadeb Das </t>
  </si>
  <si>
    <t>Najmira Khatun</t>
  </si>
  <si>
    <t>Kiran Biswas</t>
  </si>
  <si>
    <t>Eyakub Mondal</t>
  </si>
  <si>
    <t>Md Akimuzzaman</t>
  </si>
  <si>
    <t>Sayan Dutta</t>
  </si>
  <si>
    <t>Arindam Sadhukhan</t>
  </si>
  <si>
    <t>Akramul Shaikh</t>
  </si>
  <si>
    <t>Kishore Bhakta</t>
  </si>
  <si>
    <t>Dipanwita Das</t>
  </si>
  <si>
    <t>Sankar Arya</t>
  </si>
  <si>
    <t>Bula Karmakar</t>
  </si>
  <si>
    <t>Asim Halder</t>
  </si>
  <si>
    <t>Partha Dey</t>
  </si>
  <si>
    <t>Mousumi Chanda Dey</t>
  </si>
  <si>
    <t>Pinki Ghosh</t>
  </si>
  <si>
    <t>Habibur Rahaman</t>
  </si>
  <si>
    <t>Branch Name</t>
  </si>
  <si>
    <t>DC Name</t>
  </si>
  <si>
    <t>CSP Name</t>
  </si>
  <si>
    <t>Device ID</t>
  </si>
  <si>
    <t>KO Code</t>
  </si>
  <si>
    <t>Month</t>
  </si>
  <si>
    <t>Total</t>
  </si>
  <si>
    <t>Average</t>
  </si>
  <si>
    <t>Status</t>
  </si>
  <si>
    <t>ZO Name</t>
  </si>
  <si>
    <t>Total Comm</t>
  </si>
  <si>
    <t>Inactive</t>
  </si>
  <si>
    <t>Active</t>
  </si>
  <si>
    <t>Hooghly</t>
  </si>
  <si>
    <t>Siliguri</t>
  </si>
  <si>
    <t>Durgapur</t>
  </si>
  <si>
    <t>Sl No</t>
  </si>
  <si>
    <t>Target</t>
  </si>
  <si>
    <t>Total Account</t>
  </si>
  <si>
    <t>% of Achievement</t>
  </si>
  <si>
    <t>Grand Total</t>
  </si>
  <si>
    <t>Total APY</t>
  </si>
  <si>
    <t>Total PMJJBY</t>
  </si>
  <si>
    <t>Total PMSBY</t>
  </si>
  <si>
    <t>Total Code</t>
  </si>
  <si>
    <r>
      <t xml:space="preserve">ACCOUNT: DC Wise Summary FY 2026-27 </t>
    </r>
    <r>
      <rPr>
        <b/>
        <i/>
        <sz val="11"/>
        <color rgb="FFFF0000"/>
        <rFont val="Calibri"/>
        <family val="2"/>
        <scheme val="minor"/>
      </rPr>
      <t>(UCO Bank)</t>
    </r>
  </si>
  <si>
    <t>Row Labels</t>
  </si>
  <si>
    <t>Sum of Target</t>
  </si>
  <si>
    <t>Sum of Apr-26</t>
  </si>
  <si>
    <t>Sum of May-26</t>
  </si>
  <si>
    <t>Sum of Jun-26</t>
  </si>
  <si>
    <t>Sum of Jul-26</t>
  </si>
  <si>
    <t>Sum of Aug-26</t>
  </si>
  <si>
    <t>Sum of Sep-26</t>
  </si>
  <si>
    <t>Sum of Oct-26</t>
  </si>
  <si>
    <t>Sum of Nov-26</t>
  </si>
  <si>
    <t>Sum of Dec-26</t>
  </si>
  <si>
    <t>Sum of Jan-27</t>
  </si>
  <si>
    <t>Sum of Feb-27</t>
  </si>
  <si>
    <t>Sum of Mar-27</t>
  </si>
  <si>
    <t>Sum of Total Comm</t>
  </si>
  <si>
    <t>Count of Apr-26</t>
  </si>
  <si>
    <t>Count of May-26</t>
  </si>
  <si>
    <t>Count of Jun-26</t>
  </si>
  <si>
    <t>Count of Jul-26</t>
  </si>
  <si>
    <t>Count of Aug-26</t>
  </si>
  <si>
    <t>Count of Sep-26</t>
  </si>
  <si>
    <t>Count of Oct-26</t>
  </si>
  <si>
    <t>Count of Nov-26</t>
  </si>
  <si>
    <t>Count of Dec-26</t>
  </si>
  <si>
    <t>Count of Jan-27</t>
  </si>
  <si>
    <t>Count of Feb-27</t>
  </si>
  <si>
    <t>Count of Mar-27</t>
  </si>
  <si>
    <t>Total AC</t>
  </si>
  <si>
    <t>Total JJBY</t>
  </si>
  <si>
    <t>Total SBY</t>
  </si>
  <si>
    <t>Sum of Total APY</t>
  </si>
  <si>
    <r>
      <t xml:space="preserve">APY: DC Wise Summary FY 2026-27 </t>
    </r>
    <r>
      <rPr>
        <b/>
        <i/>
        <sz val="11"/>
        <color rgb="FFFF0000"/>
        <rFont val="Calibri"/>
        <family val="2"/>
        <scheme val="minor"/>
      </rPr>
      <t>(UCO Bank)</t>
    </r>
  </si>
  <si>
    <r>
      <t xml:space="preserve">PMJJBY: DC Wise Summary FY 2026-27 </t>
    </r>
    <r>
      <rPr>
        <b/>
        <i/>
        <sz val="11"/>
        <color rgb="FFFF0000"/>
        <rFont val="Calibri"/>
        <family val="2"/>
        <scheme val="minor"/>
      </rPr>
      <t>(UCO Bank)</t>
    </r>
  </si>
  <si>
    <t>Sum of Total JJBY</t>
  </si>
  <si>
    <r>
      <t xml:space="preserve">PMSBY: DC Wise Summary FY 2026-27 </t>
    </r>
    <r>
      <rPr>
        <b/>
        <i/>
        <sz val="11"/>
        <color rgb="FFFF0000"/>
        <rFont val="Calibri"/>
        <family val="2"/>
        <scheme val="minor"/>
      </rPr>
      <t>(UCO Bank)</t>
    </r>
  </si>
  <si>
    <t>Sum of Total SBY</t>
  </si>
  <si>
    <r>
      <t xml:space="preserve">COMMISSION: DC Wise Summary FY 2026-27 </t>
    </r>
    <r>
      <rPr>
        <b/>
        <i/>
        <sz val="11"/>
        <color rgb="FFFF0000"/>
        <rFont val="Calibri"/>
        <family val="2"/>
        <scheme val="minor"/>
      </rPr>
      <t>(UCO Bank)</t>
    </r>
  </si>
  <si>
    <t>Column Labels</t>
  </si>
  <si>
    <t>Count of KO Code</t>
  </si>
  <si>
    <t>Average Comm</t>
  </si>
  <si>
    <t>Total TXN</t>
  </si>
  <si>
    <t>Code</t>
  </si>
  <si>
    <r>
      <t xml:space="preserve">TRANSACTION: DC Wise Summary FY 2026-27 </t>
    </r>
    <r>
      <rPr>
        <b/>
        <i/>
        <sz val="11"/>
        <color rgb="FFFF0000"/>
        <rFont val="Calibri"/>
        <family val="2"/>
        <scheme val="minor"/>
      </rPr>
      <t>(UCO Bank)</t>
    </r>
  </si>
  <si>
    <t>APY</t>
  </si>
  <si>
    <t>Enroll</t>
  </si>
  <si>
    <t>Participants</t>
  </si>
  <si>
    <t>Non Participants</t>
  </si>
  <si>
    <t>PMJJBY</t>
  </si>
  <si>
    <t>PMSBY</t>
  </si>
  <si>
    <t>ACCOUNT</t>
  </si>
  <si>
    <t>Count of Total APY</t>
  </si>
  <si>
    <t>Count of Total JJBY</t>
  </si>
  <si>
    <t>Count of Total SBY</t>
  </si>
  <si>
    <t>Sum of Total AC</t>
  </si>
  <si>
    <t>Count of Total AC</t>
  </si>
  <si>
    <t>Category --------------&gt;</t>
  </si>
  <si>
    <t>Under Office (Birbhum)</t>
  </si>
  <si>
    <t>FY 2025-26</t>
  </si>
  <si>
    <t>Category</t>
  </si>
  <si>
    <t>PMJDY AC</t>
  </si>
  <si>
    <t>Commission</t>
  </si>
  <si>
    <t>Sagarpara</t>
  </si>
  <si>
    <t>Kankabati</t>
  </si>
  <si>
    <t>Panskura</t>
  </si>
  <si>
    <t>Kanupur</t>
  </si>
  <si>
    <t>Age of CSP</t>
  </si>
  <si>
    <t>Code Creation</t>
  </si>
  <si>
    <t>Currrent Date</t>
  </si>
  <si>
    <t>Age</t>
  </si>
  <si>
    <t>2200315639</t>
  </si>
  <si>
    <t>FY 2024-25</t>
  </si>
  <si>
    <t>Transaction</t>
  </si>
  <si>
    <t>Daily LogIn</t>
  </si>
  <si>
    <t>UCO BC AGENT BUSINESS SUMMARY</t>
  </si>
  <si>
    <t>Nill</t>
  </si>
  <si>
    <t>&lt; 150</t>
  </si>
  <si>
    <t>&gt; 150</t>
  </si>
  <si>
    <t>&gt; 1500</t>
  </si>
  <si>
    <t>&gt; 2000</t>
  </si>
  <si>
    <t>&gt; 300</t>
  </si>
  <si>
    <t>&gt; 450</t>
  </si>
  <si>
    <t>&gt; 600</t>
  </si>
  <si>
    <t>&gt; 900</t>
  </si>
  <si>
    <t>Total txn</t>
  </si>
  <si>
    <t>Sum of Total txn</t>
  </si>
  <si>
    <t>TXN Category</t>
  </si>
  <si>
    <t>Nitish Mondal</t>
  </si>
  <si>
    <t>Suman Ghosh</t>
  </si>
  <si>
    <t>Virendra Narayan Nag</t>
  </si>
  <si>
    <t>Prasanta Ghorai</t>
  </si>
  <si>
    <t>Per Day Average TXN</t>
  </si>
  <si>
    <t>%</t>
  </si>
  <si>
    <t>Performance</t>
  </si>
  <si>
    <t>Gap</t>
  </si>
  <si>
    <t>Overall Performance</t>
  </si>
  <si>
    <t>Durgapur Total</t>
  </si>
  <si>
    <t>Hooghly Total</t>
  </si>
  <si>
    <t>Siliguri Total</t>
  </si>
  <si>
    <t>Account</t>
  </si>
  <si>
    <t>JJBY</t>
  </si>
  <si>
    <t>SBY</t>
  </si>
  <si>
    <t>AC</t>
  </si>
  <si>
    <t>Total --&gt;</t>
  </si>
  <si>
    <t>Active Code</t>
  </si>
  <si>
    <t>UCO Bank: Performance Summarized FY 2026-27</t>
  </si>
  <si>
    <t>till  -</t>
  </si>
  <si>
    <t>Inactive Code</t>
  </si>
  <si>
    <t>8116659114</t>
  </si>
  <si>
    <t>8942919438</t>
  </si>
  <si>
    <t>8967601707</t>
  </si>
  <si>
    <t>9635383167</t>
  </si>
  <si>
    <t>Agent Code</t>
  </si>
  <si>
    <t>Enrolled</t>
  </si>
  <si>
    <t>Rank</t>
  </si>
  <si>
    <r>
      <t xml:space="preserve">PMJDY AC: </t>
    </r>
    <r>
      <rPr>
        <b/>
        <i/>
        <sz val="11"/>
        <color rgb="FFFF0000"/>
        <rFont val="Calibri"/>
        <family val="2"/>
        <scheme val="minor"/>
      </rPr>
      <t>Monthly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  <scheme val="minor"/>
      </rPr>
      <t>Best Performer CSPs of UCO Bank</t>
    </r>
  </si>
  <si>
    <r>
      <t xml:space="preserve">APY: </t>
    </r>
    <r>
      <rPr>
        <b/>
        <i/>
        <sz val="11"/>
        <color rgb="FFFF0000"/>
        <rFont val="Calibri"/>
        <family val="2"/>
        <scheme val="minor"/>
      </rPr>
      <t>Monthly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  <scheme val="minor"/>
      </rPr>
      <t>Best Performer CSPs of UCO Bank</t>
    </r>
  </si>
  <si>
    <r>
      <t xml:space="preserve">PMJJBY: </t>
    </r>
    <r>
      <rPr>
        <b/>
        <i/>
        <sz val="11"/>
        <color rgb="FFFF0000"/>
        <rFont val="Calibri"/>
        <family val="2"/>
        <scheme val="minor"/>
      </rPr>
      <t>Monthly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  <scheme val="minor"/>
      </rPr>
      <t>Best Performer CSPs of UCO Bank</t>
    </r>
  </si>
  <si>
    <r>
      <t xml:space="preserve">PMSBY: </t>
    </r>
    <r>
      <rPr>
        <b/>
        <i/>
        <sz val="11"/>
        <color rgb="FFFF0000"/>
        <rFont val="Calibri"/>
        <family val="2"/>
        <scheme val="minor"/>
      </rPr>
      <t>Monthly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  <scheme val="minor"/>
      </rPr>
      <t>Best Performer CSPs of UCO Bank</t>
    </r>
  </si>
  <si>
    <t>District</t>
  </si>
  <si>
    <t>Cooch Behar</t>
  </si>
  <si>
    <t>Nadia</t>
  </si>
  <si>
    <t>Bankura</t>
  </si>
  <si>
    <t>1st
Quarter</t>
  </si>
  <si>
    <t>Paschim Medinipur</t>
  </si>
  <si>
    <t>Alipurduar</t>
  </si>
  <si>
    <r>
      <t xml:space="preserve">PMJDY AC: </t>
    </r>
    <r>
      <rPr>
        <b/>
        <i/>
        <sz val="11"/>
        <color rgb="FFFF0000"/>
        <rFont val="Calibri"/>
        <family val="2"/>
        <scheme val="minor"/>
      </rPr>
      <t>Quarterly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  <scheme val="minor"/>
      </rPr>
      <t>Best Performer CSPs of UCO Bank</t>
    </r>
  </si>
  <si>
    <r>
      <t xml:space="preserve">PMJJBY: </t>
    </r>
    <r>
      <rPr>
        <b/>
        <i/>
        <sz val="11"/>
        <color rgb="FFFF0000"/>
        <rFont val="Calibri"/>
        <family val="2"/>
        <scheme val="minor"/>
      </rPr>
      <t>Quarterly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  <scheme val="minor"/>
      </rPr>
      <t>Best Performer CSPs of UCO Bank</t>
    </r>
  </si>
  <si>
    <r>
      <t xml:space="preserve">APY: </t>
    </r>
    <r>
      <rPr>
        <b/>
        <i/>
        <sz val="11"/>
        <color rgb="FFFF0000"/>
        <rFont val="Calibri"/>
        <family val="2"/>
        <scheme val="minor"/>
      </rPr>
      <t>Quarterly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  <scheme val="minor"/>
      </rPr>
      <t>Best Performer CSPs of UCO Bank</t>
    </r>
  </si>
  <si>
    <r>
      <t xml:space="preserve">PMSBY: </t>
    </r>
    <r>
      <rPr>
        <b/>
        <i/>
        <sz val="11"/>
        <color rgb="FFFF0000"/>
        <rFont val="Calibri"/>
        <family val="2"/>
        <scheme val="minor"/>
      </rPr>
      <t>Quarterly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  <scheme val="minor"/>
      </rPr>
      <t>Best Performer CSPs of UCO Bank</t>
    </r>
  </si>
  <si>
    <t>1st</t>
  </si>
  <si>
    <t>2nd</t>
  </si>
  <si>
    <t>3rd</t>
  </si>
  <si>
    <r>
      <t xml:space="preserve">PMJDY AC: </t>
    </r>
    <r>
      <rPr>
        <b/>
        <i/>
        <sz val="11"/>
        <color rgb="FFFF0000"/>
        <rFont val="Calibri"/>
        <family val="2"/>
      </rPr>
      <t>Monthly</t>
    </r>
    <r>
      <rPr>
        <b/>
        <sz val="11"/>
        <color rgb="FFFF0000"/>
        <rFont val="Calibri"/>
        <family val="2"/>
      </rPr>
      <t xml:space="preserve"> </t>
    </r>
    <r>
      <rPr>
        <b/>
        <i/>
        <sz val="11"/>
        <color rgb="FFFF0000"/>
        <rFont val="Calibri"/>
        <family val="2"/>
      </rPr>
      <t>Best Performer Co-ordinator of UCO Bank</t>
    </r>
  </si>
  <si>
    <r>
      <t xml:space="preserve">PMJJBY: </t>
    </r>
    <r>
      <rPr>
        <b/>
        <i/>
        <sz val="11"/>
        <color rgb="FFFF0000"/>
        <rFont val="Calibri"/>
        <family val="2"/>
      </rPr>
      <t>Monthly Best Performer Co-ordinator of UCO Bank</t>
    </r>
  </si>
  <si>
    <r>
      <t xml:space="preserve">APY: </t>
    </r>
    <r>
      <rPr>
        <b/>
        <i/>
        <sz val="11"/>
        <color rgb="FFFF0000"/>
        <rFont val="Calibri"/>
        <family val="2"/>
      </rPr>
      <t>Monthly</t>
    </r>
    <r>
      <rPr>
        <b/>
        <sz val="11"/>
        <color rgb="FFFF0000"/>
        <rFont val="Calibri"/>
        <family val="2"/>
      </rPr>
      <t xml:space="preserve"> </t>
    </r>
    <r>
      <rPr>
        <b/>
        <i/>
        <sz val="11"/>
        <color rgb="FFFF0000"/>
        <rFont val="Calibri"/>
        <family val="2"/>
      </rPr>
      <t>Best Performer District Co-ordinator of UCO Bank</t>
    </r>
  </si>
  <si>
    <r>
      <t xml:space="preserve">PMSBY: </t>
    </r>
    <r>
      <rPr>
        <b/>
        <i/>
        <sz val="11"/>
        <color rgb="FFFF0000"/>
        <rFont val="Calibri"/>
        <family val="2"/>
      </rPr>
      <t>Monthly</t>
    </r>
    <r>
      <rPr>
        <b/>
        <sz val="11"/>
        <color rgb="FFFF0000"/>
        <rFont val="Calibri"/>
        <family val="2"/>
      </rPr>
      <t xml:space="preserve"> </t>
    </r>
    <r>
      <rPr>
        <b/>
        <i/>
        <sz val="11"/>
        <color rgb="FFFF0000"/>
        <rFont val="Calibri"/>
        <family val="2"/>
      </rPr>
      <t>Best Performer District Co-ordinator of UCO Bank</t>
    </r>
  </si>
  <si>
    <r>
      <t xml:space="preserve">APY: </t>
    </r>
    <r>
      <rPr>
        <b/>
        <i/>
        <sz val="11"/>
        <color rgb="FFFF0000"/>
        <rFont val="Calibri"/>
        <family val="2"/>
      </rPr>
      <t>Quarterly</t>
    </r>
    <r>
      <rPr>
        <b/>
        <sz val="11"/>
        <color rgb="FFFF0000"/>
        <rFont val="Calibri"/>
        <family val="2"/>
      </rPr>
      <t xml:space="preserve"> </t>
    </r>
    <r>
      <rPr>
        <b/>
        <i/>
        <sz val="11"/>
        <color rgb="FFFF0000"/>
        <rFont val="Calibri"/>
        <family val="2"/>
      </rPr>
      <t>Best Performer District Co-ordinator of UCO Bank</t>
    </r>
  </si>
  <si>
    <r>
      <t xml:space="preserve">PMSBY: </t>
    </r>
    <r>
      <rPr>
        <b/>
        <i/>
        <sz val="11"/>
        <color rgb="FFFF0000"/>
        <rFont val="Calibri"/>
        <family val="2"/>
      </rPr>
      <t>Quarterly</t>
    </r>
    <r>
      <rPr>
        <b/>
        <sz val="11"/>
        <color rgb="FFFF0000"/>
        <rFont val="Calibri"/>
        <family val="2"/>
      </rPr>
      <t xml:space="preserve"> </t>
    </r>
    <r>
      <rPr>
        <b/>
        <i/>
        <sz val="11"/>
        <color rgb="FFFF0000"/>
        <rFont val="Calibri"/>
        <family val="2"/>
      </rPr>
      <t>Best Performer District Co-ordinator of UCO Bank</t>
    </r>
  </si>
  <si>
    <r>
      <t xml:space="preserve">PMJDY AC: </t>
    </r>
    <r>
      <rPr>
        <b/>
        <i/>
        <sz val="11"/>
        <color rgb="FFFF0000"/>
        <rFont val="Calibri"/>
        <family val="2"/>
      </rPr>
      <t>Quarterly</t>
    </r>
    <r>
      <rPr>
        <b/>
        <sz val="11"/>
        <color rgb="FFFF0000"/>
        <rFont val="Calibri"/>
        <family val="2"/>
      </rPr>
      <t xml:space="preserve"> </t>
    </r>
    <r>
      <rPr>
        <b/>
        <i/>
        <sz val="11"/>
        <color rgb="FFFF0000"/>
        <rFont val="Calibri"/>
        <family val="2"/>
      </rPr>
      <t>Best Performer Co-ordinator of UCO Bank</t>
    </r>
  </si>
  <si>
    <r>
      <t xml:space="preserve">PMJJBY: </t>
    </r>
    <r>
      <rPr>
        <b/>
        <i/>
        <sz val="11"/>
        <color rgb="FFFF0000"/>
        <rFont val="Calibri"/>
        <family val="2"/>
      </rPr>
      <t>Quarterly</t>
    </r>
    <r>
      <rPr>
        <b/>
        <sz val="11"/>
        <color rgb="FFFF0000"/>
        <rFont val="Calibri"/>
        <family val="2"/>
      </rPr>
      <t xml:space="preserve"> </t>
    </r>
    <r>
      <rPr>
        <b/>
        <i/>
        <sz val="11"/>
        <color rgb="FFFF0000"/>
        <rFont val="Calibri"/>
        <family val="2"/>
      </rPr>
      <t>Best Performer Co-ordinator of UCO Bank</t>
    </r>
  </si>
  <si>
    <t>Prasenjit Ghosh</t>
  </si>
  <si>
    <t>Swarup Sadhu</t>
  </si>
  <si>
    <t>Mangrul</t>
  </si>
  <si>
    <t>#DIV/0!</t>
  </si>
  <si>
    <t>Malda</t>
  </si>
  <si>
    <t>Purba Bardhaman</t>
  </si>
  <si>
    <t>Achieved</t>
  </si>
  <si>
    <t>Monthly Target: AC -30, APY - 15, PMJJBY - 12,  PMSBY - 24</t>
  </si>
  <si>
    <t>West Bengal</t>
  </si>
  <si>
    <r>
      <t xml:space="preserve">ACCOUNT: DC Wise Paticipants Summary FY 2026-27 </t>
    </r>
    <r>
      <rPr>
        <b/>
        <i/>
        <sz val="11"/>
        <color rgb="FFFF0000"/>
        <rFont val="Calibri"/>
        <family val="2"/>
        <scheme val="minor"/>
      </rPr>
      <t>(UCO Bank)</t>
    </r>
  </si>
  <si>
    <r>
      <t xml:space="preserve">APY: DC Wise Paticipants Summary FY 2026-27 </t>
    </r>
    <r>
      <rPr>
        <b/>
        <i/>
        <sz val="11"/>
        <color rgb="FFFF0000"/>
        <rFont val="Calibri"/>
        <family val="2"/>
        <scheme val="minor"/>
      </rPr>
      <t>(UCO Bank)</t>
    </r>
  </si>
  <si>
    <r>
      <t xml:space="preserve">PMJJBY: DC Wise Paticipants Summary FY 2026-27 </t>
    </r>
    <r>
      <rPr>
        <b/>
        <i/>
        <sz val="11"/>
        <color rgb="FFFF0000"/>
        <rFont val="Calibri"/>
        <family val="2"/>
        <scheme val="minor"/>
      </rPr>
      <t>(UCO Bank)</t>
    </r>
  </si>
  <si>
    <r>
      <t xml:space="preserve">PMSBY: DC Wise Paticipants Summary FY 2026-27 </t>
    </r>
    <r>
      <rPr>
        <b/>
        <i/>
        <sz val="11"/>
        <color rgb="FFFF0000"/>
        <rFont val="Calibri"/>
        <family val="2"/>
        <scheme val="minor"/>
      </rPr>
      <t>(UCO Bank)</t>
    </r>
  </si>
  <si>
    <r>
      <t xml:space="preserve">TRANSACTION: DC Wise Paticipants Summary FY 2026-27 </t>
    </r>
    <r>
      <rPr>
        <b/>
        <i/>
        <sz val="11"/>
        <color rgb="FFFF0000"/>
        <rFont val="Calibri"/>
        <family val="2"/>
        <scheme val="minor"/>
      </rPr>
      <t>(UCO Bank)</t>
    </r>
  </si>
  <si>
    <t>Total Count</t>
  </si>
  <si>
    <t>Count of Total Comm</t>
  </si>
  <si>
    <t>8410316172</t>
  </si>
  <si>
    <t>8410316210</t>
  </si>
  <si>
    <t>8410316211</t>
  </si>
  <si>
    <t>Ruma Rana</t>
  </si>
  <si>
    <t>Mousumi Sarkar</t>
  </si>
  <si>
    <t>Saltlake</t>
  </si>
  <si>
    <t>Hingalganj</t>
  </si>
  <si>
    <t>Khairulla Mistri</t>
  </si>
  <si>
    <t>Ethelbari</t>
  </si>
  <si>
    <t>Tarif Baxla</t>
  </si>
  <si>
    <t>Souvik Maity</t>
  </si>
  <si>
    <t xml:space="preserve">Injamul Rahaman </t>
  </si>
  <si>
    <t>Under Office (W Medinipur)</t>
  </si>
  <si>
    <r>
      <t xml:space="preserve">FY 2026-27 </t>
    </r>
    <r>
      <rPr>
        <b/>
        <i/>
        <sz val="11"/>
        <color rgb="FFFF0000"/>
        <rFont val="Calibri"/>
        <family val="2"/>
      </rPr>
      <t>(Report till 06-09-2026)</t>
    </r>
  </si>
  <si>
    <r>
      <rPr>
        <b/>
        <sz val="11"/>
        <color theme="1"/>
        <rFont val="Calibri"/>
        <family val="2"/>
        <scheme val="minor"/>
      </rPr>
      <t>UCO Bank: SSS Report Summary 01-04-2026 to 07-09-2026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i/>
        <sz val="11"/>
        <color rgb="FFFF0000"/>
        <rFont val="Calibri"/>
        <family val="2"/>
        <scheme val="minor"/>
      </rPr>
      <t>(Online report only Sep-26)</t>
    </r>
  </si>
  <si>
    <t>(blank)</t>
  </si>
  <si>
    <t>Count of Total txn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</si>
</sst>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%"/>
    <numFmt numFmtId="166" formatCode="_ * #,##0.0_ ;_ * \-#,##0.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/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0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" fontId="2" fillId="5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7" borderId="1" xfId="1" applyNumberFormat="1" applyFont="1" applyFill="1" applyBorder="1"/>
    <xf numFmtId="164" fontId="0" fillId="8" borderId="1" xfId="1" applyNumberFormat="1" applyFont="1" applyFill="1" applyBorder="1"/>
    <xf numFmtId="164" fontId="0" fillId="8" borderId="1" xfId="0" applyNumberFormat="1" applyFill="1" applyBorder="1"/>
    <xf numFmtId="49" fontId="0" fillId="6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164" fontId="2" fillId="10" borderId="1" xfId="1" applyNumberFormat="1" applyFont="1" applyFill="1" applyBorder="1" applyAlignment="1">
      <alignment horizontal="center" vertical="center"/>
    </xf>
    <xf numFmtId="164" fontId="1" fillId="9" borderId="1" xfId="1" applyNumberFormat="1" applyFont="1" applyFill="1" applyBorder="1" applyAlignment="1">
      <alignment horizontal="center" vertical="center"/>
    </xf>
    <xf numFmtId="164" fontId="2" fillId="11" borderId="1" xfId="1" applyNumberFormat="1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10" fontId="0" fillId="0" borderId="0" xfId="2" applyNumberFormat="1" applyFont="1" applyAlignment="1">
      <alignment vertical="center"/>
    </xf>
    <xf numFmtId="2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65" fontId="0" fillId="0" borderId="0" xfId="0" applyNumberFormat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5" fontId="2" fillId="4" borderId="1" xfId="2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0" fontId="2" fillId="10" borderId="1" xfId="1" applyNumberFormat="1" applyFont="1" applyFill="1" applyBorder="1" applyAlignment="1">
      <alignment horizontal="center" vertical="center"/>
    </xf>
    <xf numFmtId="0" fontId="2" fillId="4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5" fontId="2" fillId="0" borderId="0" xfId="2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1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43" fontId="0" fillId="0" borderId="1" xfId="1" applyFont="1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0" xfId="0" applyNumberFormat="1"/>
    <xf numFmtId="10" fontId="0" fillId="0" borderId="5" xfId="2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64" fontId="0" fillId="9" borderId="9" xfId="1" applyNumberFormat="1" applyFont="1" applyFill="1" applyBorder="1" applyAlignment="1">
      <alignment vertical="center"/>
    </xf>
    <xf numFmtId="164" fontId="2" fillId="4" borderId="9" xfId="0" applyNumberFormat="1" applyFont="1" applyFill="1" applyBorder="1" applyAlignment="1">
      <alignment vertical="center"/>
    </xf>
    <xf numFmtId="17" fontId="5" fillId="10" borderId="10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6" fillId="13" borderId="19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17" fontId="5" fillId="10" borderId="14" xfId="0" applyNumberFormat="1" applyFont="1" applyFill="1" applyBorder="1" applyAlignment="1">
      <alignment horizontal="center" vertical="center"/>
    </xf>
    <xf numFmtId="17" fontId="5" fillId="10" borderId="25" xfId="0" applyNumberFormat="1" applyFont="1" applyFill="1" applyBorder="1" applyAlignment="1">
      <alignment horizontal="center" vertical="center" wrapText="1"/>
    </xf>
    <xf numFmtId="166" fontId="0" fillId="0" borderId="0" xfId="1" applyNumberFormat="1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7" fontId="2" fillId="5" borderId="1" xfId="0" applyNumberFormat="1" applyFont="1" applyFill="1" applyBorder="1" applyAlignment="1">
      <alignment horizontal="center" vertical="center"/>
    </xf>
    <xf numFmtId="164" fontId="2" fillId="16" borderId="1" xfId="1" applyNumberFormat="1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4" fontId="0" fillId="0" borderId="0" xfId="1" applyNumberFormat="1" applyFont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164" fontId="0" fillId="9" borderId="1" xfId="1" applyNumberFormat="1" applyFont="1" applyFill="1" applyBorder="1" applyAlignment="1">
      <alignment vertical="center"/>
    </xf>
    <xf numFmtId="164" fontId="2" fillId="11" borderId="1" xfId="1" applyNumberFormat="1" applyFont="1" applyFill="1" applyBorder="1" applyAlignment="1">
      <alignment vertical="center"/>
    </xf>
    <xf numFmtId="9" fontId="0" fillId="0" borderId="1" xfId="2" applyFont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164" fontId="2" fillId="11" borderId="1" xfId="0" applyNumberFormat="1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0" fillId="3" borderId="1" xfId="0" applyFill="1" applyBorder="1"/>
    <xf numFmtId="49" fontId="0" fillId="3" borderId="1" xfId="0" applyNumberFormat="1" applyFill="1" applyBorder="1"/>
    <xf numFmtId="14" fontId="0" fillId="3" borderId="1" xfId="0" applyNumberFormat="1" applyFill="1" applyBorder="1"/>
    <xf numFmtId="166" fontId="0" fillId="3" borderId="1" xfId="1" applyNumberFormat="1" applyFont="1" applyFill="1" applyBorder="1"/>
    <xf numFmtId="0" fontId="0" fillId="4" borderId="1" xfId="0" applyFill="1" applyBorder="1"/>
    <xf numFmtId="49" fontId="0" fillId="4" borderId="1" xfId="0" applyNumberFormat="1" applyFill="1" applyBorder="1"/>
    <xf numFmtId="14" fontId="0" fillId="4" borderId="1" xfId="0" applyNumberFormat="1" applyFill="1" applyBorder="1"/>
    <xf numFmtId="166" fontId="0" fillId="4" borderId="1" xfId="1" applyNumberFormat="1" applyFont="1" applyFill="1" applyBorder="1"/>
    <xf numFmtId="0" fontId="2" fillId="5" borderId="1" xfId="0" applyFont="1" applyFill="1" applyBorder="1"/>
    <xf numFmtId="49" fontId="2" fillId="5" borderId="1" xfId="0" applyNumberFormat="1" applyFont="1" applyFill="1" applyBorder="1"/>
    <xf numFmtId="43" fontId="0" fillId="0" borderId="0" xfId="1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7" borderId="1" xfId="0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6" borderId="50" xfId="0" applyFill="1" applyBorder="1" applyAlignment="1">
      <alignment vertical="center"/>
    </xf>
    <xf numFmtId="0" fontId="0" fillId="6" borderId="50" xfId="0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6" borderId="50" xfId="0" applyFont="1" applyFill="1" applyBorder="1" applyAlignment="1">
      <alignment horizontal="center" vertical="center"/>
    </xf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9" borderId="50" xfId="0" applyFill="1" applyBorder="1" applyAlignment="1">
      <alignment vertical="center"/>
    </xf>
    <xf numFmtId="0" fontId="0" fillId="9" borderId="50" xfId="0" applyFill="1" applyBorder="1" applyAlignment="1">
      <alignment horizontal="center" vertical="center"/>
    </xf>
    <xf numFmtId="0" fontId="2" fillId="9" borderId="50" xfId="0" applyFont="1" applyFill="1" applyBorder="1" applyAlignment="1">
      <alignment horizontal="center" vertical="center"/>
    </xf>
    <xf numFmtId="17" fontId="0" fillId="9" borderId="58" xfId="0" applyNumberFormat="1" applyFill="1" applyBorder="1" applyAlignment="1">
      <alignment horizontal="left" vertical="center"/>
    </xf>
    <xf numFmtId="17" fontId="0" fillId="9" borderId="1" xfId="0" applyNumberFormat="1" applyFill="1" applyBorder="1" applyAlignment="1">
      <alignment horizontal="left" vertical="center"/>
    </xf>
    <xf numFmtId="17" fontId="0" fillId="9" borderId="59" xfId="0" applyNumberFormat="1" applyFill="1" applyBorder="1" applyAlignment="1">
      <alignment horizontal="left" vertical="center"/>
    </xf>
    <xf numFmtId="0" fontId="10" fillId="5" borderId="52" xfId="0" applyFont="1" applyFill="1" applyBorder="1" applyAlignment="1">
      <alignment horizontal="center" vertical="center" wrapText="1"/>
    </xf>
    <xf numFmtId="0" fontId="10" fillId="5" borderId="57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5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9" borderId="46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51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6" borderId="51" xfId="0" applyFont="1" applyFill="1" applyBorder="1" applyAlignment="1">
      <alignment horizontal="center" vertical="center"/>
    </xf>
    <xf numFmtId="0" fontId="12" fillId="5" borderId="52" xfId="0" applyFont="1" applyFill="1" applyBorder="1" applyAlignment="1">
      <alignment horizontal="center" vertical="center" wrapText="1"/>
    </xf>
    <xf numFmtId="0" fontId="12" fillId="5" borderId="57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5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9" borderId="46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13" fillId="9" borderId="48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3" fillId="9" borderId="51" xfId="0" applyFont="1" applyFill="1" applyBorder="1" applyAlignment="1">
      <alignment horizontal="center" vertical="center"/>
    </xf>
    <xf numFmtId="0" fontId="5" fillId="9" borderId="50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13" fillId="17" borderId="48" xfId="0" applyFont="1" applyFill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0" fontId="13" fillId="6" borderId="51" xfId="0" applyFont="1" applyFill="1" applyBorder="1" applyAlignment="1">
      <alignment horizontal="center" vertical="center"/>
    </xf>
    <xf numFmtId="0" fontId="12" fillId="5" borderId="60" xfId="0" applyFont="1" applyFill="1" applyBorder="1" applyAlignment="1">
      <alignment horizontal="center" vertical="center" wrapText="1"/>
    </xf>
    <xf numFmtId="0" fontId="5" fillId="4" borderId="9" xfId="1" applyNumberFormat="1" applyFont="1" applyFill="1" applyBorder="1" applyAlignment="1">
      <alignment horizontal="center" vertical="center"/>
    </xf>
    <xf numFmtId="0" fontId="5" fillId="17" borderId="1" xfId="1" applyNumberFormat="1" applyFont="1" applyFill="1" applyBorder="1" applyAlignment="1">
      <alignment horizontal="center" vertical="center"/>
    </xf>
    <xf numFmtId="0" fontId="5" fillId="6" borderId="50" xfId="1" applyNumberFormat="1" applyFont="1" applyFill="1" applyBorder="1" applyAlignment="1">
      <alignment horizontal="center" vertical="center"/>
    </xf>
    <xf numFmtId="9" fontId="5" fillId="4" borderId="24" xfId="2" applyFont="1" applyFill="1" applyBorder="1" applyAlignment="1">
      <alignment horizontal="center" vertical="center"/>
    </xf>
    <xf numFmtId="9" fontId="5" fillId="17" borderId="2" xfId="2" applyFont="1" applyFill="1" applyBorder="1" applyAlignment="1">
      <alignment horizontal="center" vertical="center"/>
    </xf>
    <xf numFmtId="9" fontId="5" fillId="6" borderId="61" xfId="2" applyFont="1" applyFill="1" applyBorder="1" applyAlignment="1">
      <alignment horizontal="center" vertical="center"/>
    </xf>
    <xf numFmtId="0" fontId="5" fillId="9" borderId="9" xfId="1" applyNumberFormat="1" applyFont="1" applyFill="1" applyBorder="1" applyAlignment="1">
      <alignment horizontal="center" vertical="center"/>
    </xf>
    <xf numFmtId="9" fontId="5" fillId="9" borderId="24" xfId="2" applyFont="1" applyFill="1" applyBorder="1" applyAlignment="1">
      <alignment horizontal="center" vertical="center"/>
    </xf>
    <xf numFmtId="0" fontId="5" fillId="9" borderId="1" xfId="1" applyNumberFormat="1" applyFont="1" applyFill="1" applyBorder="1" applyAlignment="1">
      <alignment horizontal="center" vertical="center"/>
    </xf>
    <xf numFmtId="9" fontId="5" fillId="9" borderId="2" xfId="2" applyFont="1" applyFill="1" applyBorder="1" applyAlignment="1">
      <alignment horizontal="center" vertical="center"/>
    </xf>
    <xf numFmtId="0" fontId="5" fillId="9" borderId="50" xfId="1" applyNumberFormat="1" applyFont="1" applyFill="1" applyBorder="1" applyAlignment="1">
      <alignment horizontal="center" vertical="center"/>
    </xf>
    <xf numFmtId="9" fontId="5" fillId="9" borderId="61" xfId="2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66" fontId="2" fillId="0" borderId="23" xfId="1" applyNumberFormat="1" applyFont="1" applyFill="1" applyBorder="1" applyAlignment="1">
      <alignment horizontal="center" vertical="center"/>
    </xf>
    <xf numFmtId="17" fontId="5" fillId="10" borderId="62" xfId="0" applyNumberFormat="1" applyFont="1" applyFill="1" applyBorder="1" applyAlignment="1">
      <alignment horizontal="center" vertical="center" wrapText="1"/>
    </xf>
    <xf numFmtId="0" fontId="5" fillId="10" borderId="52" xfId="0" applyFont="1" applyFill="1" applyBorder="1" applyAlignment="1">
      <alignment horizontal="center" vertical="center"/>
    </xf>
    <xf numFmtId="17" fontId="5" fillId="10" borderId="53" xfId="0" applyNumberFormat="1" applyFont="1" applyFill="1" applyBorder="1" applyAlignment="1">
      <alignment horizontal="center" vertical="center" wrapText="1"/>
    </xf>
    <xf numFmtId="0" fontId="2" fillId="14" borderId="64" xfId="0" applyFont="1" applyFill="1" applyBorder="1" applyAlignment="1">
      <alignment horizontal="right" vertical="center"/>
    </xf>
    <xf numFmtId="164" fontId="0" fillId="11" borderId="46" xfId="1" applyNumberFormat="1" applyFont="1" applyFill="1" applyBorder="1" applyAlignment="1">
      <alignment vertical="center"/>
    </xf>
    <xf numFmtId="17" fontId="5" fillId="10" borderId="55" xfId="0" applyNumberFormat="1" applyFont="1" applyFill="1" applyBorder="1" applyAlignment="1">
      <alignment horizontal="center" vertical="center" wrapText="1"/>
    </xf>
    <xf numFmtId="17" fontId="5" fillId="10" borderId="60" xfId="0" applyNumberFormat="1" applyFont="1" applyFill="1" applyBorder="1" applyAlignment="1">
      <alignment horizontal="center" vertical="center" wrapText="1"/>
    </xf>
    <xf numFmtId="0" fontId="5" fillId="10" borderId="45" xfId="0" applyFont="1" applyFill="1" applyBorder="1" applyAlignment="1">
      <alignment horizontal="center" vertical="center"/>
    </xf>
    <xf numFmtId="17" fontId="5" fillId="10" borderId="63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vertical="center"/>
    </xf>
    <xf numFmtId="0" fontId="2" fillId="14" borderId="66" xfId="0" applyFont="1" applyFill="1" applyBorder="1" applyAlignment="1">
      <alignment horizontal="right" vertical="center"/>
    </xf>
    <xf numFmtId="164" fontId="0" fillId="11" borderId="48" xfId="1" applyNumberFormat="1" applyFont="1" applyFill="1" applyBorder="1" applyAlignment="1">
      <alignment vertical="center"/>
    </xf>
    <xf numFmtId="0" fontId="2" fillId="6" borderId="66" xfId="0" applyFont="1" applyFill="1" applyBorder="1" applyAlignment="1">
      <alignment horizontal="right" vertical="center"/>
    </xf>
    <xf numFmtId="0" fontId="2" fillId="14" borderId="67" xfId="0" applyFont="1" applyFill="1" applyBorder="1" applyAlignment="1">
      <alignment horizontal="right" vertical="center"/>
    </xf>
    <xf numFmtId="164" fontId="0" fillId="9" borderId="50" xfId="1" applyNumberFormat="1" applyFont="1" applyFill="1" applyBorder="1" applyAlignment="1">
      <alignment vertical="center"/>
    </xf>
    <xf numFmtId="164" fontId="2" fillId="4" borderId="50" xfId="0" applyNumberFormat="1" applyFont="1" applyFill="1" applyBorder="1" applyAlignment="1">
      <alignment vertical="center"/>
    </xf>
    <xf numFmtId="164" fontId="0" fillId="11" borderId="51" xfId="1" applyNumberFormat="1" applyFont="1" applyFill="1" applyBorder="1" applyAlignment="1">
      <alignment vertical="center"/>
    </xf>
    <xf numFmtId="164" fontId="2" fillId="15" borderId="1" xfId="1" applyNumberFormat="1" applyFont="1" applyFill="1" applyBorder="1" applyAlignment="1">
      <alignment vertical="center"/>
    </xf>
    <xf numFmtId="9" fontId="2" fillId="7" borderId="1" xfId="2" applyFont="1" applyFill="1" applyBorder="1" applyAlignment="1">
      <alignment vertical="center"/>
    </xf>
    <xf numFmtId="164" fontId="2" fillId="3" borderId="64" xfId="1" applyNumberFormat="1" applyFont="1" applyFill="1" applyBorder="1" applyAlignment="1">
      <alignment vertical="center"/>
    </xf>
    <xf numFmtId="164" fontId="2" fillId="15" borderId="9" xfId="1" applyNumberFormat="1" applyFont="1" applyFill="1" applyBorder="1" applyAlignment="1">
      <alignment vertical="center"/>
    </xf>
    <xf numFmtId="9" fontId="2" fillId="7" borderId="9" xfId="2" applyFont="1" applyFill="1" applyBorder="1" applyAlignment="1">
      <alignment vertical="center"/>
    </xf>
    <xf numFmtId="0" fontId="2" fillId="0" borderId="46" xfId="0" applyFont="1" applyBorder="1" applyAlignment="1">
      <alignment vertical="center"/>
    </xf>
    <xf numFmtId="164" fontId="2" fillId="3" borderId="66" xfId="1" applyNumberFormat="1" applyFont="1" applyFill="1" applyBorder="1" applyAlignment="1">
      <alignment vertical="center"/>
    </xf>
    <xf numFmtId="0" fontId="2" fillId="0" borderId="48" xfId="0" applyFont="1" applyBorder="1" applyAlignment="1">
      <alignment vertical="center"/>
    </xf>
    <xf numFmtId="164" fontId="2" fillId="3" borderId="67" xfId="1" applyNumberFormat="1" applyFont="1" applyFill="1" applyBorder="1" applyAlignment="1">
      <alignment vertical="center"/>
    </xf>
    <xf numFmtId="164" fontId="2" fillId="15" borderId="50" xfId="1" applyNumberFormat="1" applyFont="1" applyFill="1" applyBorder="1" applyAlignment="1">
      <alignment vertical="center"/>
    </xf>
    <xf numFmtId="9" fontId="2" fillId="7" borderId="50" xfId="2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14" borderId="68" xfId="0" applyFont="1" applyFill="1" applyBorder="1" applyAlignment="1">
      <alignment horizontal="right" vertical="center"/>
    </xf>
    <xf numFmtId="164" fontId="0" fillId="9" borderId="35" xfId="1" applyNumberFormat="1" applyFont="1" applyFill="1" applyBorder="1" applyAlignment="1">
      <alignment vertical="center"/>
    </xf>
    <xf numFmtId="164" fontId="2" fillId="4" borderId="35" xfId="0" applyNumberFormat="1" applyFont="1" applyFill="1" applyBorder="1" applyAlignment="1">
      <alignment vertical="center"/>
    </xf>
    <xf numFmtId="164" fontId="2" fillId="3" borderId="68" xfId="1" applyNumberFormat="1" applyFont="1" applyFill="1" applyBorder="1" applyAlignment="1">
      <alignment vertical="center"/>
    </xf>
    <xf numFmtId="164" fontId="2" fillId="15" borderId="35" xfId="1" applyNumberFormat="1" applyFont="1" applyFill="1" applyBorder="1" applyAlignment="1">
      <alignment vertical="center"/>
    </xf>
    <xf numFmtId="9" fontId="2" fillId="7" borderId="35" xfId="2" applyFont="1" applyFill="1" applyBorder="1" applyAlignment="1">
      <alignment vertical="center"/>
    </xf>
    <xf numFmtId="0" fontId="2" fillId="0" borderId="69" xfId="0" applyFont="1" applyBorder="1" applyAlignment="1">
      <alignment vertical="center"/>
    </xf>
    <xf numFmtId="0" fontId="2" fillId="6" borderId="70" xfId="0" applyFont="1" applyFill="1" applyBorder="1" applyAlignment="1">
      <alignment horizontal="right" vertical="center"/>
    </xf>
    <xf numFmtId="164" fontId="0" fillId="9" borderId="34" xfId="1" applyNumberFormat="1" applyFont="1" applyFill="1" applyBorder="1" applyAlignment="1">
      <alignment vertical="center"/>
    </xf>
    <xf numFmtId="164" fontId="2" fillId="4" borderId="34" xfId="0" applyNumberFormat="1" applyFont="1" applyFill="1" applyBorder="1" applyAlignment="1">
      <alignment vertical="center"/>
    </xf>
    <xf numFmtId="164" fontId="0" fillId="11" borderId="71" xfId="1" applyNumberFormat="1" applyFont="1" applyFill="1" applyBorder="1" applyAlignment="1">
      <alignment vertical="center"/>
    </xf>
    <xf numFmtId="164" fontId="0" fillId="11" borderId="69" xfId="1" applyNumberFormat="1" applyFont="1" applyFill="1" applyBorder="1" applyAlignment="1">
      <alignment vertical="center"/>
    </xf>
    <xf numFmtId="0" fontId="8" fillId="18" borderId="6" xfId="0" applyFont="1" applyFill="1" applyBorder="1" applyAlignment="1">
      <alignment vertical="center"/>
    </xf>
    <xf numFmtId="0" fontId="8" fillId="18" borderId="5" xfId="0" applyFont="1" applyFill="1" applyBorder="1" applyAlignment="1">
      <alignment vertical="center"/>
    </xf>
    <xf numFmtId="0" fontId="6" fillId="13" borderId="7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8" borderId="34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164" fontId="2" fillId="8" borderId="0" xfId="1" applyNumberFormat="1" applyFont="1" applyFill="1" applyBorder="1" applyAlignment="1">
      <alignment horizontal="center" vertical="center" wrapText="1"/>
    </xf>
    <xf numFmtId="164" fontId="2" fillId="8" borderId="65" xfId="1" applyNumberFormat="1" applyFont="1" applyFill="1" applyBorder="1" applyAlignment="1">
      <alignment horizontal="center" vertical="center" wrapText="1"/>
    </xf>
    <xf numFmtId="164" fontId="2" fillId="8" borderId="22" xfId="1" applyNumberFormat="1" applyFont="1" applyFill="1" applyBorder="1" applyAlignment="1">
      <alignment horizontal="center" vertical="center" wrapText="1"/>
    </xf>
    <xf numFmtId="164" fontId="2" fillId="8" borderId="26" xfId="1" applyNumberFormat="1" applyFont="1" applyFill="1" applyBorder="1" applyAlignment="1">
      <alignment horizontal="center" vertical="center" wrapText="1"/>
    </xf>
    <xf numFmtId="0" fontId="6" fillId="13" borderId="72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6" fillId="13" borderId="73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13" borderId="27" xfId="0" applyFont="1" applyFill="1" applyBorder="1" applyAlignment="1">
      <alignment horizontal="center" vertical="center"/>
    </xf>
    <xf numFmtId="0" fontId="6" fillId="13" borderId="32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6" fillId="13" borderId="31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14" fontId="3" fillId="0" borderId="36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8" borderId="34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 wrapText="1"/>
    </xf>
    <xf numFmtId="0" fontId="2" fillId="8" borderId="3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" fontId="10" fillId="9" borderId="45" xfId="0" applyNumberFormat="1" applyFont="1" applyFill="1" applyBorder="1" applyAlignment="1">
      <alignment horizontal="center" vertical="center"/>
    </xf>
    <xf numFmtId="17" fontId="10" fillId="9" borderId="47" xfId="0" applyNumberFormat="1" applyFont="1" applyFill="1" applyBorder="1" applyAlignment="1">
      <alignment horizontal="center" vertical="center"/>
    </xf>
    <xf numFmtId="17" fontId="10" fillId="9" borderId="49" xfId="0" applyNumberFormat="1" applyFont="1" applyFill="1" applyBorder="1" applyAlignment="1">
      <alignment horizontal="center" vertical="center"/>
    </xf>
    <xf numFmtId="17" fontId="10" fillId="8" borderId="45" xfId="0" applyNumberFormat="1" applyFont="1" applyFill="1" applyBorder="1" applyAlignment="1">
      <alignment horizontal="center" vertical="center" wrapText="1"/>
    </xf>
    <xf numFmtId="17" fontId="10" fillId="8" borderId="47" xfId="0" applyNumberFormat="1" applyFont="1" applyFill="1" applyBorder="1" applyAlignment="1">
      <alignment horizontal="center" vertical="center" wrapText="1"/>
    </xf>
    <xf numFmtId="17" fontId="10" fillId="8" borderId="49" xfId="0" applyNumberFormat="1" applyFont="1" applyFill="1" applyBorder="1" applyAlignment="1">
      <alignment horizontal="center" vertical="center" wrapText="1"/>
    </xf>
    <xf numFmtId="17" fontId="12" fillId="8" borderId="45" xfId="0" applyNumberFormat="1" applyFont="1" applyFill="1" applyBorder="1" applyAlignment="1">
      <alignment horizontal="center" vertical="center" wrapText="1"/>
    </xf>
    <xf numFmtId="17" fontId="12" fillId="8" borderId="47" xfId="0" applyNumberFormat="1" applyFont="1" applyFill="1" applyBorder="1" applyAlignment="1">
      <alignment horizontal="center" vertical="center" wrapText="1"/>
    </xf>
    <xf numFmtId="17" fontId="12" fillId="8" borderId="49" xfId="0" applyNumberFormat="1" applyFont="1" applyFill="1" applyBorder="1" applyAlignment="1">
      <alignment horizontal="center" vertical="center" wrapText="1"/>
    </xf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2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  <dxf>
      <font>
        <b/>
        <i/>
      </font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pivotCacheDefinition" Target="pivotCache/pivotCacheDefinition8.xml"/><Relationship Id="rId47" Type="http://schemas.openxmlformats.org/officeDocument/2006/relationships/sheetMetadata" Target="metadata.xml"/><Relationship Id="rId50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3.xml"/><Relationship Id="rId40" Type="http://schemas.openxmlformats.org/officeDocument/2006/relationships/pivotCacheDefinition" Target="pivotCache/pivotCacheDefinition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49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1.xml"/><Relationship Id="rId43" Type="http://schemas.openxmlformats.org/officeDocument/2006/relationships/pivotCacheDefinition" Target="pivotCache/pivotCacheDefinition9.xml"/><Relationship Id="rId48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pivotCacheDefinition" Target="pivotCache/pivotCacheDefinition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CO%20FY%202025-26/UCO%20YEARLY%20REPORT%20FY%202025-26.xlsx" TargetMode="External"/><Relationship Id="rId2" Type="http://schemas.openxmlformats.org/officeDocument/2006/relationships/externalLinkPath" Target="https://d.docs.live.net/5907097139429d48/Documents/FOR%20CSP/UCO%20BANK/REPORT/UCO%20FY%202025-26/UCO%20YEARLY%20REPORT%20FY%202025-26.xlsx" TargetMode="External"/><Relationship Id="rId1" Type="http://schemas.openxmlformats.org/officeDocument/2006/relationships/externalLinkPath" Target="/5907097139429d48/Documents/FOR%20CSP/UCO%20BANK/REPORT/UCO%20FY%202025-26/UCO%20YEARLY%20REPORT%20FY%202025-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UCO%20FY%202024-25/UCO%20FY%202024-25.xlsx" TargetMode="External"/><Relationship Id="rId2" Type="http://schemas.openxmlformats.org/officeDocument/2006/relationships/externalLinkPath" Target="https://d.docs.live.net/5907097139429d48/Documents/FOR%20CSP/UCO%20BANK/REPORT/UCO%20FY%202024-25/UCO%20FY%202024-25.xlsx" TargetMode="External"/><Relationship Id="rId1" Type="http://schemas.openxmlformats.org/officeDocument/2006/relationships/externalLinkPath" Target="/5907097139429d48/Documents/FOR%20CSP/UCO%20BANK/REPORT/UCO%20FY%202024-25/UCO%20FY%202024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DC EKYC"/>
      <sheetName val="DC APY"/>
      <sheetName val="DC PMJJBY"/>
      <sheetName val="DC PMSBY"/>
      <sheetName val="DC COMM"/>
      <sheetName val="EKYC PIVOT"/>
      <sheetName val="EKYC"/>
      <sheetName val="APY PIVOT"/>
      <sheetName val="PMJJBY PIVOT"/>
      <sheetName val="APY S P"/>
      <sheetName val="APY"/>
      <sheetName val="JJBY S P"/>
      <sheetName val="PMJJBY"/>
      <sheetName val="PMSBY PIVOT"/>
      <sheetName val="SBY S P"/>
      <sheetName val="PMSBY"/>
      <sheetName val="COMM PIVOT"/>
      <sheetName val="COM SP"/>
      <sheetName val="COMM"/>
      <sheetName val="Txn Pivot"/>
      <sheetName val="TXN"/>
      <sheetName val="Log"/>
      <sheetName val="TXN AMT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Code</v>
          </cell>
          <cell r="F1" t="str">
            <v>TXN Category</v>
          </cell>
          <cell r="G1" t="str">
            <v>Month</v>
          </cell>
          <cell r="H1" t="str">
            <v>Target</v>
          </cell>
          <cell r="I1">
            <v>45748</v>
          </cell>
          <cell r="J1">
            <v>45778</v>
          </cell>
          <cell r="K1">
            <v>45809</v>
          </cell>
          <cell r="L1">
            <v>45839</v>
          </cell>
          <cell r="M1">
            <v>45870</v>
          </cell>
          <cell r="N1">
            <v>45901</v>
          </cell>
          <cell r="O1">
            <v>45931</v>
          </cell>
          <cell r="P1">
            <v>45962</v>
          </cell>
          <cell r="Q1">
            <v>45992</v>
          </cell>
          <cell r="R1">
            <v>46023</v>
          </cell>
          <cell r="S1">
            <v>46054</v>
          </cell>
          <cell r="T1">
            <v>46082</v>
          </cell>
          <cell r="U1" t="str">
            <v>Total EKYC</v>
          </cell>
          <cell r="V1" t="str">
            <v>Average</v>
          </cell>
          <cell r="W1" t="str">
            <v>Category</v>
          </cell>
        </row>
        <row r="2">
          <cell r="E2">
            <v>26588</v>
          </cell>
          <cell r="F2" t="str">
            <v>&gt; 300</v>
          </cell>
          <cell r="G2">
            <v>12</v>
          </cell>
          <cell r="H2">
            <v>360</v>
          </cell>
          <cell r="I2">
            <v>37</v>
          </cell>
          <cell r="J2">
            <v>52</v>
          </cell>
          <cell r="K2">
            <v>34</v>
          </cell>
          <cell r="L2">
            <v>70</v>
          </cell>
          <cell r="M2">
            <v>39</v>
          </cell>
          <cell r="N2">
            <v>42</v>
          </cell>
          <cell r="O2">
            <v>40</v>
          </cell>
          <cell r="P2">
            <v>21</v>
          </cell>
          <cell r="Q2">
            <v>50</v>
          </cell>
          <cell r="R2">
            <v>37</v>
          </cell>
          <cell r="S2">
            <v>164</v>
          </cell>
          <cell r="T2">
            <v>36</v>
          </cell>
          <cell r="U2">
            <v>622</v>
          </cell>
          <cell r="V2">
            <v>51.833333333333336</v>
          </cell>
          <cell r="W2" t="str">
            <v>&gt;30</v>
          </cell>
        </row>
        <row r="3">
          <cell r="E3">
            <v>27219</v>
          </cell>
          <cell r="F3" t="str">
            <v>&gt; 300</v>
          </cell>
          <cell r="G3">
            <v>12</v>
          </cell>
          <cell r="H3">
            <v>360</v>
          </cell>
          <cell r="I3">
            <v>30</v>
          </cell>
          <cell r="J3">
            <v>40</v>
          </cell>
          <cell r="K3">
            <v>42</v>
          </cell>
          <cell r="L3">
            <v>13</v>
          </cell>
          <cell r="M3">
            <v>61</v>
          </cell>
          <cell r="N3">
            <v>41</v>
          </cell>
          <cell r="O3">
            <v>48</v>
          </cell>
          <cell r="P3">
            <v>25</v>
          </cell>
          <cell r="Q3">
            <v>82</v>
          </cell>
          <cell r="R3">
            <v>57</v>
          </cell>
          <cell r="S3">
            <v>86</v>
          </cell>
          <cell r="T3">
            <v>59</v>
          </cell>
          <cell r="U3">
            <v>584</v>
          </cell>
          <cell r="V3">
            <v>48.666666666666664</v>
          </cell>
          <cell r="W3" t="str">
            <v>&gt;30</v>
          </cell>
        </row>
        <row r="4">
          <cell r="E4">
            <v>21091</v>
          </cell>
          <cell r="F4" t="str">
            <v>&gt; 150</v>
          </cell>
          <cell r="G4">
            <v>12</v>
          </cell>
          <cell r="H4">
            <v>360</v>
          </cell>
          <cell r="I4">
            <v>43</v>
          </cell>
          <cell r="J4">
            <v>43</v>
          </cell>
          <cell r="K4">
            <v>35</v>
          </cell>
          <cell r="L4">
            <v>46</v>
          </cell>
          <cell r="M4">
            <v>34</v>
          </cell>
          <cell r="N4">
            <v>23</v>
          </cell>
          <cell r="O4">
            <v>19</v>
          </cell>
          <cell r="P4">
            <v>16</v>
          </cell>
          <cell r="Q4">
            <v>42</v>
          </cell>
          <cell r="R4">
            <v>37</v>
          </cell>
          <cell r="S4">
            <v>110</v>
          </cell>
          <cell r="T4">
            <v>19</v>
          </cell>
          <cell r="U4">
            <v>467</v>
          </cell>
          <cell r="V4">
            <v>38.916666666666664</v>
          </cell>
          <cell r="W4" t="str">
            <v>&gt;30</v>
          </cell>
        </row>
        <row r="5">
          <cell r="E5">
            <v>20502</v>
          </cell>
          <cell r="F5" t="str">
            <v>&lt; 150</v>
          </cell>
          <cell r="G5">
            <v>12</v>
          </cell>
          <cell r="H5">
            <v>360</v>
          </cell>
          <cell r="I5">
            <v>1</v>
          </cell>
          <cell r="J5">
            <v>14</v>
          </cell>
          <cell r="K5">
            <v>35</v>
          </cell>
          <cell r="L5">
            <v>31</v>
          </cell>
          <cell r="M5">
            <v>102</v>
          </cell>
          <cell r="N5">
            <v>59</v>
          </cell>
          <cell r="O5">
            <v>17</v>
          </cell>
          <cell r="P5">
            <v>35</v>
          </cell>
          <cell r="Q5">
            <v>16</v>
          </cell>
          <cell r="R5">
            <v>29</v>
          </cell>
          <cell r="S5">
            <v>62</v>
          </cell>
          <cell r="T5">
            <v>28</v>
          </cell>
          <cell r="U5">
            <v>429</v>
          </cell>
          <cell r="V5">
            <v>35.75</v>
          </cell>
          <cell r="W5" t="str">
            <v>&gt;30</v>
          </cell>
        </row>
        <row r="6">
          <cell r="E6">
            <v>25557</v>
          </cell>
          <cell r="F6" t="str">
            <v>&lt; 150</v>
          </cell>
          <cell r="G6">
            <v>12</v>
          </cell>
          <cell r="H6">
            <v>360</v>
          </cell>
          <cell r="I6">
            <v>14</v>
          </cell>
          <cell r="J6">
            <v>15</v>
          </cell>
          <cell r="K6">
            <v>19</v>
          </cell>
          <cell r="L6">
            <v>15</v>
          </cell>
          <cell r="M6">
            <v>23</v>
          </cell>
          <cell r="N6">
            <v>24</v>
          </cell>
          <cell r="O6">
            <v>23</v>
          </cell>
          <cell r="P6">
            <v>23</v>
          </cell>
          <cell r="Q6">
            <v>80</v>
          </cell>
          <cell r="R6">
            <v>56</v>
          </cell>
          <cell r="S6">
            <v>83</v>
          </cell>
          <cell r="T6">
            <v>36</v>
          </cell>
          <cell r="U6">
            <v>411</v>
          </cell>
          <cell r="V6">
            <v>34.25</v>
          </cell>
          <cell r="W6" t="str">
            <v>&gt;30</v>
          </cell>
        </row>
        <row r="7">
          <cell r="E7">
            <v>22346</v>
          </cell>
          <cell r="F7" t="str">
            <v>&gt; 1500</v>
          </cell>
          <cell r="G7">
            <v>12</v>
          </cell>
          <cell r="H7">
            <v>360</v>
          </cell>
          <cell r="I7">
            <v>21</v>
          </cell>
          <cell r="J7">
            <v>15</v>
          </cell>
          <cell r="K7">
            <v>28</v>
          </cell>
          <cell r="L7">
            <v>37</v>
          </cell>
          <cell r="M7">
            <v>28</v>
          </cell>
          <cell r="N7">
            <v>18</v>
          </cell>
          <cell r="O7">
            <v>24</v>
          </cell>
          <cell r="P7">
            <v>36</v>
          </cell>
          <cell r="Q7">
            <v>27</v>
          </cell>
          <cell r="R7">
            <v>25</v>
          </cell>
          <cell r="S7">
            <v>91</v>
          </cell>
          <cell r="T7">
            <v>32</v>
          </cell>
          <cell r="U7">
            <v>382</v>
          </cell>
          <cell r="V7">
            <v>31.833333333333332</v>
          </cell>
          <cell r="W7" t="str">
            <v>&gt;30</v>
          </cell>
        </row>
        <row r="8">
          <cell r="E8">
            <v>21999</v>
          </cell>
          <cell r="F8" t="str">
            <v>&gt; 1500</v>
          </cell>
          <cell r="G8">
            <v>12</v>
          </cell>
          <cell r="H8">
            <v>360</v>
          </cell>
          <cell r="I8">
            <v>24</v>
          </cell>
          <cell r="J8">
            <v>22</v>
          </cell>
          <cell r="K8">
            <v>34</v>
          </cell>
          <cell r="L8">
            <v>51</v>
          </cell>
          <cell r="M8">
            <v>26</v>
          </cell>
          <cell r="N8">
            <v>21</v>
          </cell>
          <cell r="O8">
            <v>25</v>
          </cell>
          <cell r="P8">
            <v>22</v>
          </cell>
          <cell r="Q8">
            <v>40</v>
          </cell>
          <cell r="R8">
            <v>52</v>
          </cell>
          <cell r="S8">
            <v>39</v>
          </cell>
          <cell r="T8">
            <v>21</v>
          </cell>
          <cell r="U8">
            <v>377</v>
          </cell>
          <cell r="V8">
            <v>31.416666666666668</v>
          </cell>
          <cell r="W8" t="str">
            <v>&gt;30</v>
          </cell>
        </row>
        <row r="9">
          <cell r="E9">
            <v>27630</v>
          </cell>
          <cell r="F9" t="str">
            <v>&gt; 450</v>
          </cell>
          <cell r="G9">
            <v>12</v>
          </cell>
          <cell r="H9">
            <v>360</v>
          </cell>
          <cell r="I9"/>
          <cell r="J9">
            <v>65</v>
          </cell>
          <cell r="K9">
            <v>29</v>
          </cell>
          <cell r="L9">
            <v>39</v>
          </cell>
          <cell r="M9">
            <v>42</v>
          </cell>
          <cell r="N9">
            <v>23</v>
          </cell>
          <cell r="O9">
            <v>15</v>
          </cell>
          <cell r="P9">
            <v>28</v>
          </cell>
          <cell r="Q9">
            <v>26</v>
          </cell>
          <cell r="R9">
            <v>32</v>
          </cell>
          <cell r="S9">
            <v>40</v>
          </cell>
          <cell r="T9">
            <v>23</v>
          </cell>
          <cell r="U9">
            <v>362</v>
          </cell>
          <cell r="V9">
            <v>30.166666666666668</v>
          </cell>
          <cell r="W9" t="str">
            <v>&gt;30</v>
          </cell>
        </row>
        <row r="10">
          <cell r="E10">
            <v>26399</v>
          </cell>
          <cell r="F10" t="str">
            <v>&gt; 900</v>
          </cell>
          <cell r="G10">
            <v>12</v>
          </cell>
          <cell r="H10">
            <v>360</v>
          </cell>
          <cell r="I10">
            <v>29</v>
          </cell>
          <cell r="J10">
            <v>24</v>
          </cell>
          <cell r="K10">
            <v>19</v>
          </cell>
          <cell r="L10">
            <v>23</v>
          </cell>
          <cell r="M10">
            <v>25</v>
          </cell>
          <cell r="N10">
            <v>15</v>
          </cell>
          <cell r="O10">
            <v>12</v>
          </cell>
          <cell r="P10">
            <v>27</v>
          </cell>
          <cell r="Q10">
            <v>32</v>
          </cell>
          <cell r="R10">
            <v>28</v>
          </cell>
          <cell r="S10">
            <v>101</v>
          </cell>
          <cell r="T10">
            <v>22</v>
          </cell>
          <cell r="U10">
            <v>357</v>
          </cell>
          <cell r="V10">
            <v>29.75</v>
          </cell>
          <cell r="W10" t="str">
            <v>20 to30</v>
          </cell>
        </row>
        <row r="11">
          <cell r="E11">
            <v>21583</v>
          </cell>
          <cell r="F11" t="str">
            <v>&gt; 900</v>
          </cell>
          <cell r="G11">
            <v>12</v>
          </cell>
          <cell r="H11">
            <v>360</v>
          </cell>
          <cell r="I11">
            <v>12</v>
          </cell>
          <cell r="J11">
            <v>22</v>
          </cell>
          <cell r="K11">
            <v>8</v>
          </cell>
          <cell r="L11">
            <v>13</v>
          </cell>
          <cell r="M11">
            <v>23</v>
          </cell>
          <cell r="N11">
            <v>26</v>
          </cell>
          <cell r="O11">
            <v>22</v>
          </cell>
          <cell r="P11">
            <v>16</v>
          </cell>
          <cell r="Q11">
            <v>63</v>
          </cell>
          <cell r="R11">
            <v>56</v>
          </cell>
          <cell r="S11">
            <v>57</v>
          </cell>
          <cell r="T11">
            <v>12</v>
          </cell>
          <cell r="U11">
            <v>330</v>
          </cell>
          <cell r="V11">
            <v>27.5</v>
          </cell>
          <cell r="W11" t="str">
            <v>20 to30</v>
          </cell>
        </row>
        <row r="12">
          <cell r="E12">
            <v>28485</v>
          </cell>
          <cell r="F12" t="str">
            <v>&gt; 150</v>
          </cell>
          <cell r="G12">
            <v>6</v>
          </cell>
          <cell r="H12">
            <v>180</v>
          </cell>
          <cell r="I12"/>
          <cell r="J12"/>
          <cell r="K12"/>
          <cell r="L12"/>
          <cell r="M12"/>
          <cell r="N12"/>
          <cell r="O12">
            <v>57</v>
          </cell>
          <cell r="P12">
            <v>57</v>
          </cell>
          <cell r="Q12">
            <v>49</v>
          </cell>
          <cell r="R12">
            <v>33</v>
          </cell>
          <cell r="S12">
            <v>107</v>
          </cell>
          <cell r="T12">
            <v>22</v>
          </cell>
          <cell r="U12">
            <v>325</v>
          </cell>
          <cell r="V12">
            <v>54.166666666666664</v>
          </cell>
          <cell r="W12" t="str">
            <v>&gt;30</v>
          </cell>
        </row>
        <row r="13">
          <cell r="E13">
            <v>22452</v>
          </cell>
          <cell r="F13" t="str">
            <v>&gt; 300</v>
          </cell>
          <cell r="G13">
            <v>12</v>
          </cell>
          <cell r="H13">
            <v>360</v>
          </cell>
          <cell r="I13">
            <v>19</v>
          </cell>
          <cell r="J13">
            <v>20</v>
          </cell>
          <cell r="K13">
            <v>16</v>
          </cell>
          <cell r="L13">
            <v>23</v>
          </cell>
          <cell r="M13">
            <v>21</v>
          </cell>
          <cell r="N13">
            <v>51</v>
          </cell>
          <cell r="O13">
            <v>9</v>
          </cell>
          <cell r="P13">
            <v>7</v>
          </cell>
          <cell r="Q13">
            <v>11</v>
          </cell>
          <cell r="R13">
            <v>9</v>
          </cell>
          <cell r="S13">
            <v>77</v>
          </cell>
          <cell r="T13">
            <v>39</v>
          </cell>
          <cell r="U13">
            <v>302</v>
          </cell>
          <cell r="V13">
            <v>25.166666666666668</v>
          </cell>
          <cell r="W13" t="str">
            <v>20 to30</v>
          </cell>
        </row>
        <row r="14">
          <cell r="E14">
            <v>27372</v>
          </cell>
          <cell r="F14" t="str">
            <v>&gt; 300</v>
          </cell>
          <cell r="G14">
            <v>12</v>
          </cell>
          <cell r="H14">
            <v>360</v>
          </cell>
          <cell r="I14">
            <v>26</v>
          </cell>
          <cell r="J14">
            <v>21</v>
          </cell>
          <cell r="K14">
            <v>27</v>
          </cell>
          <cell r="L14">
            <v>26</v>
          </cell>
          <cell r="M14">
            <v>31</v>
          </cell>
          <cell r="N14">
            <v>41</v>
          </cell>
          <cell r="O14">
            <v>23</v>
          </cell>
          <cell r="P14">
            <v>14</v>
          </cell>
          <cell r="Q14">
            <v>18</v>
          </cell>
          <cell r="R14">
            <v>17</v>
          </cell>
          <cell r="S14">
            <v>40</v>
          </cell>
          <cell r="T14">
            <v>16</v>
          </cell>
          <cell r="U14">
            <v>300</v>
          </cell>
          <cell r="V14">
            <v>25</v>
          </cell>
          <cell r="W14" t="str">
            <v>20 to30</v>
          </cell>
        </row>
        <row r="15">
          <cell r="E15">
            <v>28085</v>
          </cell>
          <cell r="F15" t="str">
            <v>&gt; 150</v>
          </cell>
          <cell r="G15">
            <v>8</v>
          </cell>
          <cell r="H15">
            <v>240</v>
          </cell>
          <cell r="I15"/>
          <cell r="J15"/>
          <cell r="K15"/>
          <cell r="L15"/>
          <cell r="M15">
            <v>35</v>
          </cell>
          <cell r="N15">
            <v>25</v>
          </cell>
          <cell r="O15">
            <v>29</v>
          </cell>
          <cell r="P15">
            <v>24</v>
          </cell>
          <cell r="Q15">
            <v>24</v>
          </cell>
          <cell r="R15">
            <v>30</v>
          </cell>
          <cell r="S15">
            <v>95</v>
          </cell>
          <cell r="T15">
            <v>35</v>
          </cell>
          <cell r="U15">
            <v>297</v>
          </cell>
          <cell r="V15">
            <v>37.125</v>
          </cell>
          <cell r="W15" t="str">
            <v>&gt;30</v>
          </cell>
        </row>
        <row r="16">
          <cell r="E16">
            <v>27154</v>
          </cell>
          <cell r="F16" t="str">
            <v>&gt; 600</v>
          </cell>
          <cell r="G16">
            <v>12</v>
          </cell>
          <cell r="H16">
            <v>360</v>
          </cell>
          <cell r="I16">
            <v>39</v>
          </cell>
          <cell r="J16">
            <v>35</v>
          </cell>
          <cell r="K16">
            <v>31</v>
          </cell>
          <cell r="L16">
            <v>12</v>
          </cell>
          <cell r="M16">
            <v>20</v>
          </cell>
          <cell r="N16">
            <v>16</v>
          </cell>
          <cell r="O16">
            <v>10</v>
          </cell>
          <cell r="P16">
            <v>15</v>
          </cell>
          <cell r="Q16">
            <v>17</v>
          </cell>
          <cell r="R16">
            <v>17</v>
          </cell>
          <cell r="S16">
            <v>72</v>
          </cell>
          <cell r="T16">
            <v>3</v>
          </cell>
          <cell r="U16">
            <v>287</v>
          </cell>
          <cell r="V16">
            <v>23.916666666666668</v>
          </cell>
          <cell r="W16" t="str">
            <v>20 to30</v>
          </cell>
        </row>
        <row r="17">
          <cell r="E17">
            <v>22073</v>
          </cell>
          <cell r="F17" t="str">
            <v>&gt; 900</v>
          </cell>
          <cell r="G17">
            <v>12</v>
          </cell>
          <cell r="H17">
            <v>360</v>
          </cell>
          <cell r="I17">
            <v>25</v>
          </cell>
          <cell r="J17">
            <v>22</v>
          </cell>
          <cell r="K17">
            <v>6</v>
          </cell>
          <cell r="L17">
            <v>27</v>
          </cell>
          <cell r="M17">
            <v>20</v>
          </cell>
          <cell r="N17">
            <v>19</v>
          </cell>
          <cell r="O17">
            <v>9</v>
          </cell>
          <cell r="P17">
            <v>20</v>
          </cell>
          <cell r="Q17">
            <v>26</v>
          </cell>
          <cell r="R17">
            <v>13</v>
          </cell>
          <cell r="S17">
            <v>51</v>
          </cell>
          <cell r="T17">
            <v>19</v>
          </cell>
          <cell r="U17">
            <v>257</v>
          </cell>
          <cell r="V17">
            <v>21.416666666666668</v>
          </cell>
          <cell r="W17" t="str">
            <v>20 to30</v>
          </cell>
        </row>
        <row r="18">
          <cell r="E18">
            <v>27220</v>
          </cell>
          <cell r="F18" t="str">
            <v>&gt; 450</v>
          </cell>
          <cell r="G18">
            <v>12</v>
          </cell>
          <cell r="H18">
            <v>360</v>
          </cell>
          <cell r="I18">
            <v>12</v>
          </cell>
          <cell r="J18">
            <v>18</v>
          </cell>
          <cell r="K18">
            <v>30</v>
          </cell>
          <cell r="L18">
            <v>15</v>
          </cell>
          <cell r="M18">
            <v>24</v>
          </cell>
          <cell r="N18">
            <v>20</v>
          </cell>
          <cell r="O18">
            <v>4</v>
          </cell>
          <cell r="P18">
            <v>21</v>
          </cell>
          <cell r="Q18">
            <v>30</v>
          </cell>
          <cell r="R18">
            <v>20</v>
          </cell>
          <cell r="S18">
            <v>35</v>
          </cell>
          <cell r="T18">
            <v>16</v>
          </cell>
          <cell r="U18">
            <v>245</v>
          </cell>
          <cell r="V18">
            <v>20.416666666666668</v>
          </cell>
          <cell r="W18" t="str">
            <v>20 to30</v>
          </cell>
        </row>
        <row r="19">
          <cell r="E19">
            <v>23178</v>
          </cell>
          <cell r="F19" t="str">
            <v>&gt; 600</v>
          </cell>
          <cell r="G19">
            <v>12</v>
          </cell>
          <cell r="H19">
            <v>360</v>
          </cell>
          <cell r="I19">
            <v>11</v>
          </cell>
          <cell r="J19">
            <v>11</v>
          </cell>
          <cell r="K19">
            <v>12</v>
          </cell>
          <cell r="L19">
            <v>23</v>
          </cell>
          <cell r="M19">
            <v>31</v>
          </cell>
          <cell r="N19">
            <v>33</v>
          </cell>
          <cell r="O19">
            <v>10</v>
          </cell>
          <cell r="P19">
            <v>20</v>
          </cell>
          <cell r="Q19">
            <v>9</v>
          </cell>
          <cell r="R19">
            <v>25</v>
          </cell>
          <cell r="S19">
            <v>26</v>
          </cell>
          <cell r="T19">
            <v>30</v>
          </cell>
          <cell r="U19">
            <v>241</v>
          </cell>
          <cell r="V19">
            <v>20.083333333333332</v>
          </cell>
          <cell r="W19" t="str">
            <v>20 to30</v>
          </cell>
        </row>
        <row r="20">
          <cell r="E20">
            <v>28270</v>
          </cell>
          <cell r="F20" t="str">
            <v>&gt; 150</v>
          </cell>
          <cell r="G20">
            <v>8</v>
          </cell>
          <cell r="H20">
            <v>240</v>
          </cell>
          <cell r="I20"/>
          <cell r="J20"/>
          <cell r="K20"/>
          <cell r="L20"/>
          <cell r="M20">
            <v>11</v>
          </cell>
          <cell r="N20">
            <v>25</v>
          </cell>
          <cell r="O20">
            <v>36</v>
          </cell>
          <cell r="P20">
            <v>25</v>
          </cell>
          <cell r="Q20">
            <v>13</v>
          </cell>
          <cell r="R20">
            <v>20</v>
          </cell>
          <cell r="S20">
            <v>56</v>
          </cell>
          <cell r="T20">
            <v>49</v>
          </cell>
          <cell r="U20">
            <v>235</v>
          </cell>
          <cell r="V20">
            <v>29.375</v>
          </cell>
          <cell r="W20" t="str">
            <v>20 to30</v>
          </cell>
        </row>
        <row r="21">
          <cell r="E21">
            <v>22768</v>
          </cell>
          <cell r="F21" t="str">
            <v>&lt; 150</v>
          </cell>
          <cell r="G21">
            <v>12</v>
          </cell>
          <cell r="H21">
            <v>360</v>
          </cell>
          <cell r="I21">
            <v>11</v>
          </cell>
          <cell r="J21">
            <v>10</v>
          </cell>
          <cell r="K21">
            <v>8</v>
          </cell>
          <cell r="L21">
            <v>41</v>
          </cell>
          <cell r="M21">
            <v>18</v>
          </cell>
          <cell r="N21">
            <v>18</v>
          </cell>
          <cell r="O21">
            <v>13</v>
          </cell>
          <cell r="P21">
            <v>7</v>
          </cell>
          <cell r="Q21">
            <v>14</v>
          </cell>
          <cell r="R21">
            <v>10</v>
          </cell>
          <cell r="S21">
            <v>44</v>
          </cell>
          <cell r="T21">
            <v>24</v>
          </cell>
          <cell r="U21">
            <v>218</v>
          </cell>
          <cell r="V21">
            <v>18.166666666666668</v>
          </cell>
          <cell r="W21" t="str">
            <v>15 to 20</v>
          </cell>
        </row>
        <row r="22">
          <cell r="E22">
            <v>22789</v>
          </cell>
          <cell r="F22" t="str">
            <v>&gt; 2000</v>
          </cell>
          <cell r="G22">
            <v>12</v>
          </cell>
          <cell r="H22">
            <v>360</v>
          </cell>
          <cell r="I22">
            <v>17</v>
          </cell>
          <cell r="J22">
            <v>11</v>
          </cell>
          <cell r="K22">
            <v>16</v>
          </cell>
          <cell r="L22">
            <v>26</v>
          </cell>
          <cell r="M22">
            <v>11</v>
          </cell>
          <cell r="N22">
            <v>15</v>
          </cell>
          <cell r="O22">
            <v>14</v>
          </cell>
          <cell r="P22">
            <v>11</v>
          </cell>
          <cell r="Q22">
            <v>10</v>
          </cell>
          <cell r="R22">
            <v>13</v>
          </cell>
          <cell r="S22">
            <v>50</v>
          </cell>
          <cell r="T22">
            <v>24</v>
          </cell>
          <cell r="U22">
            <v>218</v>
          </cell>
          <cell r="V22">
            <v>18.166666666666668</v>
          </cell>
          <cell r="W22" t="str">
            <v>15 to 20</v>
          </cell>
        </row>
        <row r="23">
          <cell r="E23">
            <v>22366</v>
          </cell>
          <cell r="F23" t="str">
            <v>&gt; 300</v>
          </cell>
          <cell r="G23">
            <v>12</v>
          </cell>
          <cell r="H23">
            <v>360</v>
          </cell>
          <cell r="I23">
            <v>15</v>
          </cell>
          <cell r="J23">
            <v>12</v>
          </cell>
          <cell r="K23">
            <v>9</v>
          </cell>
          <cell r="L23">
            <v>13</v>
          </cell>
          <cell r="M23">
            <v>20</v>
          </cell>
          <cell r="N23">
            <v>15</v>
          </cell>
          <cell r="O23">
            <v>8</v>
          </cell>
          <cell r="P23">
            <v>10</v>
          </cell>
          <cell r="Q23">
            <v>19</v>
          </cell>
          <cell r="R23">
            <v>15</v>
          </cell>
          <cell r="S23">
            <v>68</v>
          </cell>
          <cell r="T23">
            <v>13</v>
          </cell>
          <cell r="U23">
            <v>217</v>
          </cell>
          <cell r="V23">
            <v>18.083333333333332</v>
          </cell>
          <cell r="W23" t="str">
            <v>15 to 20</v>
          </cell>
        </row>
        <row r="24">
          <cell r="E24">
            <v>26084</v>
          </cell>
          <cell r="F24" t="str">
            <v>&gt; 450</v>
          </cell>
          <cell r="G24">
            <v>12</v>
          </cell>
          <cell r="H24">
            <v>360</v>
          </cell>
          <cell r="I24">
            <v>8</v>
          </cell>
          <cell r="J24">
            <v>13</v>
          </cell>
          <cell r="K24">
            <v>9</v>
          </cell>
          <cell r="L24">
            <v>12</v>
          </cell>
          <cell r="M24">
            <v>17</v>
          </cell>
          <cell r="N24">
            <v>9</v>
          </cell>
          <cell r="O24">
            <v>10</v>
          </cell>
          <cell r="P24">
            <v>22</v>
          </cell>
          <cell r="Q24">
            <v>19</v>
          </cell>
          <cell r="R24">
            <v>14</v>
          </cell>
          <cell r="S24">
            <v>64</v>
          </cell>
          <cell r="T24">
            <v>15</v>
          </cell>
          <cell r="U24">
            <v>212</v>
          </cell>
          <cell r="V24">
            <v>17.666666666666668</v>
          </cell>
          <cell r="W24" t="str">
            <v>15 to 20</v>
          </cell>
        </row>
        <row r="25">
          <cell r="E25">
            <v>20322</v>
          </cell>
          <cell r="F25" t="str">
            <v>&gt; 450</v>
          </cell>
          <cell r="G25">
            <v>12</v>
          </cell>
          <cell r="H25">
            <v>360</v>
          </cell>
          <cell r="I25">
            <v>10</v>
          </cell>
          <cell r="J25">
            <v>21</v>
          </cell>
          <cell r="K25">
            <v>15</v>
          </cell>
          <cell r="L25">
            <v>9</v>
          </cell>
          <cell r="M25">
            <v>15</v>
          </cell>
          <cell r="N25">
            <v>15</v>
          </cell>
          <cell r="O25">
            <v>8</v>
          </cell>
          <cell r="P25">
            <v>12</v>
          </cell>
          <cell r="Q25">
            <v>24</v>
          </cell>
          <cell r="R25">
            <v>17</v>
          </cell>
          <cell r="S25">
            <v>55</v>
          </cell>
          <cell r="T25">
            <v>10</v>
          </cell>
          <cell r="U25">
            <v>211</v>
          </cell>
          <cell r="V25">
            <v>17.583333333333332</v>
          </cell>
          <cell r="W25" t="str">
            <v>15 to 20</v>
          </cell>
        </row>
        <row r="26">
          <cell r="E26">
            <v>26810</v>
          </cell>
          <cell r="F26" t="str">
            <v>&gt; 300</v>
          </cell>
          <cell r="G26">
            <v>12</v>
          </cell>
          <cell r="H26">
            <v>360</v>
          </cell>
          <cell r="I26">
            <v>18</v>
          </cell>
          <cell r="J26">
            <v>18</v>
          </cell>
          <cell r="K26">
            <v>24</v>
          </cell>
          <cell r="L26">
            <v>14</v>
          </cell>
          <cell r="M26">
            <v>29</v>
          </cell>
          <cell r="N26">
            <v>10</v>
          </cell>
          <cell r="O26">
            <v>15</v>
          </cell>
          <cell r="P26">
            <v>16</v>
          </cell>
          <cell r="Q26">
            <v>11</v>
          </cell>
          <cell r="R26">
            <v>21</v>
          </cell>
          <cell r="S26">
            <v>18</v>
          </cell>
          <cell r="T26">
            <v>7</v>
          </cell>
          <cell r="U26">
            <v>201</v>
          </cell>
          <cell r="V26">
            <v>16.75</v>
          </cell>
          <cell r="W26" t="str">
            <v>15 to 20</v>
          </cell>
        </row>
        <row r="27">
          <cell r="E27">
            <v>23565</v>
          </cell>
          <cell r="F27" t="str">
            <v>&gt; 150</v>
          </cell>
          <cell r="G27">
            <v>12</v>
          </cell>
          <cell r="H27">
            <v>360</v>
          </cell>
          <cell r="I27">
            <v>19</v>
          </cell>
          <cell r="J27">
            <v>4</v>
          </cell>
          <cell r="K27">
            <v>11</v>
          </cell>
          <cell r="L27">
            <v>10</v>
          </cell>
          <cell r="M27">
            <v>15</v>
          </cell>
          <cell r="N27">
            <v>15</v>
          </cell>
          <cell r="O27">
            <v>13</v>
          </cell>
          <cell r="P27">
            <v>19</v>
          </cell>
          <cell r="Q27">
            <v>14</v>
          </cell>
          <cell r="R27">
            <v>15</v>
          </cell>
          <cell r="S27">
            <v>50</v>
          </cell>
          <cell r="T27">
            <v>11</v>
          </cell>
          <cell r="U27">
            <v>196</v>
          </cell>
          <cell r="V27">
            <v>16.333333333333332</v>
          </cell>
          <cell r="W27" t="str">
            <v>15 to 20</v>
          </cell>
        </row>
        <row r="28">
          <cell r="E28">
            <v>22404</v>
          </cell>
          <cell r="F28" t="str">
            <v>&gt; 600</v>
          </cell>
          <cell r="G28">
            <v>12</v>
          </cell>
          <cell r="H28">
            <v>360</v>
          </cell>
          <cell r="I28">
            <v>7</v>
          </cell>
          <cell r="J28">
            <v>3</v>
          </cell>
          <cell r="K28">
            <v>24</v>
          </cell>
          <cell r="L28">
            <v>20</v>
          </cell>
          <cell r="M28">
            <v>8</v>
          </cell>
          <cell r="N28">
            <v>21</v>
          </cell>
          <cell r="O28">
            <v>9</v>
          </cell>
          <cell r="P28">
            <v>10</v>
          </cell>
          <cell r="Q28">
            <v>10</v>
          </cell>
          <cell r="R28">
            <v>15</v>
          </cell>
          <cell r="S28">
            <v>44</v>
          </cell>
          <cell r="T28">
            <v>7</v>
          </cell>
          <cell r="U28">
            <v>178</v>
          </cell>
          <cell r="V28">
            <v>14.833333333333334</v>
          </cell>
          <cell r="W28" t="str">
            <v>10 to 15</v>
          </cell>
        </row>
        <row r="29">
          <cell r="E29">
            <v>26015</v>
          </cell>
          <cell r="F29" t="str">
            <v>&gt; 300</v>
          </cell>
          <cell r="G29">
            <v>12</v>
          </cell>
          <cell r="H29">
            <v>360</v>
          </cell>
          <cell r="I29">
            <v>11</v>
          </cell>
          <cell r="J29">
            <v>18</v>
          </cell>
          <cell r="K29">
            <v>8</v>
          </cell>
          <cell r="L29">
            <v>10</v>
          </cell>
          <cell r="M29">
            <v>17</v>
          </cell>
          <cell r="N29">
            <v>7</v>
          </cell>
          <cell r="O29">
            <v>9</v>
          </cell>
          <cell r="P29">
            <v>6</v>
          </cell>
          <cell r="Q29">
            <v>14</v>
          </cell>
          <cell r="R29">
            <v>13</v>
          </cell>
          <cell r="S29">
            <v>53</v>
          </cell>
          <cell r="T29">
            <v>4</v>
          </cell>
          <cell r="U29">
            <v>170</v>
          </cell>
          <cell r="V29">
            <v>14.166666666666666</v>
          </cell>
          <cell r="W29" t="str">
            <v>10 to 15</v>
          </cell>
        </row>
        <row r="30">
          <cell r="E30">
            <v>20509</v>
          </cell>
          <cell r="F30" t="str">
            <v>&gt; 600</v>
          </cell>
          <cell r="G30">
            <v>12</v>
          </cell>
          <cell r="H30">
            <v>360</v>
          </cell>
          <cell r="I30">
            <v>7</v>
          </cell>
          <cell r="J30">
            <v>9</v>
          </cell>
          <cell r="K30">
            <v>4</v>
          </cell>
          <cell r="L30">
            <v>4</v>
          </cell>
          <cell r="M30">
            <v>11</v>
          </cell>
          <cell r="N30">
            <v>15</v>
          </cell>
          <cell r="O30">
            <v>8</v>
          </cell>
          <cell r="P30">
            <v>49</v>
          </cell>
          <cell r="Q30">
            <v>10</v>
          </cell>
          <cell r="R30">
            <v>4</v>
          </cell>
          <cell r="S30">
            <v>32</v>
          </cell>
          <cell r="T30">
            <v>6</v>
          </cell>
          <cell r="U30">
            <v>159</v>
          </cell>
          <cell r="V30">
            <v>13.25</v>
          </cell>
          <cell r="W30" t="str">
            <v>10 to 15</v>
          </cell>
        </row>
        <row r="31">
          <cell r="E31">
            <v>21926</v>
          </cell>
          <cell r="F31" t="str">
            <v>&gt; 150</v>
          </cell>
          <cell r="G31">
            <v>12</v>
          </cell>
          <cell r="H31">
            <v>360</v>
          </cell>
          <cell r="I31">
            <v>16</v>
          </cell>
          <cell r="J31">
            <v>17</v>
          </cell>
          <cell r="K31">
            <v>17</v>
          </cell>
          <cell r="L31">
            <v>13</v>
          </cell>
          <cell r="M31">
            <v>10</v>
          </cell>
          <cell r="N31">
            <v>13</v>
          </cell>
          <cell r="O31">
            <v>14</v>
          </cell>
          <cell r="P31">
            <v>13</v>
          </cell>
          <cell r="Q31">
            <v>9</v>
          </cell>
          <cell r="R31">
            <v>19</v>
          </cell>
          <cell r="S31">
            <v>9</v>
          </cell>
          <cell r="T31">
            <v>7</v>
          </cell>
          <cell r="U31">
            <v>157</v>
          </cell>
          <cell r="V31">
            <v>13.083333333333334</v>
          </cell>
          <cell r="W31" t="str">
            <v>10 to 15</v>
          </cell>
        </row>
        <row r="32">
          <cell r="E32">
            <v>22775</v>
          </cell>
          <cell r="F32" t="str">
            <v>&lt; 150</v>
          </cell>
          <cell r="G32">
            <v>7</v>
          </cell>
          <cell r="H32">
            <v>210</v>
          </cell>
          <cell r="I32"/>
          <cell r="J32"/>
          <cell r="K32"/>
          <cell r="L32"/>
          <cell r="M32"/>
          <cell r="N32"/>
          <cell r="O32">
            <v>15</v>
          </cell>
          <cell r="P32">
            <v>6</v>
          </cell>
          <cell r="Q32">
            <v>11</v>
          </cell>
          <cell r="R32">
            <v>12</v>
          </cell>
          <cell r="S32">
            <v>85</v>
          </cell>
          <cell r="T32">
            <v>16</v>
          </cell>
          <cell r="U32">
            <v>145</v>
          </cell>
          <cell r="V32">
            <v>20.714285714285715</v>
          </cell>
          <cell r="W32" t="str">
            <v>20 to30</v>
          </cell>
        </row>
        <row r="33">
          <cell r="E33">
            <v>22131</v>
          </cell>
          <cell r="F33" t="str">
            <v>&gt; 900</v>
          </cell>
          <cell r="G33">
            <v>12</v>
          </cell>
          <cell r="H33">
            <v>360</v>
          </cell>
          <cell r="I33">
            <v>5</v>
          </cell>
          <cell r="J33">
            <v>5</v>
          </cell>
          <cell r="K33">
            <v>4</v>
          </cell>
          <cell r="L33">
            <v>8</v>
          </cell>
          <cell r="M33">
            <v>12</v>
          </cell>
          <cell r="N33">
            <v>14</v>
          </cell>
          <cell r="O33">
            <v>6</v>
          </cell>
          <cell r="P33">
            <v>2</v>
          </cell>
          <cell r="Q33">
            <v>4</v>
          </cell>
          <cell r="R33">
            <v>11</v>
          </cell>
          <cell r="S33">
            <v>65</v>
          </cell>
          <cell r="T33">
            <v>6</v>
          </cell>
          <cell r="U33">
            <v>142</v>
          </cell>
          <cell r="V33">
            <v>11.833333333333334</v>
          </cell>
          <cell r="W33" t="str">
            <v>10 to 15</v>
          </cell>
        </row>
        <row r="34">
          <cell r="E34">
            <v>28692</v>
          </cell>
          <cell r="F34" t="str">
            <v>&lt; 150</v>
          </cell>
          <cell r="G34">
            <v>5</v>
          </cell>
          <cell r="H34">
            <v>150</v>
          </cell>
          <cell r="I34"/>
          <cell r="J34"/>
          <cell r="K34"/>
          <cell r="L34"/>
          <cell r="M34"/>
          <cell r="N34"/>
          <cell r="O34"/>
          <cell r="P34">
            <v>23</v>
          </cell>
          <cell r="Q34">
            <v>29</v>
          </cell>
          <cell r="R34">
            <v>34</v>
          </cell>
          <cell r="S34">
            <v>41</v>
          </cell>
          <cell r="T34">
            <v>12</v>
          </cell>
          <cell r="U34">
            <v>139</v>
          </cell>
          <cell r="V34">
            <v>27.8</v>
          </cell>
          <cell r="W34" t="str">
            <v>20 to30</v>
          </cell>
        </row>
        <row r="35">
          <cell r="E35">
            <v>27028</v>
          </cell>
          <cell r="F35" t="str">
            <v>&gt; 300</v>
          </cell>
          <cell r="G35">
            <v>12</v>
          </cell>
          <cell r="H35">
            <v>360</v>
          </cell>
          <cell r="I35">
            <v>5</v>
          </cell>
          <cell r="J35">
            <v>5</v>
          </cell>
          <cell r="K35">
            <v>4</v>
          </cell>
          <cell r="L35">
            <v>13</v>
          </cell>
          <cell r="M35">
            <v>9</v>
          </cell>
          <cell r="N35">
            <v>5</v>
          </cell>
          <cell r="O35">
            <v>7</v>
          </cell>
          <cell r="P35">
            <v>3</v>
          </cell>
          <cell r="Q35">
            <v>5</v>
          </cell>
          <cell r="R35">
            <v>14</v>
          </cell>
          <cell r="S35">
            <v>51</v>
          </cell>
          <cell r="T35">
            <v>9</v>
          </cell>
          <cell r="U35">
            <v>130</v>
          </cell>
          <cell r="V35">
            <v>10.833333333333334</v>
          </cell>
          <cell r="W35" t="str">
            <v>10 to 15</v>
          </cell>
        </row>
        <row r="36">
          <cell r="E36">
            <v>28075</v>
          </cell>
          <cell r="F36" t="str">
            <v>&lt; 150</v>
          </cell>
          <cell r="G36">
            <v>8</v>
          </cell>
          <cell r="H36">
            <v>240</v>
          </cell>
          <cell r="I36"/>
          <cell r="J36"/>
          <cell r="K36"/>
          <cell r="L36"/>
          <cell r="M36">
            <v>27</v>
          </cell>
          <cell r="N36">
            <v>16</v>
          </cell>
          <cell r="O36">
            <v>2</v>
          </cell>
          <cell r="P36">
            <v>4</v>
          </cell>
          <cell r="Q36">
            <v>9</v>
          </cell>
          <cell r="R36">
            <v>21</v>
          </cell>
          <cell r="S36">
            <v>24</v>
          </cell>
          <cell r="T36">
            <v>26</v>
          </cell>
          <cell r="U36">
            <v>129</v>
          </cell>
          <cell r="V36">
            <v>16.125</v>
          </cell>
          <cell r="W36" t="str">
            <v>15 to 20</v>
          </cell>
        </row>
        <row r="37">
          <cell r="E37">
            <v>23669</v>
          </cell>
          <cell r="F37" t="str">
            <v>&gt; 600</v>
          </cell>
          <cell r="G37">
            <v>12</v>
          </cell>
          <cell r="H37">
            <v>360</v>
          </cell>
          <cell r="I37">
            <v>7</v>
          </cell>
          <cell r="J37">
            <v>12</v>
          </cell>
          <cell r="K37">
            <v>3</v>
          </cell>
          <cell r="L37">
            <v>7</v>
          </cell>
          <cell r="M37">
            <v>10</v>
          </cell>
          <cell r="N37">
            <v>11</v>
          </cell>
          <cell r="O37">
            <v>11</v>
          </cell>
          <cell r="P37">
            <v>9</v>
          </cell>
          <cell r="Q37">
            <v>8</v>
          </cell>
          <cell r="R37">
            <v>7</v>
          </cell>
          <cell r="S37">
            <v>32</v>
          </cell>
          <cell r="T37">
            <v>6</v>
          </cell>
          <cell r="U37">
            <v>123</v>
          </cell>
          <cell r="V37">
            <v>10.25</v>
          </cell>
          <cell r="W37" t="str">
            <v>10 to 15</v>
          </cell>
        </row>
        <row r="38">
          <cell r="E38">
            <v>22126</v>
          </cell>
          <cell r="F38" t="str">
            <v>&gt; 2000</v>
          </cell>
          <cell r="G38">
            <v>12</v>
          </cell>
          <cell r="H38">
            <v>360</v>
          </cell>
          <cell r="I38">
            <v>5</v>
          </cell>
          <cell r="J38">
            <v>17</v>
          </cell>
          <cell r="K38">
            <v>3</v>
          </cell>
          <cell r="L38">
            <v>11</v>
          </cell>
          <cell r="M38">
            <v>2</v>
          </cell>
          <cell r="N38">
            <v>6</v>
          </cell>
          <cell r="O38">
            <v>13</v>
          </cell>
          <cell r="P38">
            <v>12</v>
          </cell>
          <cell r="Q38">
            <v>5</v>
          </cell>
          <cell r="R38">
            <v>11</v>
          </cell>
          <cell r="S38">
            <v>30</v>
          </cell>
          <cell r="T38">
            <v>0</v>
          </cell>
          <cell r="U38">
            <v>115</v>
          </cell>
          <cell r="V38">
            <v>9.5833333333333339</v>
          </cell>
          <cell r="W38" t="str">
            <v>1 to 10</v>
          </cell>
        </row>
        <row r="39">
          <cell r="E39">
            <v>27732</v>
          </cell>
          <cell r="F39" t="str">
            <v>&lt; 150</v>
          </cell>
          <cell r="G39">
            <v>10</v>
          </cell>
          <cell r="H39">
            <v>300</v>
          </cell>
          <cell r="I39"/>
          <cell r="J39"/>
          <cell r="K39">
            <v>4</v>
          </cell>
          <cell r="L39">
            <v>10</v>
          </cell>
          <cell r="M39">
            <v>8</v>
          </cell>
          <cell r="N39">
            <v>8</v>
          </cell>
          <cell r="O39">
            <v>10</v>
          </cell>
          <cell r="P39">
            <v>10</v>
          </cell>
          <cell r="Q39">
            <v>10</v>
          </cell>
          <cell r="R39">
            <v>16</v>
          </cell>
          <cell r="S39">
            <v>21</v>
          </cell>
          <cell r="T39">
            <v>17</v>
          </cell>
          <cell r="U39">
            <v>114</v>
          </cell>
          <cell r="V39">
            <v>11.4</v>
          </cell>
          <cell r="W39" t="str">
            <v>10 to 15</v>
          </cell>
        </row>
        <row r="40">
          <cell r="E40">
            <v>27792</v>
          </cell>
          <cell r="F40" t="str">
            <v>&gt; 300</v>
          </cell>
          <cell r="G40">
            <v>11</v>
          </cell>
          <cell r="H40">
            <v>330</v>
          </cell>
          <cell r="I40"/>
          <cell r="J40">
            <v>2</v>
          </cell>
          <cell r="K40">
            <v>12</v>
          </cell>
          <cell r="L40">
            <v>22</v>
          </cell>
          <cell r="M40">
            <v>14</v>
          </cell>
          <cell r="N40">
            <v>10</v>
          </cell>
          <cell r="O40">
            <v>3</v>
          </cell>
          <cell r="P40">
            <v>5</v>
          </cell>
          <cell r="Q40">
            <v>4</v>
          </cell>
          <cell r="R40">
            <v>12</v>
          </cell>
          <cell r="S40">
            <v>18</v>
          </cell>
          <cell r="T40">
            <v>3</v>
          </cell>
          <cell r="U40">
            <v>105</v>
          </cell>
          <cell r="V40">
            <v>9.545454545454545</v>
          </cell>
          <cell r="W40" t="str">
            <v>1 to 10</v>
          </cell>
        </row>
        <row r="41">
          <cell r="E41">
            <v>26501</v>
          </cell>
          <cell r="F41" t="str">
            <v>&gt; 450</v>
          </cell>
          <cell r="G41">
            <v>12</v>
          </cell>
          <cell r="H41">
            <v>360</v>
          </cell>
          <cell r="I41">
            <v>6</v>
          </cell>
          <cell r="J41">
            <v>5</v>
          </cell>
          <cell r="K41">
            <v>2</v>
          </cell>
          <cell r="L41">
            <v>4</v>
          </cell>
          <cell r="M41">
            <v>9</v>
          </cell>
          <cell r="N41">
            <v>6</v>
          </cell>
          <cell r="O41">
            <v>3</v>
          </cell>
          <cell r="P41">
            <v>1</v>
          </cell>
          <cell r="Q41">
            <v>7</v>
          </cell>
          <cell r="R41">
            <v>10</v>
          </cell>
          <cell r="S41">
            <v>39</v>
          </cell>
          <cell r="T41">
            <v>9</v>
          </cell>
          <cell r="U41">
            <v>101</v>
          </cell>
          <cell r="V41">
            <v>8.4166666666666661</v>
          </cell>
          <cell r="W41" t="str">
            <v>1 to 10</v>
          </cell>
        </row>
        <row r="42">
          <cell r="E42">
            <v>23270</v>
          </cell>
          <cell r="F42" t="str">
            <v>&lt; 150</v>
          </cell>
          <cell r="G42">
            <v>12</v>
          </cell>
          <cell r="H42">
            <v>360</v>
          </cell>
          <cell r="I42">
            <v>3</v>
          </cell>
          <cell r="J42">
            <v>5</v>
          </cell>
          <cell r="K42">
            <v>3</v>
          </cell>
          <cell r="L42">
            <v>4</v>
          </cell>
          <cell r="M42">
            <v>2</v>
          </cell>
          <cell r="N42">
            <v>5</v>
          </cell>
          <cell r="O42">
            <v>7</v>
          </cell>
          <cell r="P42">
            <v>4</v>
          </cell>
          <cell r="Q42">
            <v>4</v>
          </cell>
          <cell r="R42">
            <v>12</v>
          </cell>
          <cell r="S42">
            <v>32</v>
          </cell>
          <cell r="T42">
            <v>19</v>
          </cell>
          <cell r="U42">
            <v>100</v>
          </cell>
          <cell r="V42">
            <v>8.3333333333333339</v>
          </cell>
          <cell r="W42" t="str">
            <v>1 to 10</v>
          </cell>
        </row>
        <row r="43">
          <cell r="E43">
            <v>22773</v>
          </cell>
          <cell r="F43" t="str">
            <v>&gt; 450</v>
          </cell>
          <cell r="G43">
            <v>12</v>
          </cell>
          <cell r="H43">
            <v>360</v>
          </cell>
          <cell r="I43">
            <v>6</v>
          </cell>
          <cell r="J43">
            <v>9</v>
          </cell>
          <cell r="K43">
            <v>15</v>
          </cell>
          <cell r="L43">
            <v>7</v>
          </cell>
          <cell r="M43">
            <v>9</v>
          </cell>
          <cell r="N43">
            <v>4</v>
          </cell>
          <cell r="O43">
            <v>7</v>
          </cell>
          <cell r="P43">
            <v>5</v>
          </cell>
          <cell r="Q43">
            <v>11</v>
          </cell>
          <cell r="R43">
            <v>6</v>
          </cell>
          <cell r="S43">
            <v>14</v>
          </cell>
          <cell r="T43">
            <v>6</v>
          </cell>
          <cell r="U43">
            <v>99</v>
          </cell>
          <cell r="V43">
            <v>8.25</v>
          </cell>
          <cell r="W43" t="str">
            <v>1 to 10</v>
          </cell>
        </row>
        <row r="44">
          <cell r="E44">
            <v>27629</v>
          </cell>
          <cell r="F44" t="str">
            <v>&gt; 300</v>
          </cell>
          <cell r="G44">
            <v>12</v>
          </cell>
          <cell r="H44">
            <v>360</v>
          </cell>
          <cell r="I44"/>
          <cell r="J44"/>
          <cell r="K44">
            <v>2</v>
          </cell>
          <cell r="L44">
            <v>7</v>
          </cell>
          <cell r="M44">
            <v>11</v>
          </cell>
          <cell r="N44">
            <v>21</v>
          </cell>
          <cell r="O44">
            <v>9</v>
          </cell>
          <cell r="P44">
            <v>6</v>
          </cell>
          <cell r="Q44">
            <v>7</v>
          </cell>
          <cell r="R44">
            <v>6</v>
          </cell>
          <cell r="S44">
            <v>20</v>
          </cell>
          <cell r="T44">
            <v>8</v>
          </cell>
          <cell r="U44">
            <v>97</v>
          </cell>
          <cell r="V44">
            <v>8.0833333333333339</v>
          </cell>
          <cell r="W44" t="str">
            <v>1 to 10</v>
          </cell>
        </row>
        <row r="45">
          <cell r="E45">
            <v>27437</v>
          </cell>
          <cell r="F45" t="str">
            <v>&lt; 150</v>
          </cell>
          <cell r="G45">
            <v>12</v>
          </cell>
          <cell r="H45">
            <v>360</v>
          </cell>
          <cell r="I45">
            <v>3</v>
          </cell>
          <cell r="J45">
            <v>6</v>
          </cell>
          <cell r="K45">
            <v>5</v>
          </cell>
          <cell r="L45">
            <v>8</v>
          </cell>
          <cell r="M45">
            <v>15</v>
          </cell>
          <cell r="N45">
            <v>3</v>
          </cell>
          <cell r="O45">
            <v>3</v>
          </cell>
          <cell r="P45">
            <v>5</v>
          </cell>
          <cell r="Q45">
            <v>3</v>
          </cell>
          <cell r="R45">
            <v>16</v>
          </cell>
          <cell r="S45">
            <v>21</v>
          </cell>
          <cell r="T45">
            <v>4</v>
          </cell>
          <cell r="U45">
            <v>92</v>
          </cell>
          <cell r="V45">
            <v>7.666666666666667</v>
          </cell>
          <cell r="W45" t="str">
            <v>1 to 10</v>
          </cell>
        </row>
        <row r="46">
          <cell r="E46">
            <v>26403</v>
          </cell>
          <cell r="F46" t="str">
            <v>&gt; 300</v>
          </cell>
          <cell r="G46">
            <v>12</v>
          </cell>
          <cell r="H46">
            <v>360</v>
          </cell>
          <cell r="I46">
            <v>8</v>
          </cell>
          <cell r="J46">
            <v>4</v>
          </cell>
          <cell r="K46">
            <v>9</v>
          </cell>
          <cell r="L46">
            <v>13</v>
          </cell>
          <cell r="M46">
            <v>2</v>
          </cell>
          <cell r="N46">
            <v>10</v>
          </cell>
          <cell r="O46">
            <v>4</v>
          </cell>
          <cell r="P46">
            <v>1</v>
          </cell>
          <cell r="Q46">
            <v>9</v>
          </cell>
          <cell r="R46">
            <v>8</v>
          </cell>
          <cell r="S46">
            <v>14</v>
          </cell>
          <cell r="T46">
            <v>6</v>
          </cell>
          <cell r="U46">
            <v>88</v>
          </cell>
          <cell r="V46">
            <v>7.333333333333333</v>
          </cell>
          <cell r="W46" t="str">
            <v>1 to 10</v>
          </cell>
        </row>
        <row r="47">
          <cell r="E47">
            <v>23433</v>
          </cell>
          <cell r="F47" t="str">
            <v>&gt; 300</v>
          </cell>
          <cell r="G47">
            <v>12</v>
          </cell>
          <cell r="H47">
            <v>360</v>
          </cell>
          <cell r="I47">
            <v>3</v>
          </cell>
          <cell r="J47">
            <v>2</v>
          </cell>
          <cell r="K47">
            <v>5</v>
          </cell>
          <cell r="L47">
            <v>5</v>
          </cell>
          <cell r="M47">
            <v>4</v>
          </cell>
          <cell r="N47">
            <v>6</v>
          </cell>
          <cell r="O47">
            <v>10</v>
          </cell>
          <cell r="P47">
            <v>2</v>
          </cell>
          <cell r="Q47">
            <v>8</v>
          </cell>
          <cell r="R47">
            <v>7</v>
          </cell>
          <cell r="S47">
            <v>27</v>
          </cell>
          <cell r="T47">
            <v>8</v>
          </cell>
          <cell r="U47">
            <v>87</v>
          </cell>
          <cell r="V47">
            <v>7.25</v>
          </cell>
          <cell r="W47" t="str">
            <v>1 to 10</v>
          </cell>
        </row>
        <row r="48">
          <cell r="E48">
            <v>27637</v>
          </cell>
          <cell r="F48" t="str">
            <v>&gt; 150</v>
          </cell>
          <cell r="G48">
            <v>11</v>
          </cell>
          <cell r="H48">
            <v>330</v>
          </cell>
          <cell r="I48"/>
          <cell r="J48"/>
          <cell r="K48">
            <v>1</v>
          </cell>
          <cell r="L48">
            <v>7</v>
          </cell>
          <cell r="M48">
            <v>9</v>
          </cell>
          <cell r="N48">
            <v>4</v>
          </cell>
          <cell r="O48">
            <v>10</v>
          </cell>
          <cell r="P48">
            <v>2</v>
          </cell>
          <cell r="Q48">
            <v>9</v>
          </cell>
          <cell r="R48">
            <v>15</v>
          </cell>
          <cell r="S48">
            <v>23</v>
          </cell>
          <cell r="T48">
            <v>6</v>
          </cell>
          <cell r="U48">
            <v>86</v>
          </cell>
          <cell r="V48">
            <v>7.8181818181818183</v>
          </cell>
          <cell r="W48" t="str">
            <v>1 to 10</v>
          </cell>
        </row>
        <row r="49">
          <cell r="E49">
            <v>24153</v>
          </cell>
          <cell r="F49" t="str">
            <v>&gt; 600</v>
          </cell>
          <cell r="G49">
            <v>12</v>
          </cell>
          <cell r="H49">
            <v>360</v>
          </cell>
          <cell r="I49">
            <v>5</v>
          </cell>
          <cell r="J49">
            <v>9</v>
          </cell>
          <cell r="K49">
            <v>12</v>
          </cell>
          <cell r="L49">
            <v>4</v>
          </cell>
          <cell r="M49">
            <v>6</v>
          </cell>
          <cell r="N49">
            <v>8</v>
          </cell>
          <cell r="O49">
            <v>3</v>
          </cell>
          <cell r="P49">
            <v>7</v>
          </cell>
          <cell r="Q49">
            <v>2</v>
          </cell>
          <cell r="R49">
            <v>9</v>
          </cell>
          <cell r="S49">
            <v>18</v>
          </cell>
          <cell r="T49">
            <v>3</v>
          </cell>
          <cell r="U49">
            <v>86</v>
          </cell>
          <cell r="V49">
            <v>7.166666666666667</v>
          </cell>
          <cell r="W49" t="str">
            <v>1 to 10</v>
          </cell>
        </row>
        <row r="50">
          <cell r="E50">
            <v>23214</v>
          </cell>
          <cell r="F50" t="str">
            <v>&lt; 150</v>
          </cell>
          <cell r="G50">
            <v>12</v>
          </cell>
          <cell r="H50">
            <v>360</v>
          </cell>
          <cell r="I50">
            <v>3</v>
          </cell>
          <cell r="J50"/>
          <cell r="K50"/>
          <cell r="L50">
            <v>6</v>
          </cell>
          <cell r="M50">
            <v>15</v>
          </cell>
          <cell r="N50">
            <v>1</v>
          </cell>
          <cell r="O50">
            <v>7</v>
          </cell>
          <cell r="P50">
            <v>4</v>
          </cell>
          <cell r="Q50">
            <v>5</v>
          </cell>
          <cell r="R50">
            <v>11</v>
          </cell>
          <cell r="S50">
            <v>30</v>
          </cell>
          <cell r="T50">
            <v>3</v>
          </cell>
          <cell r="U50">
            <v>85</v>
          </cell>
          <cell r="V50">
            <v>7.083333333333333</v>
          </cell>
          <cell r="W50" t="str">
            <v>1 to 10</v>
          </cell>
        </row>
        <row r="51">
          <cell r="E51">
            <v>22400</v>
          </cell>
          <cell r="F51" t="str">
            <v>&gt; 150</v>
          </cell>
          <cell r="G51">
            <v>12</v>
          </cell>
          <cell r="H51">
            <v>360</v>
          </cell>
          <cell r="I51">
            <v>9</v>
          </cell>
          <cell r="J51">
            <v>11</v>
          </cell>
          <cell r="K51">
            <v>10</v>
          </cell>
          <cell r="L51">
            <v>10</v>
          </cell>
          <cell r="M51">
            <v>5</v>
          </cell>
          <cell r="N51">
            <v>5</v>
          </cell>
          <cell r="O51">
            <v>1</v>
          </cell>
          <cell r="P51">
            <v>4</v>
          </cell>
          <cell r="Q51">
            <v>8</v>
          </cell>
          <cell r="R51">
            <v>5</v>
          </cell>
          <cell r="S51">
            <v>5</v>
          </cell>
          <cell r="T51">
            <v>6</v>
          </cell>
          <cell r="U51">
            <v>79</v>
          </cell>
          <cell r="V51">
            <v>6.583333333333333</v>
          </cell>
          <cell r="W51" t="str">
            <v>1 to 10</v>
          </cell>
        </row>
        <row r="52">
          <cell r="E52">
            <v>21998</v>
          </cell>
          <cell r="F52" t="str">
            <v>&gt; 900</v>
          </cell>
          <cell r="G52">
            <v>12</v>
          </cell>
          <cell r="H52">
            <v>360</v>
          </cell>
          <cell r="I52">
            <v>10</v>
          </cell>
          <cell r="J52">
            <v>4</v>
          </cell>
          <cell r="K52">
            <v>5</v>
          </cell>
          <cell r="L52">
            <v>6</v>
          </cell>
          <cell r="M52">
            <v>8</v>
          </cell>
          <cell r="N52">
            <v>4</v>
          </cell>
          <cell r="O52">
            <v>7</v>
          </cell>
          <cell r="P52">
            <v>8</v>
          </cell>
          <cell r="Q52">
            <v>4</v>
          </cell>
          <cell r="R52">
            <v>2</v>
          </cell>
          <cell r="S52">
            <v>15</v>
          </cell>
          <cell r="T52">
            <v>2</v>
          </cell>
          <cell r="U52">
            <v>75</v>
          </cell>
          <cell r="V52">
            <v>6.25</v>
          </cell>
          <cell r="W52" t="str">
            <v>1 to 10</v>
          </cell>
        </row>
        <row r="53">
          <cell r="E53">
            <v>22128</v>
          </cell>
          <cell r="F53" t="str">
            <v>&gt; 450</v>
          </cell>
          <cell r="G53">
            <v>12</v>
          </cell>
          <cell r="H53">
            <v>360</v>
          </cell>
          <cell r="I53">
            <v>4</v>
          </cell>
          <cell r="J53">
            <v>2</v>
          </cell>
          <cell r="K53">
            <v>3</v>
          </cell>
          <cell r="L53">
            <v>6</v>
          </cell>
          <cell r="M53">
            <v>8</v>
          </cell>
          <cell r="N53">
            <v>2</v>
          </cell>
          <cell r="O53">
            <v>4</v>
          </cell>
          <cell r="P53">
            <v>3</v>
          </cell>
          <cell r="Q53">
            <v>9</v>
          </cell>
          <cell r="R53">
            <v>6</v>
          </cell>
          <cell r="S53">
            <v>17</v>
          </cell>
          <cell r="T53">
            <v>7</v>
          </cell>
          <cell r="U53">
            <v>71</v>
          </cell>
          <cell r="V53">
            <v>5.916666666666667</v>
          </cell>
          <cell r="W53" t="str">
            <v>1 to 10</v>
          </cell>
        </row>
        <row r="54">
          <cell r="E54">
            <v>23142</v>
          </cell>
          <cell r="F54" t="str">
            <v>&gt; 450</v>
          </cell>
          <cell r="G54">
            <v>12</v>
          </cell>
          <cell r="H54">
            <v>360</v>
          </cell>
          <cell r="I54">
            <v>1</v>
          </cell>
          <cell r="J54">
            <v>3</v>
          </cell>
          <cell r="K54">
            <v>6</v>
          </cell>
          <cell r="L54">
            <v>3</v>
          </cell>
          <cell r="M54">
            <v>19</v>
          </cell>
          <cell r="N54">
            <v>12</v>
          </cell>
          <cell r="O54">
            <v>3</v>
          </cell>
          <cell r="P54">
            <v>4</v>
          </cell>
          <cell r="Q54">
            <v>8</v>
          </cell>
          <cell r="R54">
            <v>4</v>
          </cell>
          <cell r="S54">
            <v>7</v>
          </cell>
          <cell r="T54">
            <v>1</v>
          </cell>
          <cell r="U54">
            <v>71</v>
          </cell>
          <cell r="V54">
            <v>5.916666666666667</v>
          </cell>
          <cell r="W54" t="str">
            <v>1 to 10</v>
          </cell>
        </row>
        <row r="55">
          <cell r="E55">
            <v>22365</v>
          </cell>
          <cell r="F55" t="str">
            <v>&gt; 450</v>
          </cell>
          <cell r="G55">
            <v>12</v>
          </cell>
          <cell r="H55">
            <v>360</v>
          </cell>
          <cell r="I55"/>
          <cell r="J55">
            <v>3</v>
          </cell>
          <cell r="K55">
            <v>8</v>
          </cell>
          <cell r="L55">
            <v>14</v>
          </cell>
          <cell r="M55">
            <v>9</v>
          </cell>
          <cell r="N55">
            <v>4</v>
          </cell>
          <cell r="O55">
            <v>3</v>
          </cell>
          <cell r="P55">
            <v>3</v>
          </cell>
          <cell r="Q55">
            <v>3</v>
          </cell>
          <cell r="R55">
            <v>6</v>
          </cell>
          <cell r="S55">
            <v>9</v>
          </cell>
          <cell r="T55">
            <v>6</v>
          </cell>
          <cell r="U55">
            <v>68</v>
          </cell>
          <cell r="V55">
            <v>5.666666666666667</v>
          </cell>
          <cell r="W55" t="str">
            <v>1 to 10</v>
          </cell>
        </row>
        <row r="56">
          <cell r="E56">
            <v>28176</v>
          </cell>
          <cell r="F56" t="str">
            <v>&gt; 450</v>
          </cell>
          <cell r="G56">
            <v>7</v>
          </cell>
          <cell r="H56">
            <v>210</v>
          </cell>
          <cell r="I56"/>
          <cell r="J56"/>
          <cell r="K56"/>
          <cell r="L56"/>
          <cell r="M56"/>
          <cell r="N56">
            <v>9</v>
          </cell>
          <cell r="O56">
            <v>2</v>
          </cell>
          <cell r="P56">
            <v>6</v>
          </cell>
          <cell r="Q56">
            <v>5</v>
          </cell>
          <cell r="R56">
            <v>12</v>
          </cell>
          <cell r="S56">
            <v>28</v>
          </cell>
          <cell r="T56">
            <v>3</v>
          </cell>
          <cell r="U56">
            <v>65</v>
          </cell>
          <cell r="V56">
            <v>9.2857142857142865</v>
          </cell>
          <cell r="W56" t="str">
            <v>1 to 10</v>
          </cell>
        </row>
        <row r="57">
          <cell r="E57">
            <v>22401</v>
          </cell>
          <cell r="F57" t="str">
            <v>&gt; 150</v>
          </cell>
          <cell r="G57">
            <v>12</v>
          </cell>
          <cell r="H57">
            <v>360</v>
          </cell>
          <cell r="I57">
            <v>3</v>
          </cell>
          <cell r="J57">
            <v>6</v>
          </cell>
          <cell r="K57">
            <v>2</v>
          </cell>
          <cell r="L57">
            <v>11</v>
          </cell>
          <cell r="M57">
            <v>2</v>
          </cell>
          <cell r="N57">
            <v>1</v>
          </cell>
          <cell r="O57"/>
          <cell r="P57">
            <v>4</v>
          </cell>
          <cell r="Q57">
            <v>6</v>
          </cell>
          <cell r="R57">
            <v>2</v>
          </cell>
          <cell r="S57">
            <v>19</v>
          </cell>
          <cell r="T57">
            <v>3</v>
          </cell>
          <cell r="U57">
            <v>59</v>
          </cell>
          <cell r="V57">
            <v>4.916666666666667</v>
          </cell>
          <cell r="W57" t="str">
            <v>1 to 10</v>
          </cell>
        </row>
        <row r="58">
          <cell r="E58">
            <v>28305</v>
          </cell>
          <cell r="F58" t="str">
            <v>&lt; 150</v>
          </cell>
          <cell r="G58">
            <v>4</v>
          </cell>
          <cell r="H58">
            <v>120</v>
          </cell>
          <cell r="I58"/>
          <cell r="J58"/>
          <cell r="K58"/>
          <cell r="L58"/>
          <cell r="M58"/>
          <cell r="N58"/>
          <cell r="O58"/>
          <cell r="P58">
            <v>33</v>
          </cell>
          <cell r="Q58">
            <v>5</v>
          </cell>
          <cell r="R58">
            <v>11</v>
          </cell>
          <cell r="S58">
            <v>0</v>
          </cell>
          <cell r="T58">
            <v>9</v>
          </cell>
          <cell r="U58">
            <v>58</v>
          </cell>
          <cell r="V58">
            <v>14.5</v>
          </cell>
          <cell r="W58" t="str">
            <v>10 to 15</v>
          </cell>
        </row>
        <row r="59">
          <cell r="E59">
            <v>23431</v>
          </cell>
          <cell r="F59" t="str">
            <v>&gt; 150</v>
          </cell>
          <cell r="G59">
            <v>12</v>
          </cell>
          <cell r="H59">
            <v>360</v>
          </cell>
          <cell r="I59">
            <v>4</v>
          </cell>
          <cell r="J59">
            <v>1</v>
          </cell>
          <cell r="K59">
            <v>6</v>
          </cell>
          <cell r="L59">
            <v>2</v>
          </cell>
          <cell r="M59">
            <v>8</v>
          </cell>
          <cell r="N59">
            <v>1</v>
          </cell>
          <cell r="O59">
            <v>7</v>
          </cell>
          <cell r="P59">
            <v>7</v>
          </cell>
          <cell r="Q59">
            <v>2</v>
          </cell>
          <cell r="R59"/>
          <cell r="S59">
            <v>7</v>
          </cell>
          <cell r="T59">
            <v>8</v>
          </cell>
          <cell r="U59">
            <v>53</v>
          </cell>
          <cell r="V59">
            <v>4.416666666666667</v>
          </cell>
          <cell r="W59" t="str">
            <v>1 to 10</v>
          </cell>
        </row>
        <row r="60">
          <cell r="E60">
            <v>23429</v>
          </cell>
          <cell r="F60" t="str">
            <v>&gt; 900</v>
          </cell>
          <cell r="G60">
            <v>12</v>
          </cell>
          <cell r="H60">
            <v>360</v>
          </cell>
          <cell r="I60"/>
          <cell r="J60"/>
          <cell r="K60">
            <v>3</v>
          </cell>
          <cell r="L60">
            <v>2</v>
          </cell>
          <cell r="M60">
            <v>4</v>
          </cell>
          <cell r="N60">
            <v>18</v>
          </cell>
          <cell r="O60">
            <v>2</v>
          </cell>
          <cell r="P60">
            <v>7</v>
          </cell>
          <cell r="Q60">
            <v>2</v>
          </cell>
          <cell r="R60">
            <v>7</v>
          </cell>
          <cell r="S60">
            <v>7</v>
          </cell>
          <cell r="T60">
            <v>1</v>
          </cell>
          <cell r="U60">
            <v>53</v>
          </cell>
          <cell r="V60">
            <v>4.416666666666667</v>
          </cell>
          <cell r="W60" t="str">
            <v>1 to 10</v>
          </cell>
        </row>
        <row r="61">
          <cell r="E61">
            <v>28201</v>
          </cell>
          <cell r="F61" t="str">
            <v>&gt; 150</v>
          </cell>
          <cell r="G61">
            <v>8</v>
          </cell>
          <cell r="H61">
            <v>240</v>
          </cell>
          <cell r="I61"/>
          <cell r="J61"/>
          <cell r="K61"/>
          <cell r="L61"/>
          <cell r="M61"/>
          <cell r="N61"/>
          <cell r="O61">
            <v>2</v>
          </cell>
          <cell r="P61">
            <v>3</v>
          </cell>
          <cell r="Q61">
            <v>6</v>
          </cell>
          <cell r="R61">
            <v>10</v>
          </cell>
          <cell r="S61">
            <v>22</v>
          </cell>
          <cell r="T61">
            <v>8</v>
          </cell>
          <cell r="U61">
            <v>51</v>
          </cell>
          <cell r="V61">
            <v>6.375</v>
          </cell>
          <cell r="W61" t="str">
            <v>1 to 10</v>
          </cell>
        </row>
        <row r="62">
          <cell r="E62">
            <v>20503</v>
          </cell>
          <cell r="F62" t="str">
            <v>&lt; 150</v>
          </cell>
          <cell r="G62">
            <v>11</v>
          </cell>
          <cell r="H62">
            <v>330</v>
          </cell>
          <cell r="I62">
            <v>4</v>
          </cell>
          <cell r="J62">
            <v>5</v>
          </cell>
          <cell r="K62">
            <v>2</v>
          </cell>
          <cell r="L62">
            <v>6</v>
          </cell>
          <cell r="M62">
            <v>5</v>
          </cell>
          <cell r="N62">
            <v>5</v>
          </cell>
          <cell r="O62">
            <v>2</v>
          </cell>
          <cell r="P62">
            <v>9</v>
          </cell>
          <cell r="Q62">
            <v>4</v>
          </cell>
          <cell r="R62">
            <v>5</v>
          </cell>
          <cell r="S62">
            <v>3</v>
          </cell>
          <cell r="T62"/>
          <cell r="U62">
            <v>50</v>
          </cell>
          <cell r="V62">
            <v>4.5454545454545459</v>
          </cell>
          <cell r="W62" t="str">
            <v>1 to 10</v>
          </cell>
        </row>
        <row r="63">
          <cell r="E63">
            <v>23969</v>
          </cell>
          <cell r="F63" t="str">
            <v>&gt; 450</v>
          </cell>
          <cell r="G63">
            <v>12</v>
          </cell>
          <cell r="H63">
            <v>360</v>
          </cell>
          <cell r="I63">
            <v>3</v>
          </cell>
          <cell r="J63">
            <v>1</v>
          </cell>
          <cell r="K63">
            <v>2</v>
          </cell>
          <cell r="L63">
            <v>11</v>
          </cell>
          <cell r="M63">
            <v>1</v>
          </cell>
          <cell r="N63">
            <v>4</v>
          </cell>
          <cell r="O63">
            <v>2</v>
          </cell>
          <cell r="P63">
            <v>5</v>
          </cell>
          <cell r="Q63">
            <v>5</v>
          </cell>
          <cell r="R63">
            <v>3</v>
          </cell>
          <cell r="S63">
            <v>7</v>
          </cell>
          <cell r="T63">
            <v>3</v>
          </cell>
          <cell r="U63">
            <v>47</v>
          </cell>
          <cell r="V63">
            <v>3.9166666666666665</v>
          </cell>
          <cell r="W63" t="str">
            <v>1 to 10</v>
          </cell>
        </row>
        <row r="64">
          <cell r="E64">
            <v>26595</v>
          </cell>
          <cell r="F64" t="str">
            <v>&gt; 300</v>
          </cell>
          <cell r="G64">
            <v>12</v>
          </cell>
          <cell r="H64">
            <v>360</v>
          </cell>
          <cell r="I64"/>
          <cell r="J64"/>
          <cell r="K64">
            <v>2</v>
          </cell>
          <cell r="L64">
            <v>1</v>
          </cell>
          <cell r="M64"/>
          <cell r="N64"/>
          <cell r="O64">
            <v>2</v>
          </cell>
          <cell r="P64">
            <v>6</v>
          </cell>
          <cell r="Q64">
            <v>5</v>
          </cell>
          <cell r="R64">
            <v>6</v>
          </cell>
          <cell r="S64">
            <v>20</v>
          </cell>
          <cell r="T64">
            <v>5</v>
          </cell>
          <cell r="U64">
            <v>47</v>
          </cell>
          <cell r="V64">
            <v>3.9166666666666665</v>
          </cell>
          <cell r="W64" t="str">
            <v>1 to 10</v>
          </cell>
        </row>
        <row r="65">
          <cell r="E65">
            <v>21928</v>
          </cell>
          <cell r="F65" t="str">
            <v>&gt; 150</v>
          </cell>
          <cell r="G65">
            <v>4</v>
          </cell>
          <cell r="H65">
            <v>120</v>
          </cell>
          <cell r="I65">
            <v>19</v>
          </cell>
          <cell r="J65">
            <v>25</v>
          </cell>
          <cell r="K65"/>
          <cell r="L65">
            <v>1</v>
          </cell>
          <cell r="M65"/>
          <cell r="N65"/>
          <cell r="O65"/>
          <cell r="P65"/>
          <cell r="Q65"/>
          <cell r="R65"/>
          <cell r="S65"/>
          <cell r="T65"/>
          <cell r="U65">
            <v>45</v>
          </cell>
          <cell r="V65">
            <v>11.25</v>
          </cell>
          <cell r="W65" t="str">
            <v>10 to 15</v>
          </cell>
        </row>
        <row r="66">
          <cell r="E66">
            <v>22402</v>
          </cell>
          <cell r="F66" t="str">
            <v>&lt; 150</v>
          </cell>
          <cell r="G66">
            <v>12</v>
          </cell>
          <cell r="H66">
            <v>360</v>
          </cell>
          <cell r="I66">
            <v>1</v>
          </cell>
          <cell r="J66">
            <v>4</v>
          </cell>
          <cell r="K66">
            <v>5</v>
          </cell>
          <cell r="L66">
            <v>4</v>
          </cell>
          <cell r="M66">
            <v>3</v>
          </cell>
          <cell r="N66">
            <v>4</v>
          </cell>
          <cell r="O66">
            <v>5</v>
          </cell>
          <cell r="P66">
            <v>1</v>
          </cell>
          <cell r="Q66">
            <v>2</v>
          </cell>
          <cell r="R66">
            <v>6</v>
          </cell>
          <cell r="S66">
            <v>8</v>
          </cell>
          <cell r="T66">
            <v>2</v>
          </cell>
          <cell r="U66">
            <v>45</v>
          </cell>
          <cell r="V66">
            <v>3.75</v>
          </cell>
          <cell r="W66" t="str">
            <v>1 to 10</v>
          </cell>
        </row>
        <row r="67">
          <cell r="E67">
            <v>28860</v>
          </cell>
          <cell r="F67" t="str">
            <v>&gt; 150</v>
          </cell>
          <cell r="G67">
            <v>4</v>
          </cell>
          <cell r="H67">
            <v>120</v>
          </cell>
          <cell r="I67"/>
          <cell r="J67"/>
          <cell r="K67"/>
          <cell r="L67"/>
          <cell r="M67"/>
          <cell r="N67"/>
          <cell r="O67"/>
          <cell r="P67"/>
          <cell r="Q67"/>
          <cell r="R67">
            <v>20</v>
          </cell>
          <cell r="S67">
            <v>19</v>
          </cell>
          <cell r="T67">
            <v>5</v>
          </cell>
          <cell r="U67">
            <v>44</v>
          </cell>
          <cell r="V67">
            <v>11</v>
          </cell>
          <cell r="W67" t="str">
            <v>10 to 15</v>
          </cell>
        </row>
        <row r="68">
          <cell r="E68">
            <v>27731</v>
          </cell>
          <cell r="F68" t="str">
            <v>&lt; 150</v>
          </cell>
          <cell r="G68">
            <v>10</v>
          </cell>
          <cell r="H68">
            <v>300</v>
          </cell>
          <cell r="I68"/>
          <cell r="J68"/>
          <cell r="K68">
            <v>1</v>
          </cell>
          <cell r="L68">
            <v>2</v>
          </cell>
          <cell r="M68">
            <v>4</v>
          </cell>
          <cell r="N68"/>
          <cell r="O68"/>
          <cell r="P68">
            <v>2</v>
          </cell>
          <cell r="Q68">
            <v>1</v>
          </cell>
          <cell r="R68">
            <v>5</v>
          </cell>
          <cell r="S68">
            <v>22</v>
          </cell>
          <cell r="T68">
            <v>6</v>
          </cell>
          <cell r="U68">
            <v>43</v>
          </cell>
          <cell r="V68">
            <v>4.3</v>
          </cell>
          <cell r="W68" t="str">
            <v>1 to 10</v>
          </cell>
        </row>
        <row r="69">
          <cell r="E69">
            <v>22130</v>
          </cell>
          <cell r="F69" t="str">
            <v>&gt; 300</v>
          </cell>
          <cell r="G69">
            <v>12</v>
          </cell>
          <cell r="H69">
            <v>360</v>
          </cell>
          <cell r="I69">
            <v>2</v>
          </cell>
          <cell r="J69"/>
          <cell r="K69"/>
          <cell r="L69">
            <v>1</v>
          </cell>
          <cell r="M69">
            <v>2</v>
          </cell>
          <cell r="N69">
            <v>4</v>
          </cell>
          <cell r="O69">
            <v>2</v>
          </cell>
          <cell r="P69"/>
          <cell r="Q69">
            <v>3</v>
          </cell>
          <cell r="R69">
            <v>8</v>
          </cell>
          <cell r="S69">
            <v>11</v>
          </cell>
          <cell r="T69">
            <v>8</v>
          </cell>
          <cell r="U69">
            <v>41</v>
          </cell>
          <cell r="V69">
            <v>3.4166666666666665</v>
          </cell>
          <cell r="W69" t="str">
            <v>1 to 10</v>
          </cell>
        </row>
        <row r="70">
          <cell r="E70">
            <v>24494</v>
          </cell>
          <cell r="F70" t="str">
            <v>&gt; 150</v>
          </cell>
          <cell r="G70">
            <v>12</v>
          </cell>
          <cell r="H70">
            <v>360</v>
          </cell>
          <cell r="I70"/>
          <cell r="J70"/>
          <cell r="K70">
            <v>4</v>
          </cell>
          <cell r="L70">
            <v>3</v>
          </cell>
          <cell r="M70">
            <v>5</v>
          </cell>
          <cell r="N70">
            <v>7</v>
          </cell>
          <cell r="O70">
            <v>4</v>
          </cell>
          <cell r="P70">
            <v>6</v>
          </cell>
          <cell r="Q70">
            <v>7</v>
          </cell>
          <cell r="R70">
            <v>2</v>
          </cell>
          <cell r="S70">
            <v>1</v>
          </cell>
          <cell r="T70">
            <v>2</v>
          </cell>
          <cell r="U70">
            <v>41</v>
          </cell>
          <cell r="V70">
            <v>3.4166666666666665</v>
          </cell>
          <cell r="W70" t="str">
            <v>1 to 10</v>
          </cell>
        </row>
        <row r="71">
          <cell r="E71">
            <v>28482</v>
          </cell>
          <cell r="F71" t="str">
            <v>&lt; 150</v>
          </cell>
          <cell r="G71">
            <v>6</v>
          </cell>
          <cell r="H71">
            <v>180</v>
          </cell>
          <cell r="I71"/>
          <cell r="J71"/>
          <cell r="K71"/>
          <cell r="L71"/>
          <cell r="M71"/>
          <cell r="N71"/>
          <cell r="O71">
            <v>1</v>
          </cell>
          <cell r="P71">
            <v>4</v>
          </cell>
          <cell r="Q71">
            <v>3</v>
          </cell>
          <cell r="R71">
            <v>4</v>
          </cell>
          <cell r="S71">
            <v>25</v>
          </cell>
          <cell r="T71">
            <v>2</v>
          </cell>
          <cell r="U71">
            <v>39</v>
          </cell>
          <cell r="V71">
            <v>6.5</v>
          </cell>
          <cell r="W71" t="str">
            <v>1 to 10</v>
          </cell>
        </row>
        <row r="72">
          <cell r="E72">
            <v>27249</v>
          </cell>
          <cell r="F72" t="str">
            <v>&lt; 150</v>
          </cell>
          <cell r="G72">
            <v>12</v>
          </cell>
          <cell r="H72">
            <v>360</v>
          </cell>
          <cell r="I72">
            <v>1</v>
          </cell>
          <cell r="J72">
            <v>3</v>
          </cell>
          <cell r="K72">
            <v>2</v>
          </cell>
          <cell r="L72">
            <v>6</v>
          </cell>
          <cell r="M72">
            <v>1</v>
          </cell>
          <cell r="N72">
            <v>3</v>
          </cell>
          <cell r="O72">
            <v>1</v>
          </cell>
          <cell r="P72">
            <v>2</v>
          </cell>
          <cell r="Q72">
            <v>1</v>
          </cell>
          <cell r="R72">
            <v>2</v>
          </cell>
          <cell r="S72">
            <v>4</v>
          </cell>
          <cell r="T72">
            <v>5</v>
          </cell>
          <cell r="U72">
            <v>31</v>
          </cell>
          <cell r="V72">
            <v>2.5833333333333335</v>
          </cell>
          <cell r="W72" t="str">
            <v>1 to 10</v>
          </cell>
        </row>
        <row r="73">
          <cell r="E73">
            <v>22361</v>
          </cell>
          <cell r="F73" t="str">
            <v>&gt; 150</v>
          </cell>
          <cell r="G73">
            <v>5</v>
          </cell>
          <cell r="H73">
            <v>150</v>
          </cell>
          <cell r="I73">
            <v>10</v>
          </cell>
          <cell r="J73">
            <v>3</v>
          </cell>
          <cell r="K73">
            <v>8</v>
          </cell>
          <cell r="L73">
            <v>4</v>
          </cell>
          <cell r="M73">
            <v>6</v>
          </cell>
          <cell r="N73"/>
          <cell r="O73"/>
          <cell r="P73"/>
          <cell r="Q73"/>
          <cell r="R73"/>
          <cell r="S73"/>
          <cell r="T73"/>
          <cell r="U73">
            <v>31</v>
          </cell>
          <cell r="V73">
            <v>6.2</v>
          </cell>
          <cell r="W73" t="str">
            <v>1 to 10</v>
          </cell>
        </row>
        <row r="74">
          <cell r="E74">
            <v>24495</v>
          </cell>
          <cell r="F74" t="str">
            <v>&gt; 300</v>
          </cell>
          <cell r="G74">
            <v>12</v>
          </cell>
          <cell r="H74">
            <v>360</v>
          </cell>
          <cell r="I74"/>
          <cell r="J74"/>
          <cell r="K74">
            <v>1</v>
          </cell>
          <cell r="L74">
            <v>1</v>
          </cell>
          <cell r="M74">
            <v>3</v>
          </cell>
          <cell r="N74">
            <v>2</v>
          </cell>
          <cell r="O74">
            <v>1</v>
          </cell>
          <cell r="P74">
            <v>1</v>
          </cell>
          <cell r="Q74">
            <v>1</v>
          </cell>
          <cell r="R74">
            <v>3</v>
          </cell>
          <cell r="S74">
            <v>17</v>
          </cell>
          <cell r="T74">
            <v>0</v>
          </cell>
          <cell r="U74">
            <v>30</v>
          </cell>
          <cell r="V74">
            <v>2.5</v>
          </cell>
          <cell r="W74" t="str">
            <v>1 to 10</v>
          </cell>
        </row>
        <row r="75">
          <cell r="E75">
            <v>28083</v>
          </cell>
          <cell r="F75" t="str">
            <v>&lt; 150</v>
          </cell>
          <cell r="G75">
            <v>8</v>
          </cell>
          <cell r="H75">
            <v>240</v>
          </cell>
          <cell r="I75"/>
          <cell r="J75"/>
          <cell r="K75"/>
          <cell r="L75"/>
          <cell r="M75">
            <v>6</v>
          </cell>
          <cell r="N75">
            <v>3</v>
          </cell>
          <cell r="O75">
            <v>1</v>
          </cell>
          <cell r="P75">
            <v>1</v>
          </cell>
          <cell r="Q75">
            <v>4</v>
          </cell>
          <cell r="R75">
            <v>4</v>
          </cell>
          <cell r="S75">
            <v>7</v>
          </cell>
          <cell r="T75">
            <v>3</v>
          </cell>
          <cell r="U75">
            <v>29</v>
          </cell>
          <cell r="V75">
            <v>3.625</v>
          </cell>
          <cell r="W75" t="str">
            <v>1 to 10</v>
          </cell>
        </row>
        <row r="76">
          <cell r="E76">
            <v>21925</v>
          </cell>
          <cell r="F76" t="str">
            <v>&lt; 150</v>
          </cell>
          <cell r="G76">
            <v>9</v>
          </cell>
          <cell r="H76">
            <v>270</v>
          </cell>
          <cell r="I76"/>
          <cell r="J76"/>
          <cell r="K76"/>
          <cell r="L76">
            <v>8</v>
          </cell>
          <cell r="M76"/>
          <cell r="N76">
            <v>1</v>
          </cell>
          <cell r="O76">
            <v>2</v>
          </cell>
          <cell r="P76">
            <v>3</v>
          </cell>
          <cell r="Q76">
            <v>6</v>
          </cell>
          <cell r="R76">
            <v>1</v>
          </cell>
          <cell r="S76">
            <v>2</v>
          </cell>
          <cell r="T76"/>
          <cell r="U76">
            <v>23</v>
          </cell>
          <cell r="V76">
            <v>2.5555555555555554</v>
          </cell>
          <cell r="W76" t="str">
            <v>1 to 10</v>
          </cell>
        </row>
        <row r="77">
          <cell r="E77">
            <v>28170</v>
          </cell>
          <cell r="F77" t="str">
            <v>&gt; 150</v>
          </cell>
          <cell r="G77">
            <v>8</v>
          </cell>
          <cell r="H77">
            <v>240</v>
          </cell>
          <cell r="I77"/>
          <cell r="J77"/>
          <cell r="K77"/>
          <cell r="L77"/>
          <cell r="M77"/>
          <cell r="N77">
            <v>2</v>
          </cell>
          <cell r="O77"/>
          <cell r="P77"/>
          <cell r="Q77">
            <v>5</v>
          </cell>
          <cell r="R77">
            <v>4</v>
          </cell>
          <cell r="S77">
            <v>9</v>
          </cell>
          <cell r="T77">
            <v>2</v>
          </cell>
          <cell r="U77">
            <v>22</v>
          </cell>
          <cell r="V77">
            <v>2.75</v>
          </cell>
          <cell r="W77" t="str">
            <v>1 to 10</v>
          </cell>
        </row>
        <row r="78">
          <cell r="E78">
            <v>23560</v>
          </cell>
          <cell r="F78" t="str">
            <v>&gt; 300</v>
          </cell>
          <cell r="G78">
            <v>12</v>
          </cell>
          <cell r="H78">
            <v>360</v>
          </cell>
          <cell r="I78">
            <v>1</v>
          </cell>
          <cell r="J78">
            <v>4</v>
          </cell>
          <cell r="K78">
            <v>2</v>
          </cell>
          <cell r="L78">
            <v>2</v>
          </cell>
          <cell r="M78">
            <v>2</v>
          </cell>
          <cell r="N78">
            <v>1</v>
          </cell>
          <cell r="O78">
            <v>2</v>
          </cell>
          <cell r="P78">
            <v>1</v>
          </cell>
          <cell r="Q78"/>
          <cell r="R78">
            <v>1</v>
          </cell>
          <cell r="S78">
            <v>4</v>
          </cell>
          <cell r="T78">
            <v>1</v>
          </cell>
          <cell r="U78">
            <v>21</v>
          </cell>
          <cell r="V78">
            <v>1.75</v>
          </cell>
          <cell r="W78" t="str">
            <v>1 to 10</v>
          </cell>
        </row>
        <row r="79">
          <cell r="E79">
            <v>27252</v>
          </cell>
          <cell r="F79" t="str">
            <v>&lt; 150</v>
          </cell>
          <cell r="G79">
            <v>11</v>
          </cell>
          <cell r="H79">
            <v>330</v>
          </cell>
          <cell r="I79"/>
          <cell r="J79"/>
          <cell r="K79"/>
          <cell r="L79">
            <v>2</v>
          </cell>
          <cell r="M79">
            <v>2</v>
          </cell>
          <cell r="N79">
            <v>12</v>
          </cell>
          <cell r="O79">
            <v>1</v>
          </cell>
          <cell r="P79">
            <v>1</v>
          </cell>
          <cell r="Q79">
            <v>2</v>
          </cell>
          <cell r="R79"/>
          <cell r="S79">
            <v>0</v>
          </cell>
          <cell r="T79"/>
          <cell r="U79">
            <v>20</v>
          </cell>
          <cell r="V79">
            <v>1.8181818181818181</v>
          </cell>
          <cell r="W79" t="str">
            <v>1 to 10</v>
          </cell>
        </row>
        <row r="80">
          <cell r="E80">
            <v>28483</v>
          </cell>
          <cell r="F80" t="str">
            <v>&lt; 150</v>
          </cell>
          <cell r="G80">
            <v>4</v>
          </cell>
          <cell r="H80">
            <v>120</v>
          </cell>
          <cell r="I80"/>
          <cell r="J80"/>
          <cell r="K80"/>
          <cell r="L80"/>
          <cell r="M80"/>
          <cell r="N80"/>
          <cell r="O80"/>
          <cell r="P80">
            <v>7</v>
          </cell>
          <cell r="Q80">
            <v>1</v>
          </cell>
          <cell r="R80">
            <v>8</v>
          </cell>
          <cell r="S80">
            <v>0</v>
          </cell>
          <cell r="T80">
            <v>0</v>
          </cell>
          <cell r="U80">
            <v>16</v>
          </cell>
          <cell r="V80">
            <v>4</v>
          </cell>
          <cell r="W80" t="str">
            <v>1 to 10</v>
          </cell>
        </row>
        <row r="81">
          <cell r="E81">
            <v>20983</v>
          </cell>
          <cell r="F81" t="str">
            <v>&gt; 300</v>
          </cell>
          <cell r="G81">
            <v>4</v>
          </cell>
          <cell r="H81">
            <v>120</v>
          </cell>
          <cell r="I81">
            <v>6</v>
          </cell>
          <cell r="J81">
            <v>1</v>
          </cell>
          <cell r="K81">
            <v>1</v>
          </cell>
          <cell r="L81">
            <v>4</v>
          </cell>
          <cell r="M81"/>
          <cell r="N81"/>
          <cell r="O81"/>
          <cell r="P81"/>
          <cell r="Q81"/>
          <cell r="R81"/>
          <cell r="S81"/>
          <cell r="T81"/>
          <cell r="U81">
            <v>12</v>
          </cell>
          <cell r="V81">
            <v>3</v>
          </cell>
          <cell r="W81" t="str">
            <v>1 to 10</v>
          </cell>
        </row>
        <row r="82">
          <cell r="E82">
            <v>23432</v>
          </cell>
          <cell r="F82" t="str">
            <v>&gt; 450</v>
          </cell>
          <cell r="G82">
            <v>12</v>
          </cell>
          <cell r="H82">
            <v>360</v>
          </cell>
          <cell r="I82">
            <v>4</v>
          </cell>
          <cell r="J82"/>
          <cell r="K82">
            <v>2</v>
          </cell>
          <cell r="L82">
            <v>1</v>
          </cell>
          <cell r="M82">
            <v>2</v>
          </cell>
          <cell r="N82"/>
          <cell r="O82">
            <v>1</v>
          </cell>
          <cell r="P82"/>
          <cell r="Q82"/>
          <cell r="R82"/>
          <cell r="S82">
            <v>1</v>
          </cell>
          <cell r="T82">
            <v>0</v>
          </cell>
          <cell r="U82">
            <v>11</v>
          </cell>
          <cell r="V82">
            <v>0.91666666666666663</v>
          </cell>
          <cell r="W82" t="str">
            <v>Zero</v>
          </cell>
        </row>
        <row r="83">
          <cell r="E83">
            <v>26530</v>
          </cell>
          <cell r="F83" t="str">
            <v>&lt; 150</v>
          </cell>
          <cell r="G83">
            <v>12</v>
          </cell>
          <cell r="H83">
            <v>360</v>
          </cell>
          <cell r="I83">
            <v>1</v>
          </cell>
          <cell r="J83"/>
          <cell r="K83"/>
          <cell r="L83">
            <v>3</v>
          </cell>
          <cell r="M83">
            <v>2</v>
          </cell>
          <cell r="N83">
            <v>2</v>
          </cell>
          <cell r="O83"/>
          <cell r="P83"/>
          <cell r="Q83"/>
          <cell r="R83"/>
          <cell r="S83">
            <v>0</v>
          </cell>
          <cell r="T83">
            <v>0</v>
          </cell>
          <cell r="U83">
            <v>8</v>
          </cell>
          <cell r="V83">
            <v>0.66666666666666663</v>
          </cell>
          <cell r="W83" t="str">
            <v>Zero</v>
          </cell>
        </row>
        <row r="84">
          <cell r="E84">
            <v>22771</v>
          </cell>
          <cell r="F84" t="str">
            <v>&lt; 150</v>
          </cell>
          <cell r="G84">
            <v>5</v>
          </cell>
          <cell r="H84">
            <v>150</v>
          </cell>
          <cell r="I84">
            <v>2</v>
          </cell>
          <cell r="J84">
            <v>1</v>
          </cell>
          <cell r="K84"/>
          <cell r="L84"/>
          <cell r="M84">
            <v>1</v>
          </cell>
          <cell r="N84"/>
          <cell r="O84">
            <v>1</v>
          </cell>
          <cell r="P84"/>
          <cell r="Q84"/>
          <cell r="R84"/>
          <cell r="S84"/>
          <cell r="T84"/>
          <cell r="U84">
            <v>5</v>
          </cell>
          <cell r="V84">
            <v>1</v>
          </cell>
          <cell r="W84" t="str">
            <v>1 to 10</v>
          </cell>
        </row>
        <row r="85">
          <cell r="E85">
            <v>24527</v>
          </cell>
          <cell r="F85" t="str">
            <v>&lt; 150</v>
          </cell>
          <cell r="G85">
            <v>4</v>
          </cell>
          <cell r="H85">
            <v>120</v>
          </cell>
          <cell r="I85">
            <v>3</v>
          </cell>
          <cell r="J85"/>
          <cell r="K85"/>
          <cell r="L85"/>
          <cell r="M85">
            <v>1</v>
          </cell>
          <cell r="N85"/>
          <cell r="O85"/>
          <cell r="P85"/>
          <cell r="Q85"/>
          <cell r="R85"/>
          <cell r="S85"/>
          <cell r="T85"/>
          <cell r="U85">
            <v>4</v>
          </cell>
          <cell r="V85">
            <v>1</v>
          </cell>
          <cell r="W85" t="str">
            <v>1 to 10</v>
          </cell>
        </row>
        <row r="86">
          <cell r="E86">
            <v>22453</v>
          </cell>
          <cell r="F86" t="str">
            <v>&lt; 150</v>
          </cell>
          <cell r="G86">
            <v>11</v>
          </cell>
          <cell r="H86">
            <v>330</v>
          </cell>
          <cell r="I86"/>
          <cell r="J86">
            <v>2</v>
          </cell>
          <cell r="K86">
            <v>1</v>
          </cell>
          <cell r="L86"/>
          <cell r="M86"/>
          <cell r="N86"/>
          <cell r="O86"/>
          <cell r="P86"/>
          <cell r="Q86"/>
          <cell r="R86"/>
          <cell r="S86">
            <v>1</v>
          </cell>
          <cell r="T86">
            <v>0</v>
          </cell>
          <cell r="U86">
            <v>4</v>
          </cell>
          <cell r="V86">
            <v>0.36363636363636365</v>
          </cell>
          <cell r="W86" t="str">
            <v>Zero</v>
          </cell>
        </row>
        <row r="87">
          <cell r="E87">
            <v>29052</v>
          </cell>
          <cell r="F87" t="str">
            <v>&lt; 150</v>
          </cell>
          <cell r="G87">
            <v>1</v>
          </cell>
          <cell r="H87">
            <v>30</v>
          </cell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>
            <v>4</v>
          </cell>
          <cell r="U87">
            <v>4</v>
          </cell>
          <cell r="V87">
            <v>4</v>
          </cell>
          <cell r="W87" t="str">
            <v>1 to 10</v>
          </cell>
        </row>
        <row r="88">
          <cell r="E88">
            <v>26507</v>
          </cell>
          <cell r="F88" t="str">
            <v>&lt; 150</v>
          </cell>
          <cell r="G88">
            <v>6</v>
          </cell>
          <cell r="H88">
            <v>180</v>
          </cell>
          <cell r="I88">
            <v>1</v>
          </cell>
          <cell r="J88">
            <v>1</v>
          </cell>
          <cell r="K88">
            <v>1</v>
          </cell>
          <cell r="L88"/>
          <cell r="M88"/>
          <cell r="N88"/>
          <cell r="O88"/>
          <cell r="P88"/>
          <cell r="Q88"/>
          <cell r="R88"/>
          <cell r="S88"/>
          <cell r="T88"/>
          <cell r="U88">
            <v>3</v>
          </cell>
          <cell r="V88">
            <v>0.5</v>
          </cell>
          <cell r="W88" t="str">
            <v>Zero</v>
          </cell>
        </row>
        <row r="89">
          <cell r="E89">
            <v>21929</v>
          </cell>
          <cell r="F89" t="str">
            <v>&lt; 150</v>
          </cell>
          <cell r="G89">
            <v>3</v>
          </cell>
          <cell r="H89">
            <v>90</v>
          </cell>
          <cell r="I89">
            <v>2</v>
          </cell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>
            <v>2</v>
          </cell>
          <cell r="V89">
            <v>0.66666666666666663</v>
          </cell>
          <cell r="W89" t="str">
            <v>Zero</v>
          </cell>
        </row>
        <row r="90">
          <cell r="E90">
            <v>28825</v>
          </cell>
          <cell r="F90" t="str">
            <v>Nill</v>
          </cell>
          <cell r="G90">
            <v>1</v>
          </cell>
          <cell r="H90">
            <v>30</v>
          </cell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>
            <v>2</v>
          </cell>
          <cell r="U90">
            <v>2</v>
          </cell>
          <cell r="V90">
            <v>2</v>
          </cell>
          <cell r="W90" t="str">
            <v>1 to 10</v>
          </cell>
        </row>
        <row r="91">
          <cell r="E91">
            <v>29069</v>
          </cell>
          <cell r="F91" t="str">
            <v>Nill</v>
          </cell>
          <cell r="G91">
            <v>1</v>
          </cell>
          <cell r="H91">
            <v>30</v>
          </cell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>
            <v>1</v>
          </cell>
          <cell r="U91">
            <v>1</v>
          </cell>
          <cell r="V91">
            <v>1</v>
          </cell>
          <cell r="W91" t="str">
            <v>1 to 10</v>
          </cell>
        </row>
        <row r="92">
          <cell r="E92">
            <v>26881</v>
          </cell>
          <cell r="F92" t="str">
            <v>&lt; 150</v>
          </cell>
          <cell r="G92">
            <v>2</v>
          </cell>
          <cell r="H92">
            <v>60</v>
          </cell>
          <cell r="I92"/>
          <cell r="J92"/>
          <cell r="K92">
            <v>1</v>
          </cell>
          <cell r="L92"/>
          <cell r="M92"/>
          <cell r="N92"/>
          <cell r="O92"/>
          <cell r="P92"/>
          <cell r="Q92"/>
          <cell r="R92"/>
          <cell r="S92"/>
          <cell r="T92"/>
          <cell r="U92">
            <v>1</v>
          </cell>
          <cell r="V92">
            <v>0.5</v>
          </cell>
          <cell r="W92" t="str">
            <v>Zero</v>
          </cell>
        </row>
        <row r="93">
          <cell r="E93">
            <v>28601</v>
          </cell>
          <cell r="F93" t="str">
            <v>&lt; 150</v>
          </cell>
          <cell r="G93">
            <v>2</v>
          </cell>
          <cell r="H93">
            <v>60</v>
          </cell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>
            <v>0</v>
          </cell>
          <cell r="T93"/>
          <cell r="U93">
            <v>0</v>
          </cell>
          <cell r="V93">
            <v>0</v>
          </cell>
          <cell r="W93" t="str">
            <v>Zero</v>
          </cell>
        </row>
        <row r="94">
          <cell r="E94">
            <v>27632</v>
          </cell>
          <cell r="F94" t="str">
            <v>Nill</v>
          </cell>
          <cell r="G94">
            <v>0</v>
          </cell>
          <cell r="H94">
            <v>0</v>
          </cell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>
            <v>0</v>
          </cell>
          <cell r="V94">
            <v>0</v>
          </cell>
          <cell r="W94" t="str">
            <v>Zero</v>
          </cell>
        </row>
        <row r="95">
          <cell r="E95">
            <v>23147</v>
          </cell>
          <cell r="F95" t="str">
            <v>&lt; 150</v>
          </cell>
          <cell r="G95">
            <v>1</v>
          </cell>
          <cell r="H95">
            <v>30</v>
          </cell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>
            <v>0</v>
          </cell>
          <cell r="V95">
            <v>0</v>
          </cell>
          <cell r="W95" t="str">
            <v>Zero</v>
          </cell>
        </row>
        <row r="96">
          <cell r="E96">
            <v>27631</v>
          </cell>
          <cell r="F96" t="str">
            <v>&lt; 150</v>
          </cell>
          <cell r="G96">
            <v>2</v>
          </cell>
          <cell r="H96">
            <v>60</v>
          </cell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>
            <v>0</v>
          </cell>
          <cell r="V96">
            <v>0</v>
          </cell>
          <cell r="W96" t="str">
            <v>Zero</v>
          </cell>
        </row>
        <row r="97">
          <cell r="E97">
            <v>29089</v>
          </cell>
          <cell r="F97" t="str">
            <v>&lt; 150</v>
          </cell>
          <cell r="G97">
            <v>0</v>
          </cell>
          <cell r="H97">
            <v>0</v>
          </cell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>
            <v>0</v>
          </cell>
          <cell r="V97" t="e">
            <v>#DIV/0!</v>
          </cell>
          <cell r="W97" t="e">
            <v>#DIV/0!</v>
          </cell>
        </row>
        <row r="98">
          <cell r="E98">
            <v>28484</v>
          </cell>
          <cell r="F98" t="str">
            <v>Nill</v>
          </cell>
          <cell r="G98">
            <v>0</v>
          </cell>
          <cell r="H98">
            <v>0</v>
          </cell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>
            <v>0</v>
          </cell>
          <cell r="V98">
            <v>0</v>
          </cell>
          <cell r="W98" t="str">
            <v>Zero</v>
          </cell>
        </row>
      </sheetData>
      <sheetData sheetId="8"/>
      <sheetData sheetId="9"/>
      <sheetData sheetId="10"/>
      <sheetData sheetId="11">
        <row r="2">
          <cell r="F2" t="str">
            <v>Code</v>
          </cell>
          <cell r="G2" t="str">
            <v>TXN Category</v>
          </cell>
          <cell r="H2" t="str">
            <v>Month</v>
          </cell>
          <cell r="I2" t="str">
            <v>Target</v>
          </cell>
          <cell r="J2">
            <v>45748</v>
          </cell>
          <cell r="K2">
            <v>45778</v>
          </cell>
          <cell r="L2">
            <v>45809</v>
          </cell>
          <cell r="M2">
            <v>45839</v>
          </cell>
          <cell r="N2">
            <v>45870</v>
          </cell>
          <cell r="O2">
            <v>45901</v>
          </cell>
          <cell r="P2">
            <v>45931</v>
          </cell>
          <cell r="Q2">
            <v>45962</v>
          </cell>
          <cell r="R2">
            <v>45992</v>
          </cell>
          <cell r="S2">
            <v>46023</v>
          </cell>
          <cell r="T2">
            <v>46054</v>
          </cell>
          <cell r="U2">
            <v>46082</v>
          </cell>
          <cell r="V2" t="str">
            <v>Total APY</v>
          </cell>
          <cell r="W2" t="str">
            <v>Average</v>
          </cell>
          <cell r="X2" t="str">
            <v>Category</v>
          </cell>
        </row>
        <row r="3">
          <cell r="F3">
            <v>22775</v>
          </cell>
          <cell r="G3" t="str">
            <v>&lt; 150</v>
          </cell>
          <cell r="H3">
            <v>7</v>
          </cell>
          <cell r="I3">
            <v>84</v>
          </cell>
          <cell r="J3">
            <v>0</v>
          </cell>
          <cell r="K3">
            <v>9</v>
          </cell>
          <cell r="L3">
            <v>5</v>
          </cell>
          <cell r="M3">
            <v>9</v>
          </cell>
          <cell r="N3">
            <v>0</v>
          </cell>
          <cell r="O3">
            <v>15</v>
          </cell>
          <cell r="P3">
            <v>15</v>
          </cell>
          <cell r="Q3">
            <v>12</v>
          </cell>
          <cell r="R3">
            <v>9</v>
          </cell>
          <cell r="S3">
            <v>20</v>
          </cell>
          <cell r="T3">
            <v>44</v>
          </cell>
          <cell r="U3">
            <v>15</v>
          </cell>
          <cell r="V3">
            <v>153</v>
          </cell>
          <cell r="W3">
            <v>19.125</v>
          </cell>
          <cell r="X3" t="str">
            <v>&gt; 10</v>
          </cell>
        </row>
        <row r="4">
          <cell r="F4">
            <v>21926</v>
          </cell>
          <cell r="G4" t="str">
            <v>&gt; 150</v>
          </cell>
          <cell r="H4">
            <v>12</v>
          </cell>
          <cell r="I4">
            <v>144</v>
          </cell>
          <cell r="J4">
            <v>0</v>
          </cell>
          <cell r="K4">
            <v>10</v>
          </cell>
          <cell r="L4">
            <v>0</v>
          </cell>
          <cell r="M4">
            <v>27</v>
          </cell>
          <cell r="N4">
            <v>24</v>
          </cell>
          <cell r="O4">
            <v>3</v>
          </cell>
          <cell r="P4">
            <v>0</v>
          </cell>
          <cell r="Q4">
            <v>22</v>
          </cell>
          <cell r="R4">
            <v>26</v>
          </cell>
          <cell r="S4">
            <v>18</v>
          </cell>
          <cell r="T4">
            <v>0</v>
          </cell>
          <cell r="U4"/>
          <cell r="V4">
            <v>130</v>
          </cell>
          <cell r="W4">
            <v>16.25</v>
          </cell>
          <cell r="X4" t="str">
            <v>&gt; 10</v>
          </cell>
        </row>
        <row r="5">
          <cell r="F5">
            <v>23142</v>
          </cell>
          <cell r="G5" t="str">
            <v>&gt; 450</v>
          </cell>
          <cell r="H5">
            <v>12</v>
          </cell>
          <cell r="I5">
            <v>144</v>
          </cell>
          <cell r="J5">
            <v>3</v>
          </cell>
          <cell r="K5">
            <v>11</v>
          </cell>
          <cell r="L5">
            <v>17</v>
          </cell>
          <cell r="M5">
            <v>26</v>
          </cell>
          <cell r="N5">
            <v>2</v>
          </cell>
          <cell r="O5">
            <v>0</v>
          </cell>
          <cell r="P5">
            <v>2</v>
          </cell>
          <cell r="Q5">
            <v>0</v>
          </cell>
          <cell r="R5">
            <v>4</v>
          </cell>
          <cell r="S5"/>
          <cell r="T5">
            <v>17</v>
          </cell>
          <cell r="U5">
            <v>12</v>
          </cell>
          <cell r="V5">
            <v>94</v>
          </cell>
          <cell r="W5">
            <v>11.75</v>
          </cell>
          <cell r="X5" t="str">
            <v>&gt; 10</v>
          </cell>
        </row>
        <row r="6">
          <cell r="F6">
            <v>26084</v>
          </cell>
          <cell r="G6" t="str">
            <v>&gt; 450</v>
          </cell>
          <cell r="H6">
            <v>12</v>
          </cell>
          <cell r="I6">
            <v>144</v>
          </cell>
          <cell r="J6">
            <v>10</v>
          </cell>
          <cell r="K6">
            <v>5</v>
          </cell>
          <cell r="L6">
            <v>2</v>
          </cell>
          <cell r="M6">
            <v>9</v>
          </cell>
          <cell r="N6">
            <v>3</v>
          </cell>
          <cell r="O6">
            <v>4</v>
          </cell>
          <cell r="P6">
            <v>5</v>
          </cell>
          <cell r="Q6">
            <v>8</v>
          </cell>
          <cell r="R6">
            <v>5</v>
          </cell>
          <cell r="S6">
            <v>8</v>
          </cell>
          <cell r="T6">
            <v>16</v>
          </cell>
          <cell r="U6">
            <v>17</v>
          </cell>
          <cell r="V6">
            <v>92</v>
          </cell>
          <cell r="W6">
            <v>11.5</v>
          </cell>
          <cell r="X6" t="str">
            <v>&gt; 10</v>
          </cell>
        </row>
        <row r="7">
          <cell r="F7">
            <v>26588</v>
          </cell>
          <cell r="G7" t="str">
            <v>&gt; 300</v>
          </cell>
          <cell r="H7">
            <v>12</v>
          </cell>
          <cell r="I7">
            <v>144</v>
          </cell>
          <cell r="J7">
            <v>0</v>
          </cell>
          <cell r="K7">
            <v>2</v>
          </cell>
          <cell r="L7">
            <v>10</v>
          </cell>
          <cell r="M7">
            <v>3</v>
          </cell>
          <cell r="N7">
            <v>16</v>
          </cell>
          <cell r="O7">
            <v>11</v>
          </cell>
          <cell r="P7">
            <v>0</v>
          </cell>
          <cell r="Q7">
            <v>1</v>
          </cell>
          <cell r="R7">
            <v>4</v>
          </cell>
          <cell r="S7">
            <v>8</v>
          </cell>
          <cell r="T7">
            <v>0</v>
          </cell>
          <cell r="U7">
            <v>32</v>
          </cell>
          <cell r="V7">
            <v>87</v>
          </cell>
          <cell r="W7">
            <v>10.875</v>
          </cell>
          <cell r="X7" t="str">
            <v>&gt; 10</v>
          </cell>
        </row>
        <row r="8">
          <cell r="F8">
            <v>23429</v>
          </cell>
          <cell r="G8" t="str">
            <v>&gt; 900</v>
          </cell>
          <cell r="H8">
            <v>12</v>
          </cell>
          <cell r="I8">
            <v>144</v>
          </cell>
          <cell r="J8">
            <v>1</v>
          </cell>
          <cell r="K8">
            <v>2</v>
          </cell>
          <cell r="L8">
            <v>0</v>
          </cell>
          <cell r="M8">
            <v>20</v>
          </cell>
          <cell r="N8">
            <v>19</v>
          </cell>
          <cell r="O8">
            <v>15</v>
          </cell>
          <cell r="P8">
            <v>4</v>
          </cell>
          <cell r="Q8">
            <v>0</v>
          </cell>
          <cell r="R8">
            <v>7</v>
          </cell>
          <cell r="S8"/>
          <cell r="T8">
            <v>17</v>
          </cell>
          <cell r="U8">
            <v>1</v>
          </cell>
          <cell r="V8">
            <v>86</v>
          </cell>
          <cell r="W8">
            <v>10.75</v>
          </cell>
          <cell r="X8" t="str">
            <v>&gt; 10</v>
          </cell>
        </row>
        <row r="9">
          <cell r="F9">
            <v>21091</v>
          </cell>
          <cell r="G9" t="str">
            <v>&gt; 150</v>
          </cell>
          <cell r="H9">
            <v>12</v>
          </cell>
          <cell r="I9">
            <v>144</v>
          </cell>
          <cell r="J9">
            <v>0</v>
          </cell>
          <cell r="K9">
            <v>1</v>
          </cell>
          <cell r="L9">
            <v>8</v>
          </cell>
          <cell r="M9">
            <v>16</v>
          </cell>
          <cell r="N9">
            <v>8</v>
          </cell>
          <cell r="O9">
            <v>3</v>
          </cell>
          <cell r="P9">
            <v>0</v>
          </cell>
          <cell r="Q9">
            <v>0</v>
          </cell>
          <cell r="R9">
            <v>2</v>
          </cell>
          <cell r="S9">
            <v>8</v>
          </cell>
          <cell r="T9">
            <v>15</v>
          </cell>
          <cell r="U9">
            <v>16</v>
          </cell>
          <cell r="V9">
            <v>77</v>
          </cell>
          <cell r="W9">
            <v>9.625</v>
          </cell>
          <cell r="X9" t="str">
            <v>8 to 10</v>
          </cell>
        </row>
        <row r="10">
          <cell r="F10">
            <v>22346</v>
          </cell>
          <cell r="G10" t="str">
            <v>&gt; 1500</v>
          </cell>
          <cell r="H10">
            <v>12</v>
          </cell>
          <cell r="I10">
            <v>144</v>
          </cell>
          <cell r="J10">
            <v>5</v>
          </cell>
          <cell r="K10">
            <v>5</v>
          </cell>
          <cell r="L10">
            <v>3</v>
          </cell>
          <cell r="M10">
            <v>5</v>
          </cell>
          <cell r="N10">
            <v>5</v>
          </cell>
          <cell r="O10">
            <v>3</v>
          </cell>
          <cell r="P10">
            <v>3</v>
          </cell>
          <cell r="Q10">
            <v>5</v>
          </cell>
          <cell r="R10">
            <v>11</v>
          </cell>
          <cell r="S10">
            <v>4</v>
          </cell>
          <cell r="T10">
            <v>16</v>
          </cell>
          <cell r="U10">
            <v>4</v>
          </cell>
          <cell r="V10">
            <v>69</v>
          </cell>
          <cell r="W10">
            <v>8.625</v>
          </cell>
          <cell r="X10" t="str">
            <v>8 to 10</v>
          </cell>
        </row>
        <row r="11">
          <cell r="F11">
            <v>27154</v>
          </cell>
          <cell r="G11" t="str">
            <v>&gt; 600</v>
          </cell>
          <cell r="H11">
            <v>12</v>
          </cell>
          <cell r="I11">
            <v>144</v>
          </cell>
          <cell r="J11">
            <v>0</v>
          </cell>
          <cell r="K11">
            <v>3</v>
          </cell>
          <cell r="L11">
            <v>2</v>
          </cell>
          <cell r="M11">
            <v>0</v>
          </cell>
          <cell r="N11">
            <v>2</v>
          </cell>
          <cell r="O11">
            <v>5</v>
          </cell>
          <cell r="P11">
            <v>4</v>
          </cell>
          <cell r="Q11">
            <v>9</v>
          </cell>
          <cell r="R11">
            <v>9</v>
          </cell>
          <cell r="S11">
            <v>14</v>
          </cell>
          <cell r="T11">
            <v>10</v>
          </cell>
          <cell r="U11">
            <v>9</v>
          </cell>
          <cell r="V11">
            <v>67</v>
          </cell>
          <cell r="W11">
            <v>8.375</v>
          </cell>
          <cell r="X11" t="str">
            <v>8 to 10</v>
          </cell>
        </row>
        <row r="12">
          <cell r="F12">
            <v>27219</v>
          </cell>
          <cell r="G12" t="str">
            <v>&gt; 300</v>
          </cell>
          <cell r="H12">
            <v>12</v>
          </cell>
          <cell r="I12">
            <v>144</v>
          </cell>
          <cell r="J12">
            <v>0</v>
          </cell>
          <cell r="K12">
            <v>5</v>
          </cell>
          <cell r="L12">
            <v>3</v>
          </cell>
          <cell r="M12">
            <v>11</v>
          </cell>
          <cell r="N12">
            <v>4</v>
          </cell>
          <cell r="O12">
            <v>4</v>
          </cell>
          <cell r="P12">
            <v>3</v>
          </cell>
          <cell r="Q12">
            <v>1</v>
          </cell>
          <cell r="R12">
            <v>1</v>
          </cell>
          <cell r="S12">
            <v>7</v>
          </cell>
          <cell r="T12">
            <v>2</v>
          </cell>
          <cell r="U12">
            <v>15</v>
          </cell>
          <cell r="V12">
            <v>56</v>
          </cell>
          <cell r="W12">
            <v>7</v>
          </cell>
          <cell r="X12" t="str">
            <v>6 to 8</v>
          </cell>
        </row>
        <row r="13">
          <cell r="F13">
            <v>23969</v>
          </cell>
          <cell r="G13" t="str">
            <v>&gt; 450</v>
          </cell>
          <cell r="H13">
            <v>12</v>
          </cell>
          <cell r="I13">
            <v>144</v>
          </cell>
          <cell r="J13">
            <v>2</v>
          </cell>
          <cell r="K13">
            <v>2</v>
          </cell>
          <cell r="L13">
            <v>4</v>
          </cell>
          <cell r="M13">
            <v>4</v>
          </cell>
          <cell r="N13">
            <v>2</v>
          </cell>
          <cell r="O13">
            <v>10</v>
          </cell>
          <cell r="P13">
            <v>4</v>
          </cell>
          <cell r="Q13">
            <v>2</v>
          </cell>
          <cell r="R13">
            <v>1</v>
          </cell>
          <cell r="S13">
            <v>4</v>
          </cell>
          <cell r="T13">
            <v>4</v>
          </cell>
          <cell r="U13">
            <v>17</v>
          </cell>
          <cell r="V13">
            <v>56</v>
          </cell>
          <cell r="W13">
            <v>7</v>
          </cell>
          <cell r="X13" t="str">
            <v>6 to 8</v>
          </cell>
        </row>
        <row r="14">
          <cell r="F14">
            <v>28085</v>
          </cell>
          <cell r="G14" t="str">
            <v>&gt; 150</v>
          </cell>
          <cell r="H14">
            <v>8</v>
          </cell>
          <cell r="I14">
            <v>96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  <cell r="Q14">
            <v>3</v>
          </cell>
          <cell r="R14">
            <v>0</v>
          </cell>
          <cell r="S14">
            <v>6</v>
          </cell>
          <cell r="T14">
            <v>20</v>
          </cell>
          <cell r="U14">
            <v>21</v>
          </cell>
          <cell r="V14">
            <v>53</v>
          </cell>
          <cell r="W14">
            <v>6.625</v>
          </cell>
          <cell r="X14" t="str">
            <v>6 to 8</v>
          </cell>
        </row>
        <row r="15">
          <cell r="F15">
            <v>28176</v>
          </cell>
          <cell r="G15" t="str">
            <v>&gt; 450</v>
          </cell>
          <cell r="H15">
            <v>7</v>
          </cell>
          <cell r="I15">
            <v>84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6</v>
          </cell>
          <cell r="Q15">
            <v>10</v>
          </cell>
          <cell r="R15">
            <v>12</v>
          </cell>
          <cell r="S15">
            <v>13</v>
          </cell>
          <cell r="T15">
            <v>6</v>
          </cell>
          <cell r="U15">
            <v>4</v>
          </cell>
          <cell r="V15">
            <v>52</v>
          </cell>
          <cell r="W15">
            <v>6.5</v>
          </cell>
          <cell r="X15" t="str">
            <v>6 to 8</v>
          </cell>
        </row>
        <row r="16">
          <cell r="F16">
            <v>21583</v>
          </cell>
          <cell r="G16" t="str">
            <v>&gt; 900</v>
          </cell>
          <cell r="H16">
            <v>12</v>
          </cell>
          <cell r="I16">
            <v>144</v>
          </cell>
          <cell r="J16">
            <v>0</v>
          </cell>
          <cell r="K16">
            <v>3</v>
          </cell>
          <cell r="L16">
            <v>5</v>
          </cell>
          <cell r="M16">
            <v>15</v>
          </cell>
          <cell r="N16">
            <v>2</v>
          </cell>
          <cell r="O16">
            <v>4</v>
          </cell>
          <cell r="P16">
            <v>1</v>
          </cell>
          <cell r="Q16">
            <v>1</v>
          </cell>
          <cell r="R16">
            <v>4</v>
          </cell>
          <cell r="S16">
            <v>10</v>
          </cell>
          <cell r="T16">
            <v>0</v>
          </cell>
          <cell r="U16">
            <v>6</v>
          </cell>
          <cell r="V16">
            <v>51</v>
          </cell>
          <cell r="W16">
            <v>6.375</v>
          </cell>
          <cell r="X16" t="str">
            <v>6 to 8</v>
          </cell>
        </row>
        <row r="17">
          <cell r="F17">
            <v>23178</v>
          </cell>
          <cell r="G17" t="str">
            <v>&gt; 600</v>
          </cell>
          <cell r="H17">
            <v>12</v>
          </cell>
          <cell r="I17">
            <v>144</v>
          </cell>
          <cell r="J17">
            <v>0</v>
          </cell>
          <cell r="K17">
            <v>2</v>
          </cell>
          <cell r="L17">
            <v>2</v>
          </cell>
          <cell r="M17">
            <v>10</v>
          </cell>
          <cell r="N17">
            <v>9</v>
          </cell>
          <cell r="O17">
            <v>4</v>
          </cell>
          <cell r="P17">
            <v>0</v>
          </cell>
          <cell r="Q17">
            <v>4</v>
          </cell>
          <cell r="R17">
            <v>3</v>
          </cell>
          <cell r="S17">
            <v>12</v>
          </cell>
          <cell r="T17">
            <v>0</v>
          </cell>
          <cell r="U17">
            <v>3</v>
          </cell>
          <cell r="V17">
            <v>49</v>
          </cell>
          <cell r="W17">
            <v>6.125</v>
          </cell>
          <cell r="X17" t="str">
            <v>6 to 8</v>
          </cell>
        </row>
        <row r="18">
          <cell r="F18">
            <v>22404</v>
          </cell>
          <cell r="G18" t="str">
            <v>&gt; 600</v>
          </cell>
          <cell r="H18">
            <v>12</v>
          </cell>
          <cell r="I18">
            <v>144</v>
          </cell>
          <cell r="J18">
            <v>0</v>
          </cell>
          <cell r="K18">
            <v>1</v>
          </cell>
          <cell r="L18">
            <v>0</v>
          </cell>
          <cell r="M18">
            <v>4</v>
          </cell>
          <cell r="N18">
            <v>7</v>
          </cell>
          <cell r="O18">
            <v>7</v>
          </cell>
          <cell r="P18">
            <v>0</v>
          </cell>
          <cell r="Q18">
            <v>1</v>
          </cell>
          <cell r="R18">
            <v>5</v>
          </cell>
          <cell r="S18">
            <v>4</v>
          </cell>
          <cell r="T18">
            <v>16</v>
          </cell>
          <cell r="U18">
            <v>3</v>
          </cell>
          <cell r="V18">
            <v>48</v>
          </cell>
          <cell r="W18">
            <v>6</v>
          </cell>
          <cell r="X18" t="str">
            <v>6 to 8</v>
          </cell>
        </row>
        <row r="19">
          <cell r="F19">
            <v>28485</v>
          </cell>
          <cell r="G19" t="str">
            <v>&gt; 150</v>
          </cell>
          <cell r="H19">
            <v>6</v>
          </cell>
          <cell r="I19">
            <v>72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3</v>
          </cell>
          <cell r="T19">
            <v>6</v>
          </cell>
          <cell r="U19">
            <v>36</v>
          </cell>
          <cell r="V19">
            <v>45</v>
          </cell>
          <cell r="W19">
            <v>5.625</v>
          </cell>
          <cell r="X19" t="str">
            <v>4 to 6</v>
          </cell>
        </row>
        <row r="20">
          <cell r="F20">
            <v>26399</v>
          </cell>
          <cell r="G20" t="str">
            <v>&gt; 900</v>
          </cell>
          <cell r="H20">
            <v>12</v>
          </cell>
          <cell r="I20">
            <v>144</v>
          </cell>
          <cell r="J20">
            <v>0</v>
          </cell>
          <cell r="K20">
            <v>2</v>
          </cell>
          <cell r="L20">
            <v>2</v>
          </cell>
          <cell r="M20">
            <v>4</v>
          </cell>
          <cell r="N20">
            <v>2</v>
          </cell>
          <cell r="O20">
            <v>1</v>
          </cell>
          <cell r="P20">
            <v>1</v>
          </cell>
          <cell r="Q20">
            <v>3</v>
          </cell>
          <cell r="R20">
            <v>3</v>
          </cell>
          <cell r="S20">
            <v>3</v>
          </cell>
          <cell r="T20">
            <v>15</v>
          </cell>
          <cell r="U20">
            <v>9</v>
          </cell>
          <cell r="V20">
            <v>45</v>
          </cell>
          <cell r="W20">
            <v>5.625</v>
          </cell>
          <cell r="X20" t="str">
            <v>4 to 6</v>
          </cell>
        </row>
        <row r="21">
          <cell r="F21">
            <v>27220</v>
          </cell>
          <cell r="G21" t="str">
            <v>&gt; 450</v>
          </cell>
          <cell r="H21">
            <v>12</v>
          </cell>
          <cell r="I21">
            <v>144</v>
          </cell>
          <cell r="J21">
            <v>1</v>
          </cell>
          <cell r="K21">
            <v>1</v>
          </cell>
          <cell r="L21">
            <v>0</v>
          </cell>
          <cell r="M21">
            <v>0</v>
          </cell>
          <cell r="N21">
            <v>2</v>
          </cell>
          <cell r="O21">
            <v>2</v>
          </cell>
          <cell r="P21">
            <v>1</v>
          </cell>
          <cell r="Q21">
            <v>6</v>
          </cell>
          <cell r="R21">
            <v>2</v>
          </cell>
          <cell r="S21">
            <v>5</v>
          </cell>
          <cell r="T21">
            <v>17</v>
          </cell>
          <cell r="U21">
            <v>7</v>
          </cell>
          <cell r="V21">
            <v>44</v>
          </cell>
          <cell r="W21">
            <v>5.5</v>
          </cell>
          <cell r="X21" t="str">
            <v>4 to 6</v>
          </cell>
        </row>
        <row r="22">
          <cell r="F22">
            <v>27372</v>
          </cell>
          <cell r="G22" t="str">
            <v>&gt; 300</v>
          </cell>
          <cell r="H22">
            <v>12</v>
          </cell>
          <cell r="I22">
            <v>144</v>
          </cell>
          <cell r="J22">
            <v>0</v>
          </cell>
          <cell r="K22">
            <v>2</v>
          </cell>
          <cell r="L22">
            <v>9</v>
          </cell>
          <cell r="M22">
            <v>15</v>
          </cell>
          <cell r="N22">
            <v>3</v>
          </cell>
          <cell r="O22">
            <v>7</v>
          </cell>
          <cell r="P22">
            <v>0</v>
          </cell>
          <cell r="Q22">
            <v>3</v>
          </cell>
          <cell r="R22">
            <v>1</v>
          </cell>
          <cell r="S22">
            <v>3</v>
          </cell>
          <cell r="T22">
            <v>0</v>
          </cell>
          <cell r="U22"/>
          <cell r="V22">
            <v>43</v>
          </cell>
          <cell r="W22">
            <v>5.375</v>
          </cell>
          <cell r="X22" t="str">
            <v>4 to 6</v>
          </cell>
        </row>
        <row r="23">
          <cell r="F23">
            <v>21999</v>
          </cell>
          <cell r="G23" t="str">
            <v>&gt; 1500</v>
          </cell>
          <cell r="H23">
            <v>12</v>
          </cell>
          <cell r="I23">
            <v>144</v>
          </cell>
          <cell r="J23">
            <v>0</v>
          </cell>
          <cell r="K23">
            <v>0</v>
          </cell>
          <cell r="L23">
            <v>2</v>
          </cell>
          <cell r="M23">
            <v>1</v>
          </cell>
          <cell r="N23">
            <v>8</v>
          </cell>
          <cell r="O23">
            <v>4</v>
          </cell>
          <cell r="P23">
            <v>0</v>
          </cell>
          <cell r="Q23">
            <v>0</v>
          </cell>
          <cell r="R23">
            <v>1</v>
          </cell>
          <cell r="S23">
            <v>15</v>
          </cell>
          <cell r="T23">
            <v>4</v>
          </cell>
          <cell r="U23">
            <v>8</v>
          </cell>
          <cell r="V23">
            <v>43</v>
          </cell>
          <cell r="W23">
            <v>5.375</v>
          </cell>
          <cell r="X23" t="str">
            <v>4 to 6</v>
          </cell>
        </row>
        <row r="24">
          <cell r="F24">
            <v>22773</v>
          </cell>
          <cell r="G24" t="str">
            <v>&gt; 450</v>
          </cell>
          <cell r="H24">
            <v>12</v>
          </cell>
          <cell r="I24">
            <v>144</v>
          </cell>
          <cell r="J24">
            <v>3</v>
          </cell>
          <cell r="K24">
            <v>3</v>
          </cell>
          <cell r="L24">
            <v>3</v>
          </cell>
          <cell r="M24">
            <v>5</v>
          </cell>
          <cell r="N24">
            <v>2</v>
          </cell>
          <cell r="O24">
            <v>3</v>
          </cell>
          <cell r="P24">
            <v>4</v>
          </cell>
          <cell r="Q24">
            <v>4</v>
          </cell>
          <cell r="R24">
            <v>4</v>
          </cell>
          <cell r="S24">
            <v>3</v>
          </cell>
          <cell r="T24">
            <v>4</v>
          </cell>
          <cell r="U24">
            <v>4</v>
          </cell>
          <cell r="V24">
            <v>42</v>
          </cell>
          <cell r="W24">
            <v>5.25</v>
          </cell>
          <cell r="X24" t="str">
            <v>4 to 6</v>
          </cell>
        </row>
        <row r="25">
          <cell r="F25">
            <v>27630</v>
          </cell>
          <cell r="G25" t="str">
            <v>&gt; 450</v>
          </cell>
          <cell r="H25">
            <v>12</v>
          </cell>
          <cell r="I25">
            <v>144</v>
          </cell>
          <cell r="J25">
            <v>0</v>
          </cell>
          <cell r="K25">
            <v>0</v>
          </cell>
          <cell r="L25">
            <v>0</v>
          </cell>
          <cell r="M25">
            <v>17</v>
          </cell>
          <cell r="N25">
            <v>3</v>
          </cell>
          <cell r="O25">
            <v>3</v>
          </cell>
          <cell r="P25">
            <v>2</v>
          </cell>
          <cell r="Q25">
            <v>0</v>
          </cell>
          <cell r="R25">
            <v>0</v>
          </cell>
          <cell r="S25"/>
          <cell r="T25">
            <v>2</v>
          </cell>
          <cell r="U25">
            <v>13</v>
          </cell>
          <cell r="V25">
            <v>40</v>
          </cell>
          <cell r="W25">
            <v>5</v>
          </cell>
          <cell r="X25" t="str">
            <v>4 to 6</v>
          </cell>
        </row>
        <row r="26">
          <cell r="F26">
            <v>22365</v>
          </cell>
          <cell r="G26" t="str">
            <v>&gt; 450</v>
          </cell>
          <cell r="H26">
            <v>12</v>
          </cell>
          <cell r="I26">
            <v>144</v>
          </cell>
          <cell r="J26">
            <v>0</v>
          </cell>
          <cell r="K26">
            <v>2</v>
          </cell>
          <cell r="L26">
            <v>6</v>
          </cell>
          <cell r="M26">
            <v>3</v>
          </cell>
          <cell r="N26">
            <v>2</v>
          </cell>
          <cell r="O26">
            <v>2</v>
          </cell>
          <cell r="P26">
            <v>3</v>
          </cell>
          <cell r="Q26">
            <v>2</v>
          </cell>
          <cell r="R26">
            <v>2</v>
          </cell>
          <cell r="S26">
            <v>5</v>
          </cell>
          <cell r="T26">
            <v>5</v>
          </cell>
          <cell r="U26">
            <v>4</v>
          </cell>
          <cell r="V26">
            <v>36</v>
          </cell>
          <cell r="W26">
            <v>4.5</v>
          </cell>
          <cell r="X26" t="str">
            <v>4 to 6</v>
          </cell>
        </row>
        <row r="27">
          <cell r="F27">
            <v>20502</v>
          </cell>
          <cell r="G27" t="str">
            <v>&lt; 150</v>
          </cell>
          <cell r="H27">
            <v>12</v>
          </cell>
          <cell r="I27">
            <v>144</v>
          </cell>
          <cell r="J27">
            <v>0</v>
          </cell>
          <cell r="K27">
            <v>3</v>
          </cell>
          <cell r="L27">
            <v>2</v>
          </cell>
          <cell r="M27">
            <v>4</v>
          </cell>
          <cell r="N27">
            <v>0</v>
          </cell>
          <cell r="O27">
            <v>3</v>
          </cell>
          <cell r="P27">
            <v>1</v>
          </cell>
          <cell r="Q27">
            <v>2</v>
          </cell>
          <cell r="R27">
            <v>1</v>
          </cell>
          <cell r="S27">
            <v>15</v>
          </cell>
          <cell r="T27">
            <v>2</v>
          </cell>
          <cell r="U27"/>
          <cell r="V27">
            <v>33</v>
          </cell>
          <cell r="W27">
            <v>4.125</v>
          </cell>
          <cell r="X27" t="str">
            <v>4 to 6</v>
          </cell>
        </row>
        <row r="28">
          <cell r="F28">
            <v>22126</v>
          </cell>
          <cell r="G28" t="str">
            <v>&gt; 2000</v>
          </cell>
          <cell r="H28">
            <v>12</v>
          </cell>
          <cell r="I28">
            <v>144</v>
          </cell>
          <cell r="J28">
            <v>0</v>
          </cell>
          <cell r="K28">
            <v>2</v>
          </cell>
          <cell r="L28">
            <v>0</v>
          </cell>
          <cell r="M28">
            <v>1</v>
          </cell>
          <cell r="N28">
            <v>2</v>
          </cell>
          <cell r="O28">
            <v>1</v>
          </cell>
          <cell r="P28">
            <v>0</v>
          </cell>
          <cell r="Q28">
            <v>3</v>
          </cell>
          <cell r="R28">
            <v>1</v>
          </cell>
          <cell r="S28">
            <v>6</v>
          </cell>
          <cell r="T28">
            <v>15</v>
          </cell>
          <cell r="U28"/>
          <cell r="V28">
            <v>31</v>
          </cell>
          <cell r="W28">
            <v>3.875</v>
          </cell>
          <cell r="X28" t="str">
            <v>1 to 4</v>
          </cell>
        </row>
        <row r="29">
          <cell r="F29">
            <v>22789</v>
          </cell>
          <cell r="G29" t="str">
            <v>&gt; 2000</v>
          </cell>
          <cell r="H29">
            <v>12</v>
          </cell>
          <cell r="I29">
            <v>144</v>
          </cell>
          <cell r="J29">
            <v>0</v>
          </cell>
          <cell r="K29">
            <v>3</v>
          </cell>
          <cell r="L29">
            <v>2</v>
          </cell>
          <cell r="M29">
            <v>3</v>
          </cell>
          <cell r="N29">
            <v>3</v>
          </cell>
          <cell r="O29">
            <v>2</v>
          </cell>
          <cell r="P29">
            <v>3</v>
          </cell>
          <cell r="Q29">
            <v>3</v>
          </cell>
          <cell r="R29">
            <v>4</v>
          </cell>
          <cell r="S29">
            <v>3</v>
          </cell>
          <cell r="T29">
            <v>3</v>
          </cell>
          <cell r="U29">
            <v>2</v>
          </cell>
          <cell r="V29">
            <v>31</v>
          </cell>
          <cell r="W29">
            <v>3.875</v>
          </cell>
          <cell r="X29" t="str">
            <v>1 to 4</v>
          </cell>
        </row>
        <row r="30">
          <cell r="F30">
            <v>22131</v>
          </cell>
          <cell r="G30" t="str">
            <v>&gt; 900</v>
          </cell>
          <cell r="H30">
            <v>12</v>
          </cell>
          <cell r="I30">
            <v>144</v>
          </cell>
          <cell r="J30">
            <v>1</v>
          </cell>
          <cell r="K30">
            <v>0</v>
          </cell>
          <cell r="L30">
            <v>2</v>
          </cell>
          <cell r="M30">
            <v>1</v>
          </cell>
          <cell r="N30">
            <v>0</v>
          </cell>
          <cell r="O30">
            <v>1</v>
          </cell>
          <cell r="P30">
            <v>14</v>
          </cell>
          <cell r="Q30">
            <v>1</v>
          </cell>
          <cell r="R30">
            <v>2</v>
          </cell>
          <cell r="S30">
            <v>1</v>
          </cell>
          <cell r="T30">
            <v>6</v>
          </cell>
          <cell r="U30">
            <v>2</v>
          </cell>
          <cell r="V30">
            <v>31</v>
          </cell>
          <cell r="W30">
            <v>3.875</v>
          </cell>
          <cell r="X30" t="str">
            <v>1 to 4</v>
          </cell>
        </row>
        <row r="31">
          <cell r="F31">
            <v>22130</v>
          </cell>
          <cell r="G31" t="str">
            <v>&gt; 300</v>
          </cell>
          <cell r="H31">
            <v>12</v>
          </cell>
          <cell r="I31">
            <v>144</v>
          </cell>
          <cell r="J31">
            <v>0</v>
          </cell>
          <cell r="K31">
            <v>1</v>
          </cell>
          <cell r="L31">
            <v>1</v>
          </cell>
          <cell r="M31">
            <v>3</v>
          </cell>
          <cell r="N31">
            <v>2</v>
          </cell>
          <cell r="O31">
            <v>5</v>
          </cell>
          <cell r="P31">
            <v>4</v>
          </cell>
          <cell r="Q31">
            <v>0</v>
          </cell>
          <cell r="R31">
            <v>2</v>
          </cell>
          <cell r="S31">
            <v>2</v>
          </cell>
          <cell r="T31">
            <v>3</v>
          </cell>
          <cell r="U31">
            <v>5</v>
          </cell>
          <cell r="V31">
            <v>28</v>
          </cell>
          <cell r="W31">
            <v>3.5</v>
          </cell>
          <cell r="X31" t="str">
            <v>1 to 4</v>
          </cell>
        </row>
        <row r="32">
          <cell r="F32">
            <v>26810</v>
          </cell>
          <cell r="G32" t="str">
            <v>&gt; 300</v>
          </cell>
          <cell r="H32">
            <v>12</v>
          </cell>
          <cell r="I32">
            <v>144</v>
          </cell>
          <cell r="J32">
            <v>0</v>
          </cell>
          <cell r="K32">
            <v>1</v>
          </cell>
          <cell r="L32">
            <v>0</v>
          </cell>
          <cell r="M32">
            <v>0</v>
          </cell>
          <cell r="N32">
            <v>3</v>
          </cell>
          <cell r="O32">
            <v>1</v>
          </cell>
          <cell r="P32">
            <v>2</v>
          </cell>
          <cell r="Q32">
            <v>0</v>
          </cell>
          <cell r="R32">
            <v>1</v>
          </cell>
          <cell r="S32"/>
          <cell r="T32">
            <v>2</v>
          </cell>
          <cell r="U32">
            <v>17</v>
          </cell>
          <cell r="V32">
            <v>27</v>
          </cell>
          <cell r="W32">
            <v>3.375</v>
          </cell>
          <cell r="X32" t="str">
            <v>1 to 4</v>
          </cell>
        </row>
        <row r="33">
          <cell r="F33">
            <v>27028</v>
          </cell>
          <cell r="G33" t="str">
            <v>&gt; 300</v>
          </cell>
          <cell r="H33">
            <v>12</v>
          </cell>
          <cell r="I33">
            <v>144</v>
          </cell>
          <cell r="J33">
            <v>3</v>
          </cell>
          <cell r="K33">
            <v>4</v>
          </cell>
          <cell r="L33">
            <v>1</v>
          </cell>
          <cell r="M33">
            <v>4</v>
          </cell>
          <cell r="N33">
            <v>1</v>
          </cell>
          <cell r="O33">
            <v>1</v>
          </cell>
          <cell r="P33">
            <v>2</v>
          </cell>
          <cell r="Q33">
            <v>1</v>
          </cell>
          <cell r="R33">
            <v>1</v>
          </cell>
          <cell r="S33">
            <v>5</v>
          </cell>
          <cell r="T33">
            <v>2</v>
          </cell>
          <cell r="U33">
            <v>1</v>
          </cell>
          <cell r="V33">
            <v>26</v>
          </cell>
          <cell r="W33">
            <v>3.25</v>
          </cell>
          <cell r="X33" t="str">
            <v>1 to 4</v>
          </cell>
        </row>
        <row r="34">
          <cell r="F34">
            <v>26015</v>
          </cell>
          <cell r="G34" t="str">
            <v>&gt; 300</v>
          </cell>
          <cell r="H34">
            <v>12</v>
          </cell>
          <cell r="I34">
            <v>144</v>
          </cell>
          <cell r="J34">
            <v>1</v>
          </cell>
          <cell r="K34">
            <v>0</v>
          </cell>
          <cell r="L34">
            <v>1</v>
          </cell>
          <cell r="M34">
            <v>6</v>
          </cell>
          <cell r="N34">
            <v>6</v>
          </cell>
          <cell r="O34">
            <v>2</v>
          </cell>
          <cell r="P34">
            <v>3</v>
          </cell>
          <cell r="Q34">
            <v>0</v>
          </cell>
          <cell r="R34">
            <v>3</v>
          </cell>
          <cell r="S34"/>
          <cell r="T34">
            <v>1</v>
          </cell>
          <cell r="U34">
            <v>3</v>
          </cell>
          <cell r="V34">
            <v>26</v>
          </cell>
          <cell r="W34">
            <v>3.25</v>
          </cell>
          <cell r="X34" t="str">
            <v>1 to 4</v>
          </cell>
        </row>
        <row r="35">
          <cell r="F35">
            <v>21998</v>
          </cell>
          <cell r="G35" t="str">
            <v>&gt; 900</v>
          </cell>
          <cell r="H35">
            <v>12</v>
          </cell>
          <cell r="I35">
            <v>144</v>
          </cell>
          <cell r="J35">
            <v>0</v>
          </cell>
          <cell r="K35">
            <v>1</v>
          </cell>
          <cell r="L35">
            <v>1</v>
          </cell>
          <cell r="M35">
            <v>5</v>
          </cell>
          <cell r="N35">
            <v>0</v>
          </cell>
          <cell r="O35">
            <v>3</v>
          </cell>
          <cell r="P35">
            <v>4</v>
          </cell>
          <cell r="Q35">
            <v>2</v>
          </cell>
          <cell r="R35">
            <v>2</v>
          </cell>
          <cell r="S35">
            <v>5</v>
          </cell>
          <cell r="T35">
            <v>0</v>
          </cell>
          <cell r="U35">
            <v>2</v>
          </cell>
          <cell r="V35">
            <v>25</v>
          </cell>
          <cell r="W35">
            <v>3.125</v>
          </cell>
          <cell r="X35" t="str">
            <v>1 to 4</v>
          </cell>
        </row>
        <row r="36">
          <cell r="F36">
            <v>24153</v>
          </cell>
          <cell r="G36" t="str">
            <v>&gt; 600</v>
          </cell>
          <cell r="H36">
            <v>12</v>
          </cell>
          <cell r="I36">
            <v>144</v>
          </cell>
          <cell r="J36">
            <v>0</v>
          </cell>
          <cell r="K36">
            <v>1</v>
          </cell>
          <cell r="L36">
            <v>6</v>
          </cell>
          <cell r="M36">
            <v>6</v>
          </cell>
          <cell r="N36">
            <v>2</v>
          </cell>
          <cell r="O36">
            <v>0</v>
          </cell>
          <cell r="P36">
            <v>0</v>
          </cell>
          <cell r="Q36">
            <v>0</v>
          </cell>
          <cell r="R36">
            <v>1</v>
          </cell>
          <cell r="S36"/>
          <cell r="T36">
            <v>2</v>
          </cell>
          <cell r="U36">
            <v>5</v>
          </cell>
          <cell r="V36">
            <v>23</v>
          </cell>
          <cell r="W36">
            <v>2.875</v>
          </cell>
          <cell r="X36" t="str">
            <v>1 to 4</v>
          </cell>
        </row>
        <row r="37">
          <cell r="F37">
            <v>23565</v>
          </cell>
          <cell r="G37" t="str">
            <v>&gt; 150</v>
          </cell>
          <cell r="H37">
            <v>12</v>
          </cell>
          <cell r="I37">
            <v>144</v>
          </cell>
          <cell r="J37">
            <v>0</v>
          </cell>
          <cell r="K37">
            <v>1</v>
          </cell>
          <cell r="L37">
            <v>0</v>
          </cell>
          <cell r="M37">
            <v>2</v>
          </cell>
          <cell r="N37">
            <v>0</v>
          </cell>
          <cell r="O37">
            <v>0</v>
          </cell>
          <cell r="P37">
            <v>1</v>
          </cell>
          <cell r="Q37">
            <v>0</v>
          </cell>
          <cell r="R37">
            <v>0</v>
          </cell>
          <cell r="S37"/>
          <cell r="T37">
            <v>8</v>
          </cell>
          <cell r="U37">
            <v>9</v>
          </cell>
          <cell r="V37">
            <v>21</v>
          </cell>
          <cell r="W37">
            <v>2.625</v>
          </cell>
          <cell r="X37" t="str">
            <v>1 to 4</v>
          </cell>
        </row>
        <row r="38">
          <cell r="F38">
            <v>22401</v>
          </cell>
          <cell r="G38" t="str">
            <v>&gt; 150</v>
          </cell>
          <cell r="H38">
            <v>12</v>
          </cell>
          <cell r="I38">
            <v>144</v>
          </cell>
          <cell r="J38">
            <v>0</v>
          </cell>
          <cell r="K38">
            <v>2</v>
          </cell>
          <cell r="L38">
            <v>1</v>
          </cell>
          <cell r="M38">
            <v>4</v>
          </cell>
          <cell r="N38">
            <v>1</v>
          </cell>
          <cell r="O38">
            <v>1</v>
          </cell>
          <cell r="P38">
            <v>0</v>
          </cell>
          <cell r="Q38">
            <v>1</v>
          </cell>
          <cell r="R38">
            <v>0</v>
          </cell>
          <cell r="S38">
            <v>2</v>
          </cell>
          <cell r="T38">
            <v>7</v>
          </cell>
          <cell r="U38">
            <v>1</v>
          </cell>
          <cell r="V38">
            <v>20</v>
          </cell>
          <cell r="W38">
            <v>2.5</v>
          </cell>
          <cell r="X38" t="str">
            <v>1 to 4</v>
          </cell>
        </row>
        <row r="39">
          <cell r="F39">
            <v>22366</v>
          </cell>
          <cell r="G39" t="str">
            <v>&gt; 300</v>
          </cell>
          <cell r="H39">
            <v>12</v>
          </cell>
          <cell r="I39">
            <v>144</v>
          </cell>
          <cell r="J39">
            <v>0</v>
          </cell>
          <cell r="K39">
            <v>2</v>
          </cell>
          <cell r="L39">
            <v>2</v>
          </cell>
          <cell r="M39">
            <v>3</v>
          </cell>
          <cell r="N39">
            <v>1</v>
          </cell>
          <cell r="O39">
            <v>0</v>
          </cell>
          <cell r="P39">
            <v>0</v>
          </cell>
          <cell r="Q39">
            <v>1</v>
          </cell>
          <cell r="R39">
            <v>1</v>
          </cell>
          <cell r="S39">
            <v>5</v>
          </cell>
          <cell r="T39">
            <v>2</v>
          </cell>
          <cell r="U39">
            <v>2</v>
          </cell>
          <cell r="V39">
            <v>19</v>
          </cell>
          <cell r="W39">
            <v>2.375</v>
          </cell>
          <cell r="X39" t="str">
            <v>1 to 4</v>
          </cell>
        </row>
        <row r="40">
          <cell r="F40">
            <v>26595</v>
          </cell>
          <cell r="G40" t="str">
            <v>&gt; 300</v>
          </cell>
          <cell r="H40">
            <v>12</v>
          </cell>
          <cell r="I40">
            <v>144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5</v>
          </cell>
          <cell r="P40">
            <v>0</v>
          </cell>
          <cell r="Q40">
            <v>1</v>
          </cell>
          <cell r="R40">
            <v>1</v>
          </cell>
          <cell r="S40">
            <v>2</v>
          </cell>
          <cell r="T40">
            <v>1</v>
          </cell>
          <cell r="U40">
            <v>9</v>
          </cell>
          <cell r="V40">
            <v>19</v>
          </cell>
          <cell r="W40">
            <v>2.375</v>
          </cell>
          <cell r="X40" t="str">
            <v>1 to 4</v>
          </cell>
        </row>
        <row r="41">
          <cell r="F41">
            <v>20509</v>
          </cell>
          <cell r="G41" t="str">
            <v>&gt; 600</v>
          </cell>
          <cell r="H41">
            <v>12</v>
          </cell>
          <cell r="I41">
            <v>144</v>
          </cell>
          <cell r="J41">
            <v>0</v>
          </cell>
          <cell r="K41">
            <v>0</v>
          </cell>
          <cell r="L41">
            <v>3</v>
          </cell>
          <cell r="M41">
            <v>4</v>
          </cell>
          <cell r="N41">
            <v>1</v>
          </cell>
          <cell r="O41">
            <v>3</v>
          </cell>
          <cell r="P41">
            <v>0</v>
          </cell>
          <cell r="Q41">
            <v>1</v>
          </cell>
          <cell r="R41">
            <v>2</v>
          </cell>
          <cell r="S41">
            <v>1</v>
          </cell>
          <cell r="T41">
            <v>0</v>
          </cell>
          <cell r="U41">
            <v>2</v>
          </cell>
          <cell r="V41">
            <v>17</v>
          </cell>
          <cell r="W41">
            <v>2.125</v>
          </cell>
          <cell r="X41" t="str">
            <v>1 to 4</v>
          </cell>
        </row>
        <row r="42">
          <cell r="F42">
            <v>20503</v>
          </cell>
          <cell r="G42" t="str">
            <v>&lt; 150</v>
          </cell>
          <cell r="H42">
            <v>11</v>
          </cell>
          <cell r="I42">
            <v>132</v>
          </cell>
          <cell r="J42">
            <v>3</v>
          </cell>
          <cell r="K42">
            <v>0</v>
          </cell>
          <cell r="L42">
            <v>0</v>
          </cell>
          <cell r="M42">
            <v>5</v>
          </cell>
          <cell r="N42">
            <v>3</v>
          </cell>
          <cell r="O42">
            <v>1</v>
          </cell>
          <cell r="P42">
            <v>1</v>
          </cell>
          <cell r="Q42">
            <v>0</v>
          </cell>
          <cell r="R42">
            <v>0</v>
          </cell>
          <cell r="S42">
            <v>3</v>
          </cell>
          <cell r="T42">
            <v>1</v>
          </cell>
          <cell r="U42"/>
          <cell r="V42">
            <v>17</v>
          </cell>
          <cell r="W42">
            <v>2.125</v>
          </cell>
          <cell r="X42" t="str">
            <v>1 to 4</v>
          </cell>
        </row>
        <row r="43">
          <cell r="F43">
            <v>24495</v>
          </cell>
          <cell r="G43" t="str">
            <v>&gt; 300</v>
          </cell>
          <cell r="H43">
            <v>12</v>
          </cell>
          <cell r="I43">
            <v>144</v>
          </cell>
          <cell r="J43">
            <v>1</v>
          </cell>
          <cell r="K43">
            <v>1</v>
          </cell>
          <cell r="L43">
            <v>0</v>
          </cell>
          <cell r="M43">
            <v>1</v>
          </cell>
          <cell r="N43">
            <v>1</v>
          </cell>
          <cell r="O43">
            <v>1</v>
          </cell>
          <cell r="P43">
            <v>3</v>
          </cell>
          <cell r="Q43">
            <v>3</v>
          </cell>
          <cell r="R43">
            <v>3</v>
          </cell>
          <cell r="S43"/>
          <cell r="T43">
            <v>0</v>
          </cell>
          <cell r="U43">
            <v>1</v>
          </cell>
          <cell r="V43">
            <v>15</v>
          </cell>
          <cell r="W43">
            <v>1.875</v>
          </cell>
          <cell r="X43" t="str">
            <v>1 to 4</v>
          </cell>
        </row>
        <row r="44">
          <cell r="F44">
            <v>28692</v>
          </cell>
          <cell r="G44" t="str">
            <v>&lt; 150</v>
          </cell>
          <cell r="H44">
            <v>5</v>
          </cell>
          <cell r="I44">
            <v>60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</v>
          </cell>
          <cell r="R44">
            <v>0</v>
          </cell>
          <cell r="S44">
            <v>6</v>
          </cell>
          <cell r="T44">
            <v>4</v>
          </cell>
          <cell r="U44">
            <v>4</v>
          </cell>
          <cell r="V44">
            <v>15</v>
          </cell>
          <cell r="W44">
            <v>1.875</v>
          </cell>
          <cell r="X44" t="str">
            <v>1 to 4</v>
          </cell>
        </row>
        <row r="45">
          <cell r="F45">
            <v>23669</v>
          </cell>
          <cell r="G45" t="str">
            <v>&gt; 600</v>
          </cell>
          <cell r="H45">
            <v>12</v>
          </cell>
          <cell r="I45">
            <v>144</v>
          </cell>
          <cell r="J45">
            <v>0</v>
          </cell>
          <cell r="K45">
            <v>0</v>
          </cell>
          <cell r="L45">
            <v>0</v>
          </cell>
          <cell r="M45">
            <v>2</v>
          </cell>
          <cell r="N45">
            <v>0</v>
          </cell>
          <cell r="O45">
            <v>5</v>
          </cell>
          <cell r="P45">
            <v>2</v>
          </cell>
          <cell r="Q45">
            <v>0</v>
          </cell>
          <cell r="R45">
            <v>3</v>
          </cell>
          <cell r="S45">
            <v>1</v>
          </cell>
          <cell r="T45">
            <v>0</v>
          </cell>
          <cell r="U45">
            <v>1</v>
          </cell>
          <cell r="V45">
            <v>14</v>
          </cell>
          <cell r="W45">
            <v>1.75</v>
          </cell>
          <cell r="X45" t="str">
            <v>1 to 4</v>
          </cell>
        </row>
        <row r="46">
          <cell r="F46">
            <v>23432</v>
          </cell>
          <cell r="G46" t="str">
            <v>&gt; 450</v>
          </cell>
          <cell r="H46">
            <v>12</v>
          </cell>
          <cell r="I46">
            <v>144</v>
          </cell>
          <cell r="J46">
            <v>0</v>
          </cell>
          <cell r="K46">
            <v>2</v>
          </cell>
          <cell r="L46">
            <v>0</v>
          </cell>
          <cell r="M46">
            <v>1</v>
          </cell>
          <cell r="N46">
            <v>4</v>
          </cell>
          <cell r="O46">
            <v>0</v>
          </cell>
          <cell r="P46">
            <v>1</v>
          </cell>
          <cell r="Q46">
            <v>1</v>
          </cell>
          <cell r="R46">
            <v>1</v>
          </cell>
          <cell r="S46"/>
          <cell r="T46">
            <v>2</v>
          </cell>
          <cell r="U46">
            <v>2</v>
          </cell>
          <cell r="V46">
            <v>14</v>
          </cell>
          <cell r="W46">
            <v>1.75</v>
          </cell>
          <cell r="X46" t="str">
            <v>1 to 4</v>
          </cell>
        </row>
        <row r="47">
          <cell r="F47">
            <v>20322</v>
          </cell>
          <cell r="G47" t="str">
            <v>&gt; 450</v>
          </cell>
          <cell r="H47">
            <v>12</v>
          </cell>
          <cell r="I47">
            <v>144</v>
          </cell>
          <cell r="J47">
            <v>0</v>
          </cell>
          <cell r="K47">
            <v>1</v>
          </cell>
          <cell r="L47">
            <v>0</v>
          </cell>
          <cell r="M47">
            <v>6</v>
          </cell>
          <cell r="N47">
            <v>4</v>
          </cell>
          <cell r="O47">
            <v>1</v>
          </cell>
          <cell r="P47">
            <v>0</v>
          </cell>
          <cell r="Q47">
            <v>0</v>
          </cell>
          <cell r="R47">
            <v>0</v>
          </cell>
          <cell r="S47">
            <v>1</v>
          </cell>
          <cell r="T47">
            <v>0</v>
          </cell>
          <cell r="U47"/>
          <cell r="V47">
            <v>13</v>
          </cell>
          <cell r="W47">
            <v>1.625</v>
          </cell>
          <cell r="X47" t="str">
            <v>1 to 4</v>
          </cell>
        </row>
        <row r="48">
          <cell r="F48">
            <v>27437</v>
          </cell>
          <cell r="G48" t="str">
            <v>&lt; 150</v>
          </cell>
          <cell r="H48">
            <v>12</v>
          </cell>
          <cell r="I48">
            <v>144</v>
          </cell>
          <cell r="J48">
            <v>0</v>
          </cell>
          <cell r="K48">
            <v>2</v>
          </cell>
          <cell r="L48">
            <v>0</v>
          </cell>
          <cell r="M48">
            <v>0</v>
          </cell>
          <cell r="N48">
            <v>8</v>
          </cell>
          <cell r="O48">
            <v>0</v>
          </cell>
          <cell r="P48">
            <v>0</v>
          </cell>
          <cell r="Q48">
            <v>0</v>
          </cell>
          <cell r="R48">
            <v>1</v>
          </cell>
          <cell r="S48">
            <v>1</v>
          </cell>
          <cell r="T48">
            <v>0</v>
          </cell>
          <cell r="U48"/>
          <cell r="V48">
            <v>12</v>
          </cell>
          <cell r="W48">
            <v>1.5</v>
          </cell>
          <cell r="X48" t="str">
            <v>1 to 4</v>
          </cell>
        </row>
        <row r="49">
          <cell r="F49">
            <v>28075</v>
          </cell>
          <cell r="G49" t="str">
            <v>&lt; 150</v>
          </cell>
          <cell r="H49">
            <v>8</v>
          </cell>
          <cell r="I49">
            <v>96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1</v>
          </cell>
          <cell r="T49">
            <v>0</v>
          </cell>
          <cell r="U49">
            <v>11</v>
          </cell>
          <cell r="V49">
            <v>12</v>
          </cell>
          <cell r="W49">
            <v>1.5</v>
          </cell>
          <cell r="X49" t="str">
            <v>1 to 4</v>
          </cell>
        </row>
        <row r="50">
          <cell r="F50">
            <v>22768</v>
          </cell>
          <cell r="G50" t="str">
            <v>&lt; 150</v>
          </cell>
          <cell r="H50">
            <v>12</v>
          </cell>
          <cell r="I50">
            <v>144</v>
          </cell>
          <cell r="J50">
            <v>3</v>
          </cell>
          <cell r="K50">
            <v>2</v>
          </cell>
          <cell r="L50">
            <v>0</v>
          </cell>
          <cell r="M50">
            <v>1</v>
          </cell>
          <cell r="N50">
            <v>0</v>
          </cell>
          <cell r="O50">
            <v>0</v>
          </cell>
          <cell r="P50">
            <v>0</v>
          </cell>
          <cell r="Q50">
            <v>1</v>
          </cell>
          <cell r="R50">
            <v>1</v>
          </cell>
          <cell r="S50">
            <v>3</v>
          </cell>
          <cell r="T50">
            <v>0</v>
          </cell>
          <cell r="U50"/>
          <cell r="V50">
            <v>11</v>
          </cell>
          <cell r="W50">
            <v>1.375</v>
          </cell>
          <cell r="X50" t="str">
            <v>1 to 4</v>
          </cell>
        </row>
        <row r="51">
          <cell r="F51">
            <v>22073</v>
          </cell>
          <cell r="G51" t="str">
            <v>&gt; 900</v>
          </cell>
          <cell r="H51">
            <v>12</v>
          </cell>
          <cell r="I51">
            <v>144</v>
          </cell>
          <cell r="J51">
            <v>0</v>
          </cell>
          <cell r="K51">
            <v>0</v>
          </cell>
          <cell r="L51">
            <v>1</v>
          </cell>
          <cell r="M51">
            <v>0</v>
          </cell>
          <cell r="N51">
            <v>1</v>
          </cell>
          <cell r="O51">
            <v>0</v>
          </cell>
          <cell r="P51">
            <v>1</v>
          </cell>
          <cell r="Q51">
            <v>1</v>
          </cell>
          <cell r="R51">
            <v>1</v>
          </cell>
          <cell r="S51"/>
          <cell r="T51">
            <v>1</v>
          </cell>
          <cell r="U51">
            <v>5</v>
          </cell>
          <cell r="V51">
            <v>11</v>
          </cell>
          <cell r="W51">
            <v>1.375</v>
          </cell>
          <cell r="X51" t="str">
            <v>1 to 4</v>
          </cell>
        </row>
        <row r="52">
          <cell r="F52">
            <v>26403</v>
          </cell>
          <cell r="G52" t="str">
            <v>&gt; 300</v>
          </cell>
          <cell r="H52">
            <v>12</v>
          </cell>
          <cell r="I52">
            <v>144</v>
          </cell>
          <cell r="J52">
            <v>0</v>
          </cell>
          <cell r="K52">
            <v>0</v>
          </cell>
          <cell r="L52">
            <v>2</v>
          </cell>
          <cell r="M52">
            <v>1</v>
          </cell>
          <cell r="N52">
            <v>6</v>
          </cell>
          <cell r="O52">
            <v>1</v>
          </cell>
          <cell r="P52">
            <v>0</v>
          </cell>
          <cell r="Q52">
            <v>0</v>
          </cell>
          <cell r="R52">
            <v>0</v>
          </cell>
          <cell r="S52"/>
          <cell r="T52">
            <v>0</v>
          </cell>
          <cell r="U52"/>
          <cell r="V52">
            <v>10</v>
          </cell>
          <cell r="W52">
            <v>1.25</v>
          </cell>
          <cell r="X52" t="str">
            <v>1 to 4</v>
          </cell>
        </row>
        <row r="53">
          <cell r="F53">
            <v>27792</v>
          </cell>
          <cell r="G53" t="str">
            <v>&gt; 300</v>
          </cell>
          <cell r="H53">
            <v>11</v>
          </cell>
          <cell r="I53">
            <v>132</v>
          </cell>
          <cell r="J53">
            <v>0</v>
          </cell>
          <cell r="K53">
            <v>0</v>
          </cell>
          <cell r="L53">
            <v>3</v>
          </cell>
          <cell r="M53">
            <v>1</v>
          </cell>
          <cell r="N53">
            <v>1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3</v>
          </cell>
          <cell r="T53">
            <v>0</v>
          </cell>
          <cell r="U53"/>
          <cell r="V53">
            <v>10</v>
          </cell>
          <cell r="W53">
            <v>1.25</v>
          </cell>
          <cell r="X53" t="str">
            <v>1 to 4</v>
          </cell>
        </row>
        <row r="54">
          <cell r="F54">
            <v>23560</v>
          </cell>
          <cell r="G54" t="str">
            <v>&gt; 300</v>
          </cell>
          <cell r="H54">
            <v>12</v>
          </cell>
          <cell r="I54">
            <v>144</v>
          </cell>
          <cell r="J54">
            <v>0</v>
          </cell>
          <cell r="K54">
            <v>1</v>
          </cell>
          <cell r="L54">
            <v>2</v>
          </cell>
          <cell r="M54">
            <v>1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2</v>
          </cell>
          <cell r="S54">
            <v>2</v>
          </cell>
          <cell r="T54">
            <v>0</v>
          </cell>
          <cell r="U54">
            <v>2</v>
          </cell>
          <cell r="V54">
            <v>10</v>
          </cell>
          <cell r="W54">
            <v>1.25</v>
          </cell>
          <cell r="X54" t="str">
            <v>1 to 4</v>
          </cell>
        </row>
        <row r="55">
          <cell r="F55">
            <v>24494</v>
          </cell>
          <cell r="G55" t="str">
            <v>&gt; 150</v>
          </cell>
          <cell r="H55">
            <v>12</v>
          </cell>
          <cell r="I55">
            <v>144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1</v>
          </cell>
          <cell r="Q55">
            <v>0</v>
          </cell>
          <cell r="R55">
            <v>5</v>
          </cell>
          <cell r="S55"/>
          <cell r="T55">
            <v>2</v>
          </cell>
          <cell r="U55">
            <v>1</v>
          </cell>
          <cell r="V55">
            <v>9</v>
          </cell>
          <cell r="W55">
            <v>1.125</v>
          </cell>
          <cell r="X55" t="str">
            <v>&lt; 1</v>
          </cell>
        </row>
        <row r="56">
          <cell r="F56">
            <v>20983</v>
          </cell>
          <cell r="G56" t="str">
            <v>&gt; 300</v>
          </cell>
          <cell r="H56">
            <v>4</v>
          </cell>
          <cell r="I56">
            <v>48</v>
          </cell>
          <cell r="J56">
            <v>4</v>
          </cell>
          <cell r="K56">
            <v>0</v>
          </cell>
          <cell r="L56">
            <v>4</v>
          </cell>
          <cell r="M56">
            <v>1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/>
          <cell r="T56"/>
          <cell r="U56"/>
          <cell r="V56">
            <v>9</v>
          </cell>
          <cell r="W56">
            <v>1.125</v>
          </cell>
          <cell r="X56" t="str">
            <v>1 to 4</v>
          </cell>
        </row>
        <row r="57">
          <cell r="F57">
            <v>27249</v>
          </cell>
          <cell r="G57" t="str">
            <v>&lt; 150</v>
          </cell>
          <cell r="H57">
            <v>12</v>
          </cell>
          <cell r="I57">
            <v>144</v>
          </cell>
          <cell r="J57">
            <v>0</v>
          </cell>
          <cell r="K57">
            <v>0</v>
          </cell>
          <cell r="L57">
            <v>2</v>
          </cell>
          <cell r="M57">
            <v>0</v>
          </cell>
          <cell r="N57">
            <v>0</v>
          </cell>
          <cell r="O57">
            <v>2</v>
          </cell>
          <cell r="P57">
            <v>1</v>
          </cell>
          <cell r="Q57">
            <v>0</v>
          </cell>
          <cell r="R57">
            <v>1</v>
          </cell>
          <cell r="S57">
            <v>2</v>
          </cell>
          <cell r="T57">
            <v>0</v>
          </cell>
          <cell r="U57"/>
          <cell r="V57">
            <v>8</v>
          </cell>
          <cell r="W57">
            <v>1</v>
          </cell>
          <cell r="X57" t="str">
            <v>1 to 4</v>
          </cell>
        </row>
        <row r="58">
          <cell r="F58">
            <v>28270</v>
          </cell>
          <cell r="G58" t="str">
            <v>&gt; 150</v>
          </cell>
          <cell r="H58">
            <v>8</v>
          </cell>
          <cell r="I58">
            <v>96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</v>
          </cell>
          <cell r="R58">
            <v>0</v>
          </cell>
          <cell r="S58">
            <v>5</v>
          </cell>
          <cell r="T58">
            <v>0</v>
          </cell>
          <cell r="U58">
            <v>2</v>
          </cell>
          <cell r="V58">
            <v>8</v>
          </cell>
          <cell r="W58">
            <v>1</v>
          </cell>
          <cell r="X58" t="str">
            <v>1 to 4</v>
          </cell>
        </row>
        <row r="59">
          <cell r="F59">
            <v>27637</v>
          </cell>
          <cell r="G59" t="str">
            <v>&gt; 150</v>
          </cell>
          <cell r="H59">
            <v>11</v>
          </cell>
          <cell r="I59">
            <v>132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1</v>
          </cell>
          <cell r="P59">
            <v>1</v>
          </cell>
          <cell r="Q59">
            <v>0</v>
          </cell>
          <cell r="R59">
            <v>1</v>
          </cell>
          <cell r="S59">
            <v>1</v>
          </cell>
          <cell r="T59">
            <v>0</v>
          </cell>
          <cell r="U59">
            <v>4</v>
          </cell>
          <cell r="V59">
            <v>8</v>
          </cell>
          <cell r="W59">
            <v>1</v>
          </cell>
          <cell r="X59" t="str">
            <v>1 to 4</v>
          </cell>
        </row>
        <row r="60">
          <cell r="F60">
            <v>28201</v>
          </cell>
          <cell r="G60" t="str">
            <v>&gt; 150</v>
          </cell>
          <cell r="H60">
            <v>8</v>
          </cell>
          <cell r="I60">
            <v>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1</v>
          </cell>
          <cell r="Q60">
            <v>2</v>
          </cell>
          <cell r="R60">
            <v>1</v>
          </cell>
          <cell r="S60"/>
          <cell r="T60">
            <v>0</v>
          </cell>
          <cell r="U60">
            <v>4</v>
          </cell>
          <cell r="V60">
            <v>8</v>
          </cell>
          <cell r="W60">
            <v>1</v>
          </cell>
          <cell r="X60" t="str">
            <v>1 to 4</v>
          </cell>
        </row>
        <row r="61">
          <cell r="F61">
            <v>25557</v>
          </cell>
          <cell r="G61" t="str">
            <v>&lt; 150</v>
          </cell>
          <cell r="H61">
            <v>12</v>
          </cell>
          <cell r="I61">
            <v>144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2</v>
          </cell>
          <cell r="P61">
            <v>0</v>
          </cell>
          <cell r="Q61">
            <v>1</v>
          </cell>
          <cell r="R61">
            <v>1</v>
          </cell>
          <cell r="S61"/>
          <cell r="T61">
            <v>0</v>
          </cell>
          <cell r="U61">
            <v>3</v>
          </cell>
          <cell r="V61">
            <v>7</v>
          </cell>
          <cell r="W61">
            <v>0.875</v>
          </cell>
          <cell r="X61" t="str">
            <v>Zero</v>
          </cell>
        </row>
        <row r="62">
          <cell r="F62">
            <v>23214</v>
          </cell>
          <cell r="G62" t="str">
            <v>&lt; 150</v>
          </cell>
          <cell r="H62">
            <v>12</v>
          </cell>
          <cell r="I62">
            <v>144</v>
          </cell>
          <cell r="J62">
            <v>2</v>
          </cell>
          <cell r="K62">
            <v>0</v>
          </cell>
          <cell r="L62">
            <v>0</v>
          </cell>
          <cell r="M62">
            <v>4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/>
          <cell r="T62">
            <v>0</v>
          </cell>
          <cell r="U62"/>
          <cell r="V62">
            <v>6</v>
          </cell>
          <cell r="W62">
            <v>0.75</v>
          </cell>
          <cell r="X62" t="str">
            <v>Zero</v>
          </cell>
        </row>
        <row r="63">
          <cell r="F63">
            <v>27629</v>
          </cell>
          <cell r="G63" t="str">
            <v>&gt; 300</v>
          </cell>
          <cell r="H63">
            <v>12</v>
          </cell>
          <cell r="I63">
            <v>144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3</v>
          </cell>
          <cell r="T63">
            <v>1</v>
          </cell>
          <cell r="U63">
            <v>2</v>
          </cell>
          <cell r="V63">
            <v>6</v>
          </cell>
          <cell r="W63">
            <v>0.75</v>
          </cell>
          <cell r="X63" t="str">
            <v>Zero</v>
          </cell>
        </row>
        <row r="64">
          <cell r="F64">
            <v>28483</v>
          </cell>
          <cell r="G64" t="str">
            <v>&lt; 150</v>
          </cell>
          <cell r="H64">
            <v>4</v>
          </cell>
          <cell r="I64">
            <v>48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/>
          <cell r="T64">
            <v>0</v>
          </cell>
          <cell r="U64">
            <v>6</v>
          </cell>
          <cell r="V64">
            <v>6</v>
          </cell>
          <cell r="W64">
            <v>0.75</v>
          </cell>
          <cell r="X64" t="str">
            <v>Zero</v>
          </cell>
        </row>
        <row r="65">
          <cell r="F65">
            <v>28305</v>
          </cell>
          <cell r="G65" t="str">
            <v>&lt; 150</v>
          </cell>
          <cell r="H65">
            <v>4</v>
          </cell>
          <cell r="I65">
            <v>48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4</v>
          </cell>
          <cell r="T65">
            <v>1</v>
          </cell>
          <cell r="U65"/>
          <cell r="V65">
            <v>5</v>
          </cell>
          <cell r="W65">
            <v>0.625</v>
          </cell>
          <cell r="X65" t="str">
            <v>Zero</v>
          </cell>
        </row>
        <row r="66">
          <cell r="F66">
            <v>27732</v>
          </cell>
          <cell r="G66" t="str">
            <v>&lt; 150</v>
          </cell>
          <cell r="H66">
            <v>10</v>
          </cell>
          <cell r="I66">
            <v>120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1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2</v>
          </cell>
          <cell r="T66">
            <v>1</v>
          </cell>
          <cell r="U66">
            <v>1</v>
          </cell>
          <cell r="V66">
            <v>5</v>
          </cell>
          <cell r="W66">
            <v>0.625</v>
          </cell>
          <cell r="X66" t="str">
            <v>Zero</v>
          </cell>
        </row>
        <row r="67">
          <cell r="F67">
            <v>28170</v>
          </cell>
          <cell r="G67" t="str">
            <v>&gt; 150</v>
          </cell>
          <cell r="H67">
            <v>8</v>
          </cell>
          <cell r="I67">
            <v>96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1</v>
          </cell>
          <cell r="T67">
            <v>0</v>
          </cell>
          <cell r="U67">
            <v>4</v>
          </cell>
          <cell r="V67">
            <v>5</v>
          </cell>
          <cell r="W67">
            <v>0.625</v>
          </cell>
          <cell r="X67" t="str">
            <v>Zero</v>
          </cell>
        </row>
        <row r="68">
          <cell r="F68">
            <v>21925</v>
          </cell>
          <cell r="G68" t="str">
            <v>&lt; 150</v>
          </cell>
          <cell r="H68">
            <v>9</v>
          </cell>
          <cell r="I68">
            <v>108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1</v>
          </cell>
          <cell r="R68">
            <v>0</v>
          </cell>
          <cell r="S68">
            <v>3</v>
          </cell>
          <cell r="T68">
            <v>1</v>
          </cell>
          <cell r="U68"/>
          <cell r="V68">
            <v>5</v>
          </cell>
          <cell r="W68">
            <v>0.625</v>
          </cell>
          <cell r="X68" t="str">
            <v>Zero</v>
          </cell>
        </row>
        <row r="69">
          <cell r="F69">
            <v>22400</v>
          </cell>
          <cell r="G69" t="str">
            <v>&gt; 150</v>
          </cell>
          <cell r="H69">
            <v>12</v>
          </cell>
          <cell r="I69">
            <v>144</v>
          </cell>
          <cell r="J69">
            <v>0</v>
          </cell>
          <cell r="K69">
            <v>1</v>
          </cell>
          <cell r="L69">
            <v>0</v>
          </cell>
          <cell r="M69">
            <v>2</v>
          </cell>
          <cell r="N69">
            <v>0</v>
          </cell>
          <cell r="O69">
            <v>1</v>
          </cell>
          <cell r="P69">
            <v>0</v>
          </cell>
          <cell r="Q69">
            <v>0</v>
          </cell>
          <cell r="R69">
            <v>0</v>
          </cell>
          <cell r="S69"/>
          <cell r="T69">
            <v>0</v>
          </cell>
          <cell r="U69"/>
          <cell r="V69">
            <v>4</v>
          </cell>
          <cell r="W69">
            <v>0.5</v>
          </cell>
          <cell r="X69" t="str">
            <v>Zero</v>
          </cell>
        </row>
        <row r="70">
          <cell r="F70">
            <v>22452</v>
          </cell>
          <cell r="G70" t="str">
            <v>&gt; 300</v>
          </cell>
          <cell r="H70">
            <v>12</v>
          </cell>
          <cell r="I70">
            <v>144</v>
          </cell>
          <cell r="J70">
            <v>0</v>
          </cell>
          <cell r="K70">
            <v>0</v>
          </cell>
          <cell r="L70">
            <v>1</v>
          </cell>
          <cell r="M70">
            <v>2</v>
          </cell>
          <cell r="N70">
            <v>1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/>
          <cell r="T70">
            <v>0</v>
          </cell>
          <cell r="U70"/>
          <cell r="V70">
            <v>4</v>
          </cell>
          <cell r="W70">
            <v>0.5</v>
          </cell>
          <cell r="X70" t="str">
            <v>Zero</v>
          </cell>
        </row>
        <row r="71">
          <cell r="F71">
            <v>26530</v>
          </cell>
          <cell r="G71" t="str">
            <v>&lt; 150</v>
          </cell>
          <cell r="H71">
            <v>12</v>
          </cell>
          <cell r="I71">
            <v>144</v>
          </cell>
          <cell r="J71">
            <v>0</v>
          </cell>
          <cell r="K71">
            <v>2</v>
          </cell>
          <cell r="L71">
            <v>0</v>
          </cell>
          <cell r="M71">
            <v>0</v>
          </cell>
          <cell r="N71">
            <v>0</v>
          </cell>
          <cell r="O71">
            <v>1</v>
          </cell>
          <cell r="P71">
            <v>0</v>
          </cell>
          <cell r="Q71">
            <v>0</v>
          </cell>
          <cell r="R71">
            <v>0</v>
          </cell>
          <cell r="S71"/>
          <cell r="T71">
            <v>0</v>
          </cell>
          <cell r="U71"/>
          <cell r="V71">
            <v>3</v>
          </cell>
          <cell r="W71">
            <v>0.375</v>
          </cell>
          <cell r="X71" t="str">
            <v>Zero</v>
          </cell>
        </row>
        <row r="72">
          <cell r="F72">
            <v>23431</v>
          </cell>
          <cell r="G72" t="str">
            <v>&gt; 150</v>
          </cell>
          <cell r="H72">
            <v>12</v>
          </cell>
          <cell r="I72">
            <v>144</v>
          </cell>
          <cell r="J72">
            <v>0</v>
          </cell>
          <cell r="K72">
            <v>0</v>
          </cell>
          <cell r="L72">
            <v>0</v>
          </cell>
          <cell r="M72">
            <v>1</v>
          </cell>
          <cell r="N72">
            <v>0</v>
          </cell>
          <cell r="O72">
            <v>1</v>
          </cell>
          <cell r="P72">
            <v>0</v>
          </cell>
          <cell r="Q72">
            <v>0</v>
          </cell>
          <cell r="R72">
            <v>1</v>
          </cell>
          <cell r="S72"/>
          <cell r="T72">
            <v>0</v>
          </cell>
          <cell r="U72"/>
          <cell r="V72">
            <v>3</v>
          </cell>
          <cell r="W72">
            <v>0.375</v>
          </cell>
          <cell r="X72" t="str">
            <v>Zero</v>
          </cell>
        </row>
        <row r="73">
          <cell r="F73">
            <v>26501</v>
          </cell>
          <cell r="G73" t="str">
            <v>&gt; 450</v>
          </cell>
          <cell r="H73">
            <v>12</v>
          </cell>
          <cell r="I73">
            <v>144</v>
          </cell>
          <cell r="J73">
            <v>1</v>
          </cell>
          <cell r="K73">
            <v>0</v>
          </cell>
          <cell r="L73">
            <v>0</v>
          </cell>
          <cell r="M73">
            <v>1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/>
          <cell r="T73">
            <v>0</v>
          </cell>
          <cell r="U73"/>
          <cell r="V73">
            <v>3</v>
          </cell>
          <cell r="W73">
            <v>0.375</v>
          </cell>
          <cell r="X73" t="str">
            <v>Zero</v>
          </cell>
        </row>
        <row r="74">
          <cell r="F74">
            <v>23433</v>
          </cell>
          <cell r="G74" t="str">
            <v>&gt; 300</v>
          </cell>
          <cell r="H74">
            <v>12</v>
          </cell>
          <cell r="I74">
            <v>144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1</v>
          </cell>
          <cell r="R74">
            <v>1</v>
          </cell>
          <cell r="S74"/>
          <cell r="T74">
            <v>0</v>
          </cell>
          <cell r="U74"/>
          <cell r="V74">
            <v>2</v>
          </cell>
          <cell r="W74">
            <v>0.25</v>
          </cell>
          <cell r="X74" t="str">
            <v>Zero</v>
          </cell>
        </row>
        <row r="75">
          <cell r="F75">
            <v>22128</v>
          </cell>
          <cell r="G75" t="str">
            <v>&gt; 450</v>
          </cell>
          <cell r="H75">
            <v>12</v>
          </cell>
          <cell r="I75">
            <v>144</v>
          </cell>
          <cell r="J75">
            <v>0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/>
          <cell r="T75">
            <v>0</v>
          </cell>
          <cell r="U75">
            <v>1</v>
          </cell>
          <cell r="V75">
            <v>2</v>
          </cell>
          <cell r="W75">
            <v>0.25</v>
          </cell>
          <cell r="X75" t="str">
            <v>Zero</v>
          </cell>
        </row>
        <row r="76">
          <cell r="F76">
            <v>23270</v>
          </cell>
          <cell r="G76" t="str">
            <v>&lt; 150</v>
          </cell>
          <cell r="H76">
            <v>12</v>
          </cell>
          <cell r="I76">
            <v>144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1</v>
          </cell>
          <cell r="T76">
            <v>0</v>
          </cell>
          <cell r="U76"/>
          <cell r="V76">
            <v>1</v>
          </cell>
          <cell r="W76">
            <v>0.125</v>
          </cell>
          <cell r="X76" t="str">
            <v>Zero</v>
          </cell>
        </row>
        <row r="77">
          <cell r="F77">
            <v>22402</v>
          </cell>
          <cell r="G77" t="str">
            <v>&lt; 150</v>
          </cell>
          <cell r="H77">
            <v>12</v>
          </cell>
          <cell r="I77">
            <v>144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1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/>
          <cell r="T77">
            <v>0</v>
          </cell>
          <cell r="U77"/>
          <cell r="V77">
            <v>1</v>
          </cell>
          <cell r="W77">
            <v>0.125</v>
          </cell>
          <cell r="X77" t="str">
            <v>Zero</v>
          </cell>
        </row>
        <row r="78">
          <cell r="F78">
            <v>22453</v>
          </cell>
          <cell r="G78" t="str">
            <v>&lt; 150</v>
          </cell>
          <cell r="H78">
            <v>11</v>
          </cell>
          <cell r="I78">
            <v>132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/>
          <cell r="T78">
            <v>0</v>
          </cell>
          <cell r="U78">
            <v>1</v>
          </cell>
          <cell r="V78">
            <v>1</v>
          </cell>
          <cell r="W78">
            <v>0.125</v>
          </cell>
          <cell r="X78" t="str">
            <v>Zero</v>
          </cell>
        </row>
        <row r="79">
          <cell r="F79">
            <v>27252</v>
          </cell>
          <cell r="G79" t="str">
            <v>&lt; 150</v>
          </cell>
          <cell r="H79">
            <v>11</v>
          </cell>
          <cell r="I79">
            <v>132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1</v>
          </cell>
          <cell r="P79">
            <v>0</v>
          </cell>
          <cell r="Q79">
            <v>0</v>
          </cell>
          <cell r="R79">
            <v>0</v>
          </cell>
          <cell r="S79"/>
          <cell r="T79">
            <v>0</v>
          </cell>
          <cell r="U79"/>
          <cell r="V79">
            <v>1</v>
          </cell>
          <cell r="W79">
            <v>0.125</v>
          </cell>
          <cell r="X79" t="str">
            <v>Zero</v>
          </cell>
        </row>
        <row r="80">
          <cell r="F80">
            <v>24527</v>
          </cell>
          <cell r="G80" t="str">
            <v>&lt; 150</v>
          </cell>
          <cell r="H80">
            <v>4</v>
          </cell>
          <cell r="I80">
            <v>48</v>
          </cell>
          <cell r="J80">
            <v>1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/>
          <cell r="T80"/>
          <cell r="U80"/>
          <cell r="V80">
            <v>1</v>
          </cell>
          <cell r="W80">
            <v>0.125</v>
          </cell>
          <cell r="X80" t="str">
            <v>Zero</v>
          </cell>
        </row>
        <row r="81">
          <cell r="F81">
            <v>21928</v>
          </cell>
          <cell r="G81" t="str">
            <v>&gt; 150</v>
          </cell>
          <cell r="H81">
            <v>4</v>
          </cell>
          <cell r="I81">
            <v>48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/>
          <cell r="T81"/>
          <cell r="U81"/>
          <cell r="V81">
            <v>1</v>
          </cell>
          <cell r="W81">
            <v>0.125</v>
          </cell>
          <cell r="X81" t="str">
            <v>Zero</v>
          </cell>
        </row>
        <row r="82">
          <cell r="F82">
            <v>28825</v>
          </cell>
          <cell r="G82" t="str">
            <v>Nill</v>
          </cell>
          <cell r="H82">
            <v>1</v>
          </cell>
          <cell r="I82">
            <v>12</v>
          </cell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>
            <v>0</v>
          </cell>
          <cell r="W82">
            <v>0</v>
          </cell>
          <cell r="X82" t="str">
            <v>Zero</v>
          </cell>
        </row>
        <row r="83">
          <cell r="F83">
            <v>29069</v>
          </cell>
          <cell r="G83" t="str">
            <v>Nill</v>
          </cell>
          <cell r="H83">
            <v>1</v>
          </cell>
          <cell r="I83">
            <v>12</v>
          </cell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>
            <v>0</v>
          </cell>
          <cell r="W83">
            <v>0</v>
          </cell>
          <cell r="X83" t="str">
            <v>Zero</v>
          </cell>
        </row>
        <row r="84">
          <cell r="F84">
            <v>29052</v>
          </cell>
          <cell r="G84" t="str">
            <v>&lt; 150</v>
          </cell>
          <cell r="H84">
            <v>1</v>
          </cell>
          <cell r="I84">
            <v>12</v>
          </cell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>
            <v>0</v>
          </cell>
          <cell r="W84">
            <v>0</v>
          </cell>
          <cell r="X84" t="str">
            <v>Zero</v>
          </cell>
        </row>
        <row r="85">
          <cell r="F85">
            <v>28860</v>
          </cell>
          <cell r="G85" t="str">
            <v>&gt; 150</v>
          </cell>
          <cell r="H85">
            <v>4</v>
          </cell>
          <cell r="I85">
            <v>48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/>
          <cell r="T85">
            <v>0</v>
          </cell>
          <cell r="U85"/>
          <cell r="V85">
            <v>0</v>
          </cell>
          <cell r="W85">
            <v>0</v>
          </cell>
          <cell r="X85" t="str">
            <v>Zero</v>
          </cell>
        </row>
        <row r="86">
          <cell r="F86">
            <v>28482</v>
          </cell>
          <cell r="G86" t="str">
            <v>&lt; 150</v>
          </cell>
          <cell r="H86">
            <v>6</v>
          </cell>
          <cell r="I86">
            <v>72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/>
          <cell r="T86">
            <v>0</v>
          </cell>
          <cell r="U86"/>
          <cell r="V86">
            <v>0</v>
          </cell>
          <cell r="W86">
            <v>0</v>
          </cell>
          <cell r="X86" t="str">
            <v>Zero</v>
          </cell>
        </row>
        <row r="87">
          <cell r="F87">
            <v>28083</v>
          </cell>
          <cell r="G87" t="str">
            <v>&lt; 150</v>
          </cell>
          <cell r="H87">
            <v>8</v>
          </cell>
          <cell r="I87">
            <v>96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/>
          <cell r="T87">
            <v>0</v>
          </cell>
          <cell r="U87"/>
          <cell r="V87">
            <v>0</v>
          </cell>
          <cell r="W87">
            <v>0</v>
          </cell>
          <cell r="X87" t="str">
            <v>Zero</v>
          </cell>
        </row>
        <row r="88">
          <cell r="F88">
            <v>27731</v>
          </cell>
          <cell r="G88" t="str">
            <v>&lt; 150</v>
          </cell>
          <cell r="H88">
            <v>10</v>
          </cell>
          <cell r="I88">
            <v>120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/>
          <cell r="T88">
            <v>0</v>
          </cell>
          <cell r="U88"/>
          <cell r="V88">
            <v>0</v>
          </cell>
          <cell r="W88">
            <v>0</v>
          </cell>
          <cell r="X88" t="str">
            <v>Zero</v>
          </cell>
        </row>
        <row r="89">
          <cell r="F89">
            <v>29089</v>
          </cell>
          <cell r="G89" t="str">
            <v>&lt; 150</v>
          </cell>
          <cell r="H89">
            <v>0</v>
          </cell>
          <cell r="I89">
            <v>0</v>
          </cell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>
            <v>0</v>
          </cell>
          <cell r="W89">
            <v>0</v>
          </cell>
          <cell r="X89" t="str">
            <v>Zero</v>
          </cell>
        </row>
        <row r="90">
          <cell r="F90">
            <v>28601</v>
          </cell>
          <cell r="G90" t="str">
            <v>&lt; 150</v>
          </cell>
          <cell r="H90">
            <v>2</v>
          </cell>
          <cell r="I90">
            <v>24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/>
          <cell r="T90">
            <v>0</v>
          </cell>
          <cell r="U90"/>
          <cell r="V90">
            <v>0</v>
          </cell>
          <cell r="W90">
            <v>0</v>
          </cell>
          <cell r="X90" t="str">
            <v>Zero</v>
          </cell>
        </row>
        <row r="91">
          <cell r="F91">
            <v>27632</v>
          </cell>
          <cell r="G91" t="str">
            <v>Nill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/>
          <cell r="T91"/>
          <cell r="U91"/>
          <cell r="V91">
            <v>0</v>
          </cell>
          <cell r="W91">
            <v>0</v>
          </cell>
          <cell r="X91" t="str">
            <v>Zero</v>
          </cell>
        </row>
        <row r="92">
          <cell r="F92">
            <v>21929</v>
          </cell>
          <cell r="G92" t="str">
            <v>&lt; 150</v>
          </cell>
          <cell r="H92">
            <v>3</v>
          </cell>
          <cell r="I92">
            <v>36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/>
          <cell r="T92"/>
          <cell r="U92"/>
          <cell r="V92">
            <v>0</v>
          </cell>
          <cell r="W92">
            <v>0</v>
          </cell>
          <cell r="X92" t="str">
            <v>Zero</v>
          </cell>
        </row>
        <row r="93">
          <cell r="F93">
            <v>26507</v>
          </cell>
          <cell r="G93" t="str">
            <v>&lt; 150</v>
          </cell>
          <cell r="H93">
            <v>6</v>
          </cell>
          <cell r="I93">
            <v>72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/>
          <cell r="T93"/>
          <cell r="U93"/>
          <cell r="V93">
            <v>0</v>
          </cell>
          <cell r="W93">
            <v>0</v>
          </cell>
          <cell r="X93" t="str">
            <v>Zero</v>
          </cell>
        </row>
        <row r="94">
          <cell r="F94">
            <v>22771</v>
          </cell>
          <cell r="G94" t="str">
            <v>&lt; 150</v>
          </cell>
          <cell r="H94">
            <v>5</v>
          </cell>
          <cell r="I94">
            <v>60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/>
          <cell r="T94"/>
          <cell r="U94"/>
          <cell r="V94">
            <v>0</v>
          </cell>
          <cell r="W94">
            <v>0</v>
          </cell>
          <cell r="X94" t="str">
            <v>Zero</v>
          </cell>
        </row>
        <row r="95">
          <cell r="F95">
            <v>23147</v>
          </cell>
          <cell r="G95" t="str">
            <v>&lt; 150</v>
          </cell>
          <cell r="H95">
            <v>1</v>
          </cell>
          <cell r="I95">
            <v>12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/>
          <cell r="T95"/>
          <cell r="U95"/>
          <cell r="V95">
            <v>0</v>
          </cell>
          <cell r="W95">
            <v>0</v>
          </cell>
          <cell r="X95" t="str">
            <v>Zero</v>
          </cell>
        </row>
        <row r="96">
          <cell r="F96">
            <v>27631</v>
          </cell>
          <cell r="G96" t="str">
            <v>&lt; 150</v>
          </cell>
          <cell r="H96">
            <v>2</v>
          </cell>
          <cell r="I96">
            <v>24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/>
          <cell r="T96"/>
          <cell r="U96"/>
          <cell r="V96">
            <v>0</v>
          </cell>
          <cell r="W96">
            <v>0</v>
          </cell>
          <cell r="X96" t="str">
            <v>Zero</v>
          </cell>
        </row>
        <row r="97">
          <cell r="F97">
            <v>22361</v>
          </cell>
          <cell r="G97" t="str">
            <v>&gt; 150</v>
          </cell>
          <cell r="H97">
            <v>5</v>
          </cell>
          <cell r="I97">
            <v>60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/>
          <cell r="T97"/>
          <cell r="U97"/>
          <cell r="V97">
            <v>0</v>
          </cell>
          <cell r="W97">
            <v>0</v>
          </cell>
          <cell r="X97" t="str">
            <v>Zero</v>
          </cell>
        </row>
        <row r="98">
          <cell r="F98">
            <v>28484</v>
          </cell>
          <cell r="G98" t="str">
            <v>Nill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/>
          <cell r="T98"/>
          <cell r="U98"/>
          <cell r="V98">
            <v>0</v>
          </cell>
          <cell r="W98">
            <v>0</v>
          </cell>
          <cell r="X98" t="str">
            <v>Zero</v>
          </cell>
        </row>
        <row r="99">
          <cell r="F99">
            <v>26881</v>
          </cell>
          <cell r="G99" t="str">
            <v>&lt; 150</v>
          </cell>
          <cell r="H99">
            <v>2</v>
          </cell>
          <cell r="I99">
            <v>24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/>
          <cell r="T99"/>
          <cell r="U99"/>
          <cell r="V99">
            <v>0</v>
          </cell>
          <cell r="W99">
            <v>0</v>
          </cell>
          <cell r="X99" t="str">
            <v>Zero</v>
          </cell>
        </row>
      </sheetData>
      <sheetData sheetId="12"/>
      <sheetData sheetId="13">
        <row r="2">
          <cell r="F2" t="str">
            <v>Code</v>
          </cell>
          <cell r="G2" t="str">
            <v>TXN Category</v>
          </cell>
          <cell r="H2" t="str">
            <v>Month</v>
          </cell>
          <cell r="I2" t="str">
            <v>Target</v>
          </cell>
          <cell r="J2">
            <v>45748</v>
          </cell>
          <cell r="K2">
            <v>45778</v>
          </cell>
          <cell r="L2">
            <v>45809</v>
          </cell>
          <cell r="M2">
            <v>45839</v>
          </cell>
          <cell r="N2">
            <v>45870</v>
          </cell>
          <cell r="O2">
            <v>45901</v>
          </cell>
          <cell r="P2">
            <v>45931</v>
          </cell>
          <cell r="Q2">
            <v>45962</v>
          </cell>
          <cell r="R2">
            <v>45992</v>
          </cell>
          <cell r="S2">
            <v>46023</v>
          </cell>
          <cell r="T2">
            <v>46054</v>
          </cell>
          <cell r="U2">
            <v>46082</v>
          </cell>
          <cell r="V2" t="str">
            <v>Total PMJJBY</v>
          </cell>
          <cell r="W2" t="str">
            <v>Average</v>
          </cell>
          <cell r="X2" t="str">
            <v>Category</v>
          </cell>
        </row>
        <row r="3">
          <cell r="F3">
            <v>26084</v>
          </cell>
          <cell r="G3" t="str">
            <v>&gt; 450</v>
          </cell>
          <cell r="H3">
            <v>12</v>
          </cell>
          <cell r="I3">
            <v>144</v>
          </cell>
          <cell r="J3">
            <v>22</v>
          </cell>
          <cell r="K3">
            <v>18</v>
          </cell>
          <cell r="L3">
            <v>14</v>
          </cell>
          <cell r="M3">
            <v>13</v>
          </cell>
          <cell r="N3">
            <v>10</v>
          </cell>
          <cell r="O3">
            <v>8</v>
          </cell>
          <cell r="P3">
            <v>44</v>
          </cell>
          <cell r="Q3">
            <v>17</v>
          </cell>
          <cell r="R3">
            <v>66</v>
          </cell>
          <cell r="S3">
            <v>14</v>
          </cell>
          <cell r="T3">
            <v>50</v>
          </cell>
          <cell r="U3">
            <v>37</v>
          </cell>
          <cell r="V3">
            <v>313</v>
          </cell>
          <cell r="W3">
            <v>26.083333333333332</v>
          </cell>
          <cell r="X3" t="str">
            <v>&gt; 10</v>
          </cell>
        </row>
        <row r="4">
          <cell r="F4">
            <v>23142</v>
          </cell>
          <cell r="G4" t="str">
            <v>&gt; 450</v>
          </cell>
          <cell r="H4">
            <v>12</v>
          </cell>
          <cell r="I4">
            <v>144</v>
          </cell>
          <cell r="J4">
            <v>12</v>
          </cell>
          <cell r="K4">
            <v>21</v>
          </cell>
          <cell r="L4">
            <v>17</v>
          </cell>
          <cell r="M4">
            <v>40</v>
          </cell>
          <cell r="N4">
            <v>42</v>
          </cell>
          <cell r="O4">
            <v>44</v>
          </cell>
          <cell r="P4">
            <v>20</v>
          </cell>
          <cell r="Q4">
            <v>28</v>
          </cell>
          <cell r="R4">
            <v>19</v>
          </cell>
          <cell r="S4">
            <v>12</v>
          </cell>
          <cell r="T4">
            <v>33</v>
          </cell>
          <cell r="U4">
            <v>12</v>
          </cell>
          <cell r="V4">
            <v>300</v>
          </cell>
          <cell r="W4">
            <v>25</v>
          </cell>
          <cell r="X4" t="str">
            <v>&gt; 10</v>
          </cell>
        </row>
        <row r="5">
          <cell r="F5">
            <v>28085</v>
          </cell>
          <cell r="G5" t="str">
            <v>&gt; 150</v>
          </cell>
          <cell r="H5">
            <v>8</v>
          </cell>
          <cell r="I5">
            <v>96</v>
          </cell>
          <cell r="J5"/>
          <cell r="K5"/>
          <cell r="L5"/>
          <cell r="M5"/>
          <cell r="N5">
            <v>13</v>
          </cell>
          <cell r="O5">
            <v>16</v>
          </cell>
          <cell r="P5">
            <v>19</v>
          </cell>
          <cell r="Q5">
            <v>21</v>
          </cell>
          <cell r="R5">
            <v>12</v>
          </cell>
          <cell r="S5">
            <v>16</v>
          </cell>
          <cell r="T5">
            <v>51</v>
          </cell>
          <cell r="U5">
            <v>26</v>
          </cell>
          <cell r="V5">
            <v>174</v>
          </cell>
          <cell r="W5">
            <v>21.75</v>
          </cell>
          <cell r="X5" t="str">
            <v>&gt; 10</v>
          </cell>
        </row>
        <row r="6">
          <cell r="F6">
            <v>22789</v>
          </cell>
          <cell r="G6" t="str">
            <v>&gt; 2000</v>
          </cell>
          <cell r="H6">
            <v>12</v>
          </cell>
          <cell r="I6">
            <v>144</v>
          </cell>
          <cell r="J6">
            <v>8</v>
          </cell>
          <cell r="K6">
            <v>15</v>
          </cell>
          <cell r="L6">
            <v>12</v>
          </cell>
          <cell r="M6">
            <v>19</v>
          </cell>
          <cell r="N6">
            <v>10</v>
          </cell>
          <cell r="O6">
            <v>16</v>
          </cell>
          <cell r="P6">
            <v>7</v>
          </cell>
          <cell r="Q6">
            <v>5</v>
          </cell>
          <cell r="R6">
            <v>5</v>
          </cell>
          <cell r="S6">
            <v>6</v>
          </cell>
          <cell r="T6">
            <v>18</v>
          </cell>
          <cell r="U6">
            <v>10</v>
          </cell>
          <cell r="V6">
            <v>131</v>
          </cell>
          <cell r="W6">
            <v>10.916666666666666</v>
          </cell>
          <cell r="X6" t="str">
            <v>&gt; 10</v>
          </cell>
        </row>
        <row r="7">
          <cell r="F7">
            <v>22126</v>
          </cell>
          <cell r="G7" t="str">
            <v>&gt; 2000</v>
          </cell>
          <cell r="H7">
            <v>12</v>
          </cell>
          <cell r="I7">
            <v>144</v>
          </cell>
          <cell r="J7"/>
          <cell r="K7">
            <v>6</v>
          </cell>
          <cell r="L7">
            <v>2</v>
          </cell>
          <cell r="M7">
            <v>2</v>
          </cell>
          <cell r="N7">
            <v>36</v>
          </cell>
          <cell r="O7">
            <v>18</v>
          </cell>
          <cell r="P7">
            <v>14</v>
          </cell>
          <cell r="Q7">
            <v>6</v>
          </cell>
          <cell r="R7">
            <v>10</v>
          </cell>
          <cell r="S7">
            <v>5</v>
          </cell>
          <cell r="T7">
            <v>13</v>
          </cell>
          <cell r="U7">
            <v>1</v>
          </cell>
          <cell r="V7">
            <v>113</v>
          </cell>
          <cell r="W7">
            <v>9.4166666666666661</v>
          </cell>
          <cell r="X7" t="str">
            <v>8 to 10</v>
          </cell>
        </row>
        <row r="8">
          <cell r="F8">
            <v>22073</v>
          </cell>
          <cell r="G8" t="str">
            <v>&gt; 900</v>
          </cell>
          <cell r="H8">
            <v>12</v>
          </cell>
          <cell r="I8">
            <v>144</v>
          </cell>
          <cell r="J8">
            <v>11</v>
          </cell>
          <cell r="K8">
            <v>15</v>
          </cell>
          <cell r="L8">
            <v>1</v>
          </cell>
          <cell r="M8">
            <v>3</v>
          </cell>
          <cell r="N8">
            <v>5</v>
          </cell>
          <cell r="O8">
            <v>6</v>
          </cell>
          <cell r="P8">
            <v>5</v>
          </cell>
          <cell r="Q8">
            <v>5</v>
          </cell>
          <cell r="R8">
            <v>8</v>
          </cell>
          <cell r="S8">
            <v>9</v>
          </cell>
          <cell r="T8">
            <v>18</v>
          </cell>
          <cell r="U8">
            <v>8</v>
          </cell>
          <cell r="V8">
            <v>94</v>
          </cell>
          <cell r="W8">
            <v>7.833333333333333</v>
          </cell>
          <cell r="X8" t="str">
            <v>6 to 8</v>
          </cell>
        </row>
        <row r="9">
          <cell r="F9">
            <v>28176</v>
          </cell>
          <cell r="G9" t="str">
            <v>&gt; 450</v>
          </cell>
          <cell r="H9">
            <v>7</v>
          </cell>
          <cell r="I9">
            <v>84</v>
          </cell>
          <cell r="J9"/>
          <cell r="K9"/>
          <cell r="L9"/>
          <cell r="M9"/>
          <cell r="N9"/>
          <cell r="O9">
            <v>10</v>
          </cell>
          <cell r="P9">
            <v>11</v>
          </cell>
          <cell r="Q9">
            <v>27</v>
          </cell>
          <cell r="R9">
            <v>14</v>
          </cell>
          <cell r="S9">
            <v>3</v>
          </cell>
          <cell r="T9">
            <v>4</v>
          </cell>
          <cell r="U9">
            <v>7</v>
          </cell>
          <cell r="V9">
            <v>76</v>
          </cell>
          <cell r="W9">
            <v>10.857142857142858</v>
          </cell>
          <cell r="X9" t="str">
            <v>&gt; 10</v>
          </cell>
        </row>
        <row r="10">
          <cell r="F10">
            <v>21091</v>
          </cell>
          <cell r="G10" t="str">
            <v>&gt; 150</v>
          </cell>
          <cell r="H10">
            <v>12</v>
          </cell>
          <cell r="I10">
            <v>144</v>
          </cell>
          <cell r="J10"/>
          <cell r="K10"/>
          <cell r="L10">
            <v>1</v>
          </cell>
          <cell r="M10">
            <v>6</v>
          </cell>
          <cell r="N10">
            <v>10</v>
          </cell>
          <cell r="O10">
            <v>1</v>
          </cell>
          <cell r="P10"/>
          <cell r="Q10"/>
          <cell r="R10">
            <v>1</v>
          </cell>
          <cell r="S10">
            <v>7</v>
          </cell>
          <cell r="T10">
            <v>23</v>
          </cell>
          <cell r="U10">
            <v>24</v>
          </cell>
          <cell r="V10">
            <v>73</v>
          </cell>
          <cell r="W10">
            <v>6.083333333333333</v>
          </cell>
          <cell r="X10" t="str">
            <v>6 to 8</v>
          </cell>
        </row>
        <row r="11">
          <cell r="F11">
            <v>22131</v>
          </cell>
          <cell r="G11" t="str">
            <v>&gt; 900</v>
          </cell>
          <cell r="H11">
            <v>12</v>
          </cell>
          <cell r="I11">
            <v>144</v>
          </cell>
          <cell r="J11"/>
          <cell r="K11">
            <v>2</v>
          </cell>
          <cell r="L11">
            <v>2</v>
          </cell>
          <cell r="M11">
            <v>4</v>
          </cell>
          <cell r="N11">
            <v>4</v>
          </cell>
          <cell r="O11">
            <v>5</v>
          </cell>
          <cell r="P11">
            <v>4</v>
          </cell>
          <cell r="Q11">
            <v>4</v>
          </cell>
          <cell r="R11">
            <v>14</v>
          </cell>
          <cell r="S11">
            <v>7</v>
          </cell>
          <cell r="T11">
            <v>21</v>
          </cell>
          <cell r="U11">
            <v>4</v>
          </cell>
          <cell r="V11">
            <v>71</v>
          </cell>
          <cell r="W11">
            <v>5.916666666666667</v>
          </cell>
          <cell r="X11" t="str">
            <v>4 to 6</v>
          </cell>
        </row>
        <row r="12">
          <cell r="F12">
            <v>26810</v>
          </cell>
          <cell r="G12" t="str">
            <v>&gt; 300</v>
          </cell>
          <cell r="H12">
            <v>12</v>
          </cell>
          <cell r="I12">
            <v>144</v>
          </cell>
          <cell r="J12">
            <v>3</v>
          </cell>
          <cell r="K12">
            <v>5</v>
          </cell>
          <cell r="L12">
            <v>5</v>
          </cell>
          <cell r="M12">
            <v>4</v>
          </cell>
          <cell r="N12">
            <v>6</v>
          </cell>
          <cell r="O12">
            <v>3</v>
          </cell>
          <cell r="P12">
            <v>7</v>
          </cell>
          <cell r="Q12">
            <v>1</v>
          </cell>
          <cell r="R12">
            <v>4</v>
          </cell>
          <cell r="S12">
            <v>13</v>
          </cell>
          <cell r="T12">
            <v>6</v>
          </cell>
          <cell r="U12">
            <v>12</v>
          </cell>
          <cell r="V12">
            <v>69</v>
          </cell>
          <cell r="W12">
            <v>5.75</v>
          </cell>
          <cell r="X12" t="str">
            <v>4 to 6</v>
          </cell>
        </row>
        <row r="13">
          <cell r="F13">
            <v>21999</v>
          </cell>
          <cell r="G13" t="str">
            <v>&gt; 1500</v>
          </cell>
          <cell r="H13">
            <v>12</v>
          </cell>
          <cell r="I13">
            <v>144</v>
          </cell>
          <cell r="J13">
            <v>1</v>
          </cell>
          <cell r="K13"/>
          <cell r="L13"/>
          <cell r="M13">
            <v>2</v>
          </cell>
          <cell r="N13">
            <v>15</v>
          </cell>
          <cell r="O13">
            <v>13</v>
          </cell>
          <cell r="P13">
            <v>5</v>
          </cell>
          <cell r="Q13">
            <v>6</v>
          </cell>
          <cell r="R13">
            <v>10</v>
          </cell>
          <cell r="S13">
            <v>7</v>
          </cell>
          <cell r="T13">
            <v>3</v>
          </cell>
          <cell r="U13">
            <v>2</v>
          </cell>
          <cell r="V13">
            <v>64</v>
          </cell>
          <cell r="W13">
            <v>5.333333333333333</v>
          </cell>
          <cell r="X13" t="str">
            <v>4 to 6</v>
          </cell>
        </row>
        <row r="14">
          <cell r="F14">
            <v>26588</v>
          </cell>
          <cell r="G14" t="str">
            <v>&gt; 300</v>
          </cell>
          <cell r="H14">
            <v>12</v>
          </cell>
          <cell r="I14">
            <v>144</v>
          </cell>
          <cell r="J14">
            <v>3</v>
          </cell>
          <cell r="K14">
            <v>1</v>
          </cell>
          <cell r="L14">
            <v>4</v>
          </cell>
          <cell r="M14">
            <v>2</v>
          </cell>
          <cell r="N14">
            <v>4</v>
          </cell>
          <cell r="O14">
            <v>5</v>
          </cell>
          <cell r="P14">
            <v>5</v>
          </cell>
          <cell r="Q14">
            <v>2</v>
          </cell>
          <cell r="R14">
            <v>6</v>
          </cell>
          <cell r="S14">
            <v>14</v>
          </cell>
          <cell r="T14">
            <v>6</v>
          </cell>
          <cell r="U14">
            <v>10</v>
          </cell>
          <cell r="V14">
            <v>62</v>
          </cell>
          <cell r="W14">
            <v>5.166666666666667</v>
          </cell>
          <cell r="X14" t="str">
            <v>4 to 6</v>
          </cell>
        </row>
        <row r="15">
          <cell r="F15">
            <v>23429</v>
          </cell>
          <cell r="G15" t="str">
            <v>&gt; 900</v>
          </cell>
          <cell r="H15">
            <v>12</v>
          </cell>
          <cell r="I15">
            <v>144</v>
          </cell>
          <cell r="J15"/>
          <cell r="K15">
            <v>1</v>
          </cell>
          <cell r="L15">
            <v>4</v>
          </cell>
          <cell r="M15">
            <v>2</v>
          </cell>
          <cell r="N15">
            <v>6</v>
          </cell>
          <cell r="O15">
            <v>27</v>
          </cell>
          <cell r="P15">
            <v>3</v>
          </cell>
          <cell r="Q15">
            <v>1</v>
          </cell>
          <cell r="R15"/>
          <cell r="S15">
            <v>2</v>
          </cell>
          <cell r="T15">
            <v>15</v>
          </cell>
          <cell r="U15">
            <v>1</v>
          </cell>
          <cell r="V15">
            <v>62</v>
          </cell>
          <cell r="W15">
            <v>5.166666666666667</v>
          </cell>
          <cell r="X15" t="str">
            <v>4 to 6</v>
          </cell>
        </row>
        <row r="16">
          <cell r="F16">
            <v>22775</v>
          </cell>
          <cell r="G16" t="str">
            <v>&lt; 150</v>
          </cell>
          <cell r="H16">
            <v>7</v>
          </cell>
          <cell r="I16">
            <v>84</v>
          </cell>
          <cell r="J16"/>
          <cell r="K16">
            <v>5</v>
          </cell>
          <cell r="L16">
            <v>3</v>
          </cell>
          <cell r="M16"/>
          <cell r="N16"/>
          <cell r="O16"/>
          <cell r="P16"/>
          <cell r="Q16">
            <v>4</v>
          </cell>
          <cell r="R16">
            <v>3</v>
          </cell>
          <cell r="S16">
            <v>1</v>
          </cell>
          <cell r="T16">
            <v>13</v>
          </cell>
          <cell r="U16">
            <v>15</v>
          </cell>
          <cell r="V16">
            <v>44</v>
          </cell>
          <cell r="W16">
            <v>6.2857142857142856</v>
          </cell>
          <cell r="X16" t="str">
            <v>6 to 8</v>
          </cell>
        </row>
        <row r="17">
          <cell r="F17">
            <v>27220</v>
          </cell>
          <cell r="G17" t="str">
            <v>&gt; 450</v>
          </cell>
          <cell r="H17">
            <v>12</v>
          </cell>
          <cell r="I17">
            <v>144</v>
          </cell>
          <cell r="J17">
            <v>3</v>
          </cell>
          <cell r="K17"/>
          <cell r="L17"/>
          <cell r="M17"/>
          <cell r="N17">
            <v>2</v>
          </cell>
          <cell r="O17">
            <v>3</v>
          </cell>
          <cell r="P17"/>
          <cell r="Q17"/>
          <cell r="R17">
            <v>1</v>
          </cell>
          <cell r="S17">
            <v>3</v>
          </cell>
          <cell r="T17">
            <v>22</v>
          </cell>
          <cell r="U17">
            <v>10</v>
          </cell>
          <cell r="V17">
            <v>44</v>
          </cell>
          <cell r="W17">
            <v>3.6666666666666665</v>
          </cell>
          <cell r="X17" t="str">
            <v>1 to 4</v>
          </cell>
        </row>
        <row r="18">
          <cell r="F18">
            <v>25557</v>
          </cell>
          <cell r="G18" t="str">
            <v>&lt; 150</v>
          </cell>
          <cell r="H18">
            <v>12</v>
          </cell>
          <cell r="I18">
            <v>144</v>
          </cell>
          <cell r="J18"/>
          <cell r="K18"/>
          <cell r="L18"/>
          <cell r="M18"/>
          <cell r="N18"/>
          <cell r="O18">
            <v>4</v>
          </cell>
          <cell r="P18">
            <v>2</v>
          </cell>
          <cell r="Q18">
            <v>4</v>
          </cell>
          <cell r="R18">
            <v>3</v>
          </cell>
          <cell r="S18">
            <v>16</v>
          </cell>
          <cell r="T18">
            <v>7</v>
          </cell>
          <cell r="U18">
            <v>8</v>
          </cell>
          <cell r="V18">
            <v>44</v>
          </cell>
          <cell r="W18">
            <v>3.6666666666666665</v>
          </cell>
          <cell r="X18" t="str">
            <v>1 to 4</v>
          </cell>
        </row>
        <row r="19">
          <cell r="F19">
            <v>22346</v>
          </cell>
          <cell r="G19" t="str">
            <v>&gt; 1500</v>
          </cell>
          <cell r="H19">
            <v>12</v>
          </cell>
          <cell r="I19">
            <v>144</v>
          </cell>
          <cell r="J19"/>
          <cell r="K19">
            <v>5</v>
          </cell>
          <cell r="L19"/>
          <cell r="M19">
            <v>1</v>
          </cell>
          <cell r="N19"/>
          <cell r="O19">
            <v>3</v>
          </cell>
          <cell r="P19">
            <v>2</v>
          </cell>
          <cell r="Q19">
            <v>3</v>
          </cell>
          <cell r="R19">
            <v>3</v>
          </cell>
          <cell r="S19">
            <v>2</v>
          </cell>
          <cell r="T19">
            <v>21</v>
          </cell>
          <cell r="U19">
            <v>3</v>
          </cell>
          <cell r="V19">
            <v>43</v>
          </cell>
          <cell r="W19">
            <v>3.5833333333333335</v>
          </cell>
          <cell r="X19" t="str">
            <v>1 to 4</v>
          </cell>
        </row>
        <row r="20">
          <cell r="F20">
            <v>26399</v>
          </cell>
          <cell r="G20" t="str">
            <v>&gt; 900</v>
          </cell>
          <cell r="H20">
            <v>12</v>
          </cell>
          <cell r="I20">
            <v>144</v>
          </cell>
          <cell r="J20">
            <v>4</v>
          </cell>
          <cell r="K20">
            <v>4</v>
          </cell>
          <cell r="L20"/>
          <cell r="M20">
            <v>1</v>
          </cell>
          <cell r="N20"/>
          <cell r="O20">
            <v>1</v>
          </cell>
          <cell r="P20">
            <v>2</v>
          </cell>
          <cell r="Q20">
            <v>2</v>
          </cell>
          <cell r="R20">
            <v>2</v>
          </cell>
          <cell r="S20">
            <v>2</v>
          </cell>
          <cell r="T20">
            <v>14</v>
          </cell>
          <cell r="U20">
            <v>9</v>
          </cell>
          <cell r="V20">
            <v>41</v>
          </cell>
          <cell r="W20">
            <v>3.4166666666666665</v>
          </cell>
          <cell r="X20" t="str">
            <v>1 to 4</v>
          </cell>
        </row>
        <row r="21">
          <cell r="F21">
            <v>28201</v>
          </cell>
          <cell r="G21" t="str">
            <v>&gt; 150</v>
          </cell>
          <cell r="H21">
            <v>8</v>
          </cell>
          <cell r="I21">
            <v>96</v>
          </cell>
          <cell r="J21"/>
          <cell r="K21"/>
          <cell r="L21"/>
          <cell r="M21"/>
          <cell r="N21"/>
          <cell r="O21"/>
          <cell r="P21">
            <v>2</v>
          </cell>
          <cell r="Q21">
            <v>2</v>
          </cell>
          <cell r="R21">
            <v>8</v>
          </cell>
          <cell r="S21">
            <v>7</v>
          </cell>
          <cell r="T21">
            <v>10</v>
          </cell>
          <cell r="U21">
            <v>6</v>
          </cell>
          <cell r="V21">
            <v>35</v>
          </cell>
          <cell r="W21">
            <v>4.375</v>
          </cell>
          <cell r="X21" t="str">
            <v>4 to 6</v>
          </cell>
        </row>
        <row r="22">
          <cell r="F22">
            <v>23178</v>
          </cell>
          <cell r="G22" t="str">
            <v>&gt; 600</v>
          </cell>
          <cell r="H22">
            <v>12</v>
          </cell>
          <cell r="I22">
            <v>144</v>
          </cell>
          <cell r="J22">
            <v>2</v>
          </cell>
          <cell r="K22">
            <v>1</v>
          </cell>
          <cell r="L22">
            <v>1</v>
          </cell>
          <cell r="M22">
            <v>7</v>
          </cell>
          <cell r="N22">
            <v>4</v>
          </cell>
          <cell r="O22">
            <v>4</v>
          </cell>
          <cell r="P22"/>
          <cell r="Q22">
            <v>5</v>
          </cell>
          <cell r="R22"/>
          <cell r="S22">
            <v>3</v>
          </cell>
          <cell r="T22">
            <v>5</v>
          </cell>
          <cell r="U22">
            <v>3</v>
          </cell>
          <cell r="V22">
            <v>35</v>
          </cell>
          <cell r="W22">
            <v>2.9166666666666665</v>
          </cell>
          <cell r="X22" t="str">
            <v>1 to 4</v>
          </cell>
        </row>
        <row r="23">
          <cell r="F23">
            <v>22404</v>
          </cell>
          <cell r="G23" t="str">
            <v>&gt; 600</v>
          </cell>
          <cell r="H23">
            <v>12</v>
          </cell>
          <cell r="I23">
            <v>144</v>
          </cell>
          <cell r="J23">
            <v>1</v>
          </cell>
          <cell r="K23">
            <v>1</v>
          </cell>
          <cell r="L23"/>
          <cell r="M23"/>
          <cell r="N23"/>
          <cell r="O23">
            <v>1</v>
          </cell>
          <cell r="P23"/>
          <cell r="Q23"/>
          <cell r="R23">
            <v>1</v>
          </cell>
          <cell r="S23"/>
          <cell r="T23">
            <v>27</v>
          </cell>
          <cell r="U23">
            <v>3</v>
          </cell>
          <cell r="V23">
            <v>34</v>
          </cell>
          <cell r="W23">
            <v>2.8333333333333335</v>
          </cell>
          <cell r="X23" t="str">
            <v>&lt; 1</v>
          </cell>
        </row>
        <row r="24">
          <cell r="F24">
            <v>27219</v>
          </cell>
          <cell r="G24" t="str">
            <v>&gt; 300</v>
          </cell>
          <cell r="H24">
            <v>12</v>
          </cell>
          <cell r="I24">
            <v>144</v>
          </cell>
          <cell r="J24">
            <v>5</v>
          </cell>
          <cell r="K24">
            <v>1</v>
          </cell>
          <cell r="L24">
            <v>1</v>
          </cell>
          <cell r="M24"/>
          <cell r="N24"/>
          <cell r="O24">
            <v>1</v>
          </cell>
          <cell r="P24">
            <v>1</v>
          </cell>
          <cell r="Q24"/>
          <cell r="R24">
            <v>2</v>
          </cell>
          <cell r="S24">
            <v>12</v>
          </cell>
          <cell r="T24">
            <v>2</v>
          </cell>
          <cell r="U24">
            <v>8</v>
          </cell>
          <cell r="V24">
            <v>33</v>
          </cell>
          <cell r="W24">
            <v>2.75</v>
          </cell>
          <cell r="X24" t="str">
            <v>1 to 4</v>
          </cell>
        </row>
        <row r="25">
          <cell r="F25">
            <v>23433</v>
          </cell>
          <cell r="G25" t="str">
            <v>&gt; 300</v>
          </cell>
          <cell r="H25">
            <v>12</v>
          </cell>
          <cell r="I25">
            <v>144</v>
          </cell>
          <cell r="J25">
            <v>1</v>
          </cell>
          <cell r="K25">
            <v>2</v>
          </cell>
          <cell r="L25">
            <v>1</v>
          </cell>
          <cell r="M25">
            <v>2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3</v>
          </cell>
          <cell r="S25">
            <v>2</v>
          </cell>
          <cell r="T25">
            <v>11</v>
          </cell>
          <cell r="U25">
            <v>6</v>
          </cell>
          <cell r="V25">
            <v>32</v>
          </cell>
          <cell r="W25">
            <v>2.6666666666666665</v>
          </cell>
          <cell r="X25" t="str">
            <v>1 to 4</v>
          </cell>
        </row>
        <row r="26">
          <cell r="F26">
            <v>26501</v>
          </cell>
          <cell r="G26" t="str">
            <v>&gt; 450</v>
          </cell>
          <cell r="H26">
            <v>12</v>
          </cell>
          <cell r="I26">
            <v>144</v>
          </cell>
          <cell r="J26">
            <v>2</v>
          </cell>
          <cell r="K26">
            <v>2</v>
          </cell>
          <cell r="L26"/>
          <cell r="M26"/>
          <cell r="N26">
            <v>2</v>
          </cell>
          <cell r="O26">
            <v>1</v>
          </cell>
          <cell r="P26">
            <v>2</v>
          </cell>
          <cell r="Q26"/>
          <cell r="R26">
            <v>4</v>
          </cell>
          <cell r="S26">
            <v>4</v>
          </cell>
          <cell r="T26">
            <v>9</v>
          </cell>
          <cell r="U26">
            <v>6</v>
          </cell>
          <cell r="V26">
            <v>32</v>
          </cell>
          <cell r="W26">
            <v>2.6666666666666665</v>
          </cell>
          <cell r="X26" t="str">
            <v>1 to 4</v>
          </cell>
        </row>
        <row r="27">
          <cell r="F27">
            <v>22130</v>
          </cell>
          <cell r="G27" t="str">
            <v>&gt; 300</v>
          </cell>
          <cell r="H27">
            <v>12</v>
          </cell>
          <cell r="I27">
            <v>144</v>
          </cell>
          <cell r="J27">
            <v>2</v>
          </cell>
          <cell r="K27">
            <v>2</v>
          </cell>
          <cell r="L27"/>
          <cell r="M27">
            <v>1</v>
          </cell>
          <cell r="N27">
            <v>2</v>
          </cell>
          <cell r="O27">
            <v>4</v>
          </cell>
          <cell r="P27">
            <v>2</v>
          </cell>
          <cell r="Q27">
            <v>2</v>
          </cell>
          <cell r="R27">
            <v>1</v>
          </cell>
          <cell r="S27">
            <v>3</v>
          </cell>
          <cell r="T27">
            <v>6</v>
          </cell>
          <cell r="U27">
            <v>5</v>
          </cell>
          <cell r="V27">
            <v>30</v>
          </cell>
          <cell r="W27">
            <v>2.5</v>
          </cell>
          <cell r="X27" t="str">
            <v>1 to 4</v>
          </cell>
        </row>
        <row r="28">
          <cell r="F28">
            <v>28692</v>
          </cell>
          <cell r="G28" t="str">
            <v>&lt; 150</v>
          </cell>
          <cell r="H28">
            <v>5</v>
          </cell>
          <cell r="I28">
            <v>60</v>
          </cell>
          <cell r="J28"/>
          <cell r="K28"/>
          <cell r="L28"/>
          <cell r="M28"/>
          <cell r="N28"/>
          <cell r="O28"/>
          <cell r="P28"/>
          <cell r="Q28">
            <v>5</v>
          </cell>
          <cell r="R28">
            <v>13</v>
          </cell>
          <cell r="S28">
            <v>6</v>
          </cell>
          <cell r="T28">
            <v>4</v>
          </cell>
          <cell r="U28">
            <v>2</v>
          </cell>
          <cell r="V28">
            <v>30</v>
          </cell>
          <cell r="W28">
            <v>6</v>
          </cell>
          <cell r="X28" t="str">
            <v>6 to 8</v>
          </cell>
        </row>
        <row r="29">
          <cell r="F29">
            <v>27028</v>
          </cell>
          <cell r="G29" t="str">
            <v>&gt; 300</v>
          </cell>
          <cell r="H29">
            <v>12</v>
          </cell>
          <cell r="I29">
            <v>144</v>
          </cell>
          <cell r="J29">
            <v>4</v>
          </cell>
          <cell r="K29">
            <v>3</v>
          </cell>
          <cell r="L29">
            <v>1</v>
          </cell>
          <cell r="M29">
            <v>3</v>
          </cell>
          <cell r="N29">
            <v>3</v>
          </cell>
          <cell r="O29">
            <v>1</v>
          </cell>
          <cell r="P29">
            <v>1</v>
          </cell>
          <cell r="Q29">
            <v>1</v>
          </cell>
          <cell r="R29">
            <v>2</v>
          </cell>
          <cell r="S29">
            <v>5</v>
          </cell>
          <cell r="T29">
            <v>3</v>
          </cell>
          <cell r="U29">
            <v>2</v>
          </cell>
          <cell r="V29">
            <v>29</v>
          </cell>
          <cell r="W29">
            <v>2.4166666666666665</v>
          </cell>
          <cell r="X29" t="str">
            <v>1 to 4</v>
          </cell>
        </row>
        <row r="30">
          <cell r="F30">
            <v>27637</v>
          </cell>
          <cell r="G30" t="str">
            <v>&gt; 150</v>
          </cell>
          <cell r="H30">
            <v>11</v>
          </cell>
          <cell r="I30">
            <v>132</v>
          </cell>
          <cell r="J30"/>
          <cell r="K30"/>
          <cell r="L30"/>
          <cell r="M30">
            <v>1</v>
          </cell>
          <cell r="N30">
            <v>4</v>
          </cell>
          <cell r="O30">
            <v>2</v>
          </cell>
          <cell r="P30">
            <v>7</v>
          </cell>
          <cell r="Q30">
            <v>2</v>
          </cell>
          <cell r="R30">
            <v>3</v>
          </cell>
          <cell r="S30">
            <v>4</v>
          </cell>
          <cell r="T30">
            <v>6</v>
          </cell>
          <cell r="U30">
            <v>0</v>
          </cell>
          <cell r="V30">
            <v>29</v>
          </cell>
          <cell r="W30">
            <v>2.6363636363636362</v>
          </cell>
          <cell r="X30" t="str">
            <v>1 to 4</v>
          </cell>
        </row>
        <row r="31">
          <cell r="F31">
            <v>27437</v>
          </cell>
          <cell r="G31" t="str">
            <v>&lt; 150</v>
          </cell>
          <cell r="H31">
            <v>12</v>
          </cell>
          <cell r="I31">
            <v>144</v>
          </cell>
          <cell r="J31"/>
          <cell r="K31"/>
          <cell r="L31"/>
          <cell r="M31"/>
          <cell r="N31"/>
          <cell r="O31"/>
          <cell r="P31">
            <v>7</v>
          </cell>
          <cell r="Q31">
            <v>22</v>
          </cell>
          <cell r="R31"/>
          <cell r="S31"/>
          <cell r="T31">
            <v>0</v>
          </cell>
          <cell r="U31">
            <v>0</v>
          </cell>
          <cell r="V31">
            <v>29</v>
          </cell>
          <cell r="W31">
            <v>2.4166666666666665</v>
          </cell>
          <cell r="X31" t="str">
            <v>1 to 4</v>
          </cell>
        </row>
        <row r="32">
          <cell r="F32">
            <v>27629</v>
          </cell>
          <cell r="G32" t="str">
            <v>&gt; 300</v>
          </cell>
          <cell r="H32">
            <v>12</v>
          </cell>
          <cell r="I32">
            <v>144</v>
          </cell>
          <cell r="J32"/>
          <cell r="K32"/>
          <cell r="L32"/>
          <cell r="M32"/>
          <cell r="N32"/>
          <cell r="O32">
            <v>4</v>
          </cell>
          <cell r="P32">
            <v>2</v>
          </cell>
          <cell r="Q32">
            <v>4</v>
          </cell>
          <cell r="R32">
            <v>5</v>
          </cell>
          <cell r="S32">
            <v>2</v>
          </cell>
          <cell r="T32">
            <v>7</v>
          </cell>
          <cell r="U32">
            <v>4</v>
          </cell>
          <cell r="V32">
            <v>28</v>
          </cell>
          <cell r="W32">
            <v>2.3333333333333335</v>
          </cell>
          <cell r="X32" t="str">
            <v>1 to 4</v>
          </cell>
        </row>
        <row r="33">
          <cell r="F33">
            <v>22402</v>
          </cell>
          <cell r="G33" t="str">
            <v>&lt; 150</v>
          </cell>
          <cell r="H33">
            <v>12</v>
          </cell>
          <cell r="I33">
            <v>144</v>
          </cell>
          <cell r="J33"/>
          <cell r="K33"/>
          <cell r="L33"/>
          <cell r="M33">
            <v>1</v>
          </cell>
          <cell r="N33"/>
          <cell r="O33">
            <v>3</v>
          </cell>
          <cell r="P33">
            <v>5</v>
          </cell>
          <cell r="Q33">
            <v>1</v>
          </cell>
          <cell r="R33">
            <v>2</v>
          </cell>
          <cell r="S33">
            <v>6</v>
          </cell>
          <cell r="T33">
            <v>8</v>
          </cell>
          <cell r="U33">
            <v>1</v>
          </cell>
          <cell r="V33">
            <v>27</v>
          </cell>
          <cell r="W33">
            <v>2.25</v>
          </cell>
          <cell r="X33" t="str">
            <v>1 to 4</v>
          </cell>
        </row>
        <row r="34">
          <cell r="F34">
            <v>27154</v>
          </cell>
          <cell r="G34" t="str">
            <v>&gt; 600</v>
          </cell>
          <cell r="H34">
            <v>12</v>
          </cell>
          <cell r="I34">
            <v>144</v>
          </cell>
          <cell r="J34"/>
          <cell r="K34"/>
          <cell r="L34"/>
          <cell r="M34"/>
          <cell r="N34">
            <v>2</v>
          </cell>
          <cell r="O34">
            <v>2</v>
          </cell>
          <cell r="P34">
            <v>1</v>
          </cell>
          <cell r="Q34"/>
          <cell r="R34">
            <v>1</v>
          </cell>
          <cell r="S34">
            <v>4</v>
          </cell>
          <cell r="T34">
            <v>16</v>
          </cell>
          <cell r="U34">
            <v>0</v>
          </cell>
          <cell r="V34">
            <v>26</v>
          </cell>
          <cell r="W34">
            <v>2.1666666666666665</v>
          </cell>
          <cell r="X34" t="str">
            <v>&lt; 1</v>
          </cell>
        </row>
        <row r="35">
          <cell r="F35">
            <v>23669</v>
          </cell>
          <cell r="G35" t="str">
            <v>&gt; 600</v>
          </cell>
          <cell r="H35">
            <v>12</v>
          </cell>
          <cell r="I35">
            <v>144</v>
          </cell>
          <cell r="J35">
            <v>1</v>
          </cell>
          <cell r="K35">
            <v>3</v>
          </cell>
          <cell r="L35"/>
          <cell r="M35">
            <v>1</v>
          </cell>
          <cell r="N35">
            <v>3</v>
          </cell>
          <cell r="O35">
            <v>9</v>
          </cell>
          <cell r="P35">
            <v>1</v>
          </cell>
          <cell r="Q35"/>
          <cell r="R35">
            <v>2</v>
          </cell>
          <cell r="S35">
            <v>1</v>
          </cell>
          <cell r="T35">
            <v>2</v>
          </cell>
          <cell r="U35">
            <v>2</v>
          </cell>
          <cell r="V35">
            <v>25</v>
          </cell>
          <cell r="W35">
            <v>2.0833333333333335</v>
          </cell>
          <cell r="X35" t="str">
            <v>1 to 4</v>
          </cell>
        </row>
        <row r="36">
          <cell r="F36">
            <v>22128</v>
          </cell>
          <cell r="G36" t="str">
            <v>&gt; 450</v>
          </cell>
          <cell r="H36">
            <v>12</v>
          </cell>
          <cell r="I36">
            <v>144</v>
          </cell>
          <cell r="J36"/>
          <cell r="K36">
            <v>2</v>
          </cell>
          <cell r="L36">
            <v>1</v>
          </cell>
          <cell r="M36">
            <v>3</v>
          </cell>
          <cell r="N36"/>
          <cell r="O36">
            <v>2</v>
          </cell>
          <cell r="P36">
            <v>3</v>
          </cell>
          <cell r="Q36">
            <v>1</v>
          </cell>
          <cell r="R36">
            <v>6</v>
          </cell>
          <cell r="S36">
            <v>1</v>
          </cell>
          <cell r="T36">
            <v>0</v>
          </cell>
          <cell r="U36">
            <v>3</v>
          </cell>
          <cell r="V36">
            <v>22</v>
          </cell>
          <cell r="W36">
            <v>1.8333333333333333</v>
          </cell>
          <cell r="X36" t="str">
            <v>1 to 4</v>
          </cell>
        </row>
        <row r="37">
          <cell r="F37">
            <v>22773</v>
          </cell>
          <cell r="G37" t="str">
            <v>&gt; 450</v>
          </cell>
          <cell r="H37">
            <v>12</v>
          </cell>
          <cell r="I37">
            <v>144</v>
          </cell>
          <cell r="J37"/>
          <cell r="K37">
            <v>2</v>
          </cell>
          <cell r="L37">
            <v>4</v>
          </cell>
          <cell r="M37">
            <v>1</v>
          </cell>
          <cell r="N37">
            <v>3</v>
          </cell>
          <cell r="O37">
            <v>1</v>
          </cell>
          <cell r="P37">
            <v>2</v>
          </cell>
          <cell r="Q37">
            <v>1</v>
          </cell>
          <cell r="R37">
            <v>4</v>
          </cell>
          <cell r="S37">
            <v>3</v>
          </cell>
          <cell r="T37">
            <v>0</v>
          </cell>
          <cell r="U37">
            <v>1</v>
          </cell>
          <cell r="V37">
            <v>22</v>
          </cell>
          <cell r="W37">
            <v>1.8333333333333333</v>
          </cell>
          <cell r="X37" t="str">
            <v>1 to 4</v>
          </cell>
        </row>
        <row r="38">
          <cell r="F38">
            <v>26015</v>
          </cell>
          <cell r="G38" t="str">
            <v>&gt; 300</v>
          </cell>
          <cell r="H38">
            <v>12</v>
          </cell>
          <cell r="I38">
            <v>144</v>
          </cell>
          <cell r="J38">
            <v>2</v>
          </cell>
          <cell r="K38"/>
          <cell r="L38"/>
          <cell r="M38">
            <v>1</v>
          </cell>
          <cell r="N38">
            <v>2</v>
          </cell>
          <cell r="O38">
            <v>2</v>
          </cell>
          <cell r="P38">
            <v>3</v>
          </cell>
          <cell r="Q38"/>
          <cell r="R38"/>
          <cell r="S38"/>
          <cell r="T38">
            <v>10</v>
          </cell>
          <cell r="U38">
            <v>1</v>
          </cell>
          <cell r="V38">
            <v>21</v>
          </cell>
          <cell r="W38">
            <v>1.75</v>
          </cell>
          <cell r="X38" t="str">
            <v>1 to 4</v>
          </cell>
        </row>
        <row r="39">
          <cell r="F39">
            <v>21998</v>
          </cell>
          <cell r="G39" t="str">
            <v>&gt; 900</v>
          </cell>
          <cell r="H39">
            <v>12</v>
          </cell>
          <cell r="I39">
            <v>144</v>
          </cell>
          <cell r="J39"/>
          <cell r="K39"/>
          <cell r="L39"/>
          <cell r="M39"/>
          <cell r="N39"/>
          <cell r="O39">
            <v>1</v>
          </cell>
          <cell r="P39"/>
          <cell r="Q39">
            <v>2</v>
          </cell>
          <cell r="R39">
            <v>6</v>
          </cell>
          <cell r="S39">
            <v>6</v>
          </cell>
          <cell r="T39">
            <v>3</v>
          </cell>
          <cell r="U39">
            <v>1</v>
          </cell>
          <cell r="V39">
            <v>19</v>
          </cell>
          <cell r="W39">
            <v>1.5833333333333333</v>
          </cell>
          <cell r="X39" t="str">
            <v>&lt; 1</v>
          </cell>
        </row>
        <row r="40">
          <cell r="F40">
            <v>28170</v>
          </cell>
          <cell r="G40" t="str">
            <v>&gt; 150</v>
          </cell>
          <cell r="H40">
            <v>8</v>
          </cell>
          <cell r="I40">
            <v>96</v>
          </cell>
          <cell r="J40"/>
          <cell r="K40"/>
          <cell r="L40"/>
          <cell r="M40"/>
          <cell r="N40">
            <v>1</v>
          </cell>
          <cell r="O40">
            <v>4</v>
          </cell>
          <cell r="P40">
            <v>3</v>
          </cell>
          <cell r="Q40">
            <v>1</v>
          </cell>
          <cell r="R40">
            <v>1</v>
          </cell>
          <cell r="S40">
            <v>6</v>
          </cell>
          <cell r="T40">
            <v>3</v>
          </cell>
          <cell r="U40">
            <v>0</v>
          </cell>
          <cell r="V40">
            <v>19</v>
          </cell>
          <cell r="W40">
            <v>2.375</v>
          </cell>
          <cell r="X40" t="str">
            <v>1 to 4</v>
          </cell>
        </row>
        <row r="41">
          <cell r="F41">
            <v>20502</v>
          </cell>
          <cell r="G41" t="str">
            <v>&lt; 150</v>
          </cell>
          <cell r="H41">
            <v>12</v>
          </cell>
          <cell r="I41">
            <v>144</v>
          </cell>
          <cell r="J41"/>
          <cell r="K41">
            <v>1</v>
          </cell>
          <cell r="L41"/>
          <cell r="M41">
            <v>1</v>
          </cell>
          <cell r="N41"/>
          <cell r="O41"/>
          <cell r="P41"/>
          <cell r="Q41"/>
          <cell r="R41">
            <v>1</v>
          </cell>
          <cell r="S41">
            <v>12</v>
          </cell>
          <cell r="T41">
            <v>3</v>
          </cell>
          <cell r="U41">
            <v>0</v>
          </cell>
          <cell r="V41">
            <v>18</v>
          </cell>
          <cell r="W41">
            <v>1.5</v>
          </cell>
          <cell r="X41" t="str">
            <v>&lt; 1</v>
          </cell>
        </row>
        <row r="42">
          <cell r="F42">
            <v>22366</v>
          </cell>
          <cell r="G42" t="str">
            <v>&gt; 300</v>
          </cell>
          <cell r="H42">
            <v>12</v>
          </cell>
          <cell r="I42">
            <v>144</v>
          </cell>
          <cell r="J42">
            <v>3</v>
          </cell>
          <cell r="K42"/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/>
          <cell r="Q42">
            <v>2</v>
          </cell>
          <cell r="R42">
            <v>2</v>
          </cell>
          <cell r="S42">
            <v>1</v>
          </cell>
          <cell r="T42">
            <v>3</v>
          </cell>
          <cell r="U42">
            <v>2</v>
          </cell>
          <cell r="V42">
            <v>17</v>
          </cell>
          <cell r="W42">
            <v>1.4166666666666667</v>
          </cell>
          <cell r="X42" t="str">
            <v>1 to 4</v>
          </cell>
        </row>
        <row r="43">
          <cell r="F43">
            <v>24495</v>
          </cell>
          <cell r="G43" t="str">
            <v>&gt; 300</v>
          </cell>
          <cell r="H43">
            <v>12</v>
          </cell>
          <cell r="I43">
            <v>144</v>
          </cell>
          <cell r="J43"/>
          <cell r="K43"/>
          <cell r="L43">
            <v>1</v>
          </cell>
          <cell r="M43"/>
          <cell r="N43">
            <v>2</v>
          </cell>
          <cell r="O43">
            <v>6</v>
          </cell>
          <cell r="P43"/>
          <cell r="Q43">
            <v>1</v>
          </cell>
          <cell r="R43"/>
          <cell r="S43">
            <v>1</v>
          </cell>
          <cell r="T43">
            <v>4</v>
          </cell>
          <cell r="U43">
            <v>2</v>
          </cell>
          <cell r="V43">
            <v>17</v>
          </cell>
          <cell r="W43">
            <v>1.4166666666666667</v>
          </cell>
          <cell r="X43" t="str">
            <v>1 to 4</v>
          </cell>
        </row>
        <row r="44">
          <cell r="F44">
            <v>28485</v>
          </cell>
          <cell r="G44" t="str">
            <v>&gt; 150</v>
          </cell>
          <cell r="H44">
            <v>6</v>
          </cell>
          <cell r="I44">
            <v>72</v>
          </cell>
          <cell r="J44"/>
          <cell r="K44"/>
          <cell r="L44"/>
          <cell r="M44"/>
          <cell r="N44"/>
          <cell r="O44"/>
          <cell r="P44"/>
          <cell r="Q44">
            <v>1</v>
          </cell>
          <cell r="R44"/>
          <cell r="S44"/>
          <cell r="T44">
            <v>0</v>
          </cell>
          <cell r="U44">
            <v>15</v>
          </cell>
          <cell r="V44">
            <v>16</v>
          </cell>
          <cell r="W44">
            <v>2.6666666666666665</v>
          </cell>
          <cell r="X44" t="str">
            <v>&lt; 1</v>
          </cell>
        </row>
        <row r="45">
          <cell r="F45">
            <v>20322</v>
          </cell>
          <cell r="G45" t="str">
            <v>&gt; 450</v>
          </cell>
          <cell r="H45">
            <v>12</v>
          </cell>
          <cell r="I45">
            <v>144</v>
          </cell>
          <cell r="J45"/>
          <cell r="K45"/>
          <cell r="L45">
            <v>1</v>
          </cell>
          <cell r="M45"/>
          <cell r="N45">
            <v>1</v>
          </cell>
          <cell r="O45"/>
          <cell r="P45"/>
          <cell r="Q45"/>
          <cell r="R45">
            <v>2</v>
          </cell>
          <cell r="S45">
            <v>8</v>
          </cell>
          <cell r="T45">
            <v>3</v>
          </cell>
          <cell r="U45">
            <v>1</v>
          </cell>
          <cell r="V45">
            <v>16</v>
          </cell>
          <cell r="W45">
            <v>1.3333333333333333</v>
          </cell>
          <cell r="X45" t="str">
            <v>&lt; 1</v>
          </cell>
        </row>
        <row r="46">
          <cell r="F46">
            <v>27372</v>
          </cell>
          <cell r="G46" t="str">
            <v>&gt; 300</v>
          </cell>
          <cell r="H46">
            <v>12</v>
          </cell>
          <cell r="I46">
            <v>144</v>
          </cell>
          <cell r="J46"/>
          <cell r="K46"/>
          <cell r="L46">
            <v>1</v>
          </cell>
          <cell r="M46">
            <v>2</v>
          </cell>
          <cell r="N46">
            <v>1</v>
          </cell>
          <cell r="O46">
            <v>1</v>
          </cell>
          <cell r="P46"/>
          <cell r="Q46">
            <v>1</v>
          </cell>
          <cell r="R46"/>
          <cell r="S46">
            <v>3</v>
          </cell>
          <cell r="T46">
            <v>4</v>
          </cell>
          <cell r="U46">
            <v>2</v>
          </cell>
          <cell r="V46">
            <v>15</v>
          </cell>
          <cell r="W46">
            <v>1.25</v>
          </cell>
          <cell r="X46" t="str">
            <v>&lt; 1</v>
          </cell>
        </row>
        <row r="47">
          <cell r="F47">
            <v>23214</v>
          </cell>
          <cell r="G47" t="str">
            <v>&lt; 150</v>
          </cell>
          <cell r="H47">
            <v>12</v>
          </cell>
          <cell r="I47">
            <v>144</v>
          </cell>
          <cell r="J47"/>
          <cell r="K47"/>
          <cell r="L47"/>
          <cell r="M47"/>
          <cell r="N47"/>
          <cell r="O47"/>
          <cell r="P47">
            <v>2</v>
          </cell>
          <cell r="Q47"/>
          <cell r="R47">
            <v>1</v>
          </cell>
          <cell r="S47"/>
          <cell r="T47">
            <v>12</v>
          </cell>
          <cell r="U47">
            <v>0</v>
          </cell>
          <cell r="V47">
            <v>15</v>
          </cell>
          <cell r="W47">
            <v>1.25</v>
          </cell>
          <cell r="X47" t="str">
            <v>&lt; 1</v>
          </cell>
        </row>
        <row r="48">
          <cell r="F48">
            <v>23431</v>
          </cell>
          <cell r="G48" t="str">
            <v>&gt; 150</v>
          </cell>
          <cell r="H48">
            <v>12</v>
          </cell>
          <cell r="I48">
            <v>144</v>
          </cell>
          <cell r="J48">
            <v>1</v>
          </cell>
          <cell r="K48"/>
          <cell r="L48"/>
          <cell r="M48"/>
          <cell r="N48"/>
          <cell r="O48"/>
          <cell r="P48">
            <v>3</v>
          </cell>
          <cell r="Q48">
            <v>1</v>
          </cell>
          <cell r="R48"/>
          <cell r="S48"/>
          <cell r="T48">
            <v>6</v>
          </cell>
          <cell r="U48">
            <v>3</v>
          </cell>
          <cell r="V48">
            <v>14</v>
          </cell>
          <cell r="W48">
            <v>1.1666666666666667</v>
          </cell>
          <cell r="X48" t="str">
            <v>&lt; 1</v>
          </cell>
        </row>
        <row r="49">
          <cell r="F49">
            <v>26403</v>
          </cell>
          <cell r="G49" t="str">
            <v>&gt; 300</v>
          </cell>
          <cell r="H49">
            <v>12</v>
          </cell>
          <cell r="I49">
            <v>144</v>
          </cell>
          <cell r="J49"/>
          <cell r="K49">
            <v>1</v>
          </cell>
          <cell r="L49">
            <v>5</v>
          </cell>
          <cell r="M49"/>
          <cell r="N49"/>
          <cell r="O49"/>
          <cell r="P49">
            <v>3</v>
          </cell>
          <cell r="Q49">
            <v>1</v>
          </cell>
          <cell r="R49"/>
          <cell r="S49">
            <v>1</v>
          </cell>
          <cell r="T49">
            <v>1</v>
          </cell>
          <cell r="U49">
            <v>2</v>
          </cell>
          <cell r="V49">
            <v>14</v>
          </cell>
          <cell r="W49">
            <v>1.1666666666666667</v>
          </cell>
          <cell r="X49" t="str">
            <v>1 to 4</v>
          </cell>
        </row>
        <row r="50">
          <cell r="F50">
            <v>22452</v>
          </cell>
          <cell r="G50" t="str">
            <v>&gt; 300</v>
          </cell>
          <cell r="H50">
            <v>12</v>
          </cell>
          <cell r="I50">
            <v>144</v>
          </cell>
          <cell r="J50"/>
          <cell r="K50"/>
          <cell r="L50"/>
          <cell r="M50"/>
          <cell r="N50"/>
          <cell r="O50">
            <v>1</v>
          </cell>
          <cell r="P50">
            <v>1</v>
          </cell>
          <cell r="Q50">
            <v>4</v>
          </cell>
          <cell r="R50">
            <v>2</v>
          </cell>
          <cell r="S50">
            <v>2</v>
          </cell>
          <cell r="T50">
            <v>3</v>
          </cell>
          <cell r="U50">
            <v>0</v>
          </cell>
          <cell r="V50">
            <v>13</v>
          </cell>
          <cell r="W50">
            <v>1.0833333333333333</v>
          </cell>
          <cell r="X50" t="str">
            <v>&lt; 1</v>
          </cell>
        </row>
        <row r="51">
          <cell r="F51">
            <v>21928</v>
          </cell>
          <cell r="G51" t="str">
            <v>&gt; 150</v>
          </cell>
          <cell r="H51">
            <v>4</v>
          </cell>
          <cell r="I51">
            <v>48</v>
          </cell>
          <cell r="J51">
            <v>10</v>
          </cell>
          <cell r="K51">
            <v>2</v>
          </cell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>
            <v>12</v>
          </cell>
          <cell r="W51">
            <v>3</v>
          </cell>
          <cell r="X51" t="str">
            <v>1 to 4</v>
          </cell>
        </row>
        <row r="52">
          <cell r="F52">
            <v>24494</v>
          </cell>
          <cell r="G52" t="str">
            <v>&gt; 150</v>
          </cell>
          <cell r="H52">
            <v>12</v>
          </cell>
          <cell r="I52">
            <v>144</v>
          </cell>
          <cell r="J52"/>
          <cell r="K52"/>
          <cell r="L52">
            <v>1</v>
          </cell>
          <cell r="M52">
            <v>1</v>
          </cell>
          <cell r="N52">
            <v>1</v>
          </cell>
          <cell r="O52">
            <v>2</v>
          </cell>
          <cell r="P52">
            <v>2</v>
          </cell>
          <cell r="Q52">
            <v>1</v>
          </cell>
          <cell r="R52">
            <v>3</v>
          </cell>
          <cell r="S52"/>
          <cell r="T52">
            <v>0</v>
          </cell>
          <cell r="U52">
            <v>1</v>
          </cell>
          <cell r="V52">
            <v>12</v>
          </cell>
          <cell r="W52">
            <v>1</v>
          </cell>
          <cell r="X52" t="str">
            <v>1 to 4</v>
          </cell>
        </row>
        <row r="53">
          <cell r="F53">
            <v>20509</v>
          </cell>
          <cell r="G53" t="str">
            <v>&gt; 600</v>
          </cell>
          <cell r="H53">
            <v>12</v>
          </cell>
          <cell r="I53">
            <v>144</v>
          </cell>
          <cell r="J53"/>
          <cell r="K53"/>
          <cell r="L53">
            <v>2</v>
          </cell>
          <cell r="M53">
            <v>1</v>
          </cell>
          <cell r="N53">
            <v>4</v>
          </cell>
          <cell r="O53">
            <v>2</v>
          </cell>
          <cell r="P53"/>
          <cell r="Q53"/>
          <cell r="R53">
            <v>1</v>
          </cell>
          <cell r="S53">
            <v>1</v>
          </cell>
          <cell r="T53">
            <v>1</v>
          </cell>
          <cell r="U53">
            <v>0</v>
          </cell>
          <cell r="V53">
            <v>12</v>
          </cell>
          <cell r="W53">
            <v>1</v>
          </cell>
          <cell r="X53" t="str">
            <v>1 to 4</v>
          </cell>
        </row>
        <row r="54">
          <cell r="F54">
            <v>22365</v>
          </cell>
          <cell r="G54" t="str">
            <v>&gt; 450</v>
          </cell>
          <cell r="H54">
            <v>12</v>
          </cell>
          <cell r="I54">
            <v>144</v>
          </cell>
          <cell r="J54">
            <v>1</v>
          </cell>
          <cell r="K54"/>
          <cell r="L54"/>
          <cell r="M54"/>
          <cell r="N54">
            <v>1</v>
          </cell>
          <cell r="O54"/>
          <cell r="P54"/>
          <cell r="Q54">
            <v>1</v>
          </cell>
          <cell r="R54"/>
          <cell r="S54">
            <v>2</v>
          </cell>
          <cell r="T54">
            <v>3</v>
          </cell>
          <cell r="U54">
            <v>3</v>
          </cell>
          <cell r="V54">
            <v>11</v>
          </cell>
          <cell r="W54">
            <v>0.91666666666666663</v>
          </cell>
          <cell r="X54" t="str">
            <v>&lt; 1</v>
          </cell>
        </row>
        <row r="55">
          <cell r="F55">
            <v>22400</v>
          </cell>
          <cell r="G55" t="str">
            <v>&gt; 150</v>
          </cell>
          <cell r="H55">
            <v>12</v>
          </cell>
          <cell r="I55">
            <v>144</v>
          </cell>
          <cell r="J55"/>
          <cell r="K55">
            <v>2</v>
          </cell>
          <cell r="L55"/>
          <cell r="M55">
            <v>2</v>
          </cell>
          <cell r="N55">
            <v>1</v>
          </cell>
          <cell r="O55">
            <v>1</v>
          </cell>
          <cell r="P55"/>
          <cell r="Q55"/>
          <cell r="R55"/>
          <cell r="S55">
            <v>2</v>
          </cell>
          <cell r="T55">
            <v>0</v>
          </cell>
          <cell r="U55">
            <v>2</v>
          </cell>
          <cell r="V55">
            <v>10</v>
          </cell>
          <cell r="W55">
            <v>0.83333333333333337</v>
          </cell>
          <cell r="X55" t="str">
            <v>&lt; 1</v>
          </cell>
        </row>
        <row r="56">
          <cell r="F56">
            <v>22401</v>
          </cell>
          <cell r="G56" t="str">
            <v>&gt; 150</v>
          </cell>
          <cell r="H56">
            <v>12</v>
          </cell>
          <cell r="I56">
            <v>144</v>
          </cell>
          <cell r="J56">
            <v>1</v>
          </cell>
          <cell r="K56">
            <v>5</v>
          </cell>
          <cell r="L56"/>
          <cell r="M56">
            <v>2</v>
          </cell>
          <cell r="N56">
            <v>1</v>
          </cell>
          <cell r="O56"/>
          <cell r="P56"/>
          <cell r="Q56"/>
          <cell r="R56">
            <v>1</v>
          </cell>
          <cell r="S56"/>
          <cell r="T56">
            <v>0</v>
          </cell>
          <cell r="U56">
            <v>0</v>
          </cell>
          <cell r="V56">
            <v>10</v>
          </cell>
          <cell r="W56">
            <v>0.83333333333333337</v>
          </cell>
          <cell r="X56" t="str">
            <v>Zero</v>
          </cell>
        </row>
        <row r="57">
          <cell r="F57">
            <v>27792</v>
          </cell>
          <cell r="G57" t="str">
            <v>&gt; 300</v>
          </cell>
          <cell r="H57">
            <v>11</v>
          </cell>
          <cell r="I57">
            <v>132</v>
          </cell>
          <cell r="J57"/>
          <cell r="K57"/>
          <cell r="L57"/>
          <cell r="M57"/>
          <cell r="N57">
            <v>7</v>
          </cell>
          <cell r="O57"/>
          <cell r="P57">
            <v>2</v>
          </cell>
          <cell r="Q57"/>
          <cell r="R57"/>
          <cell r="S57"/>
          <cell r="T57">
            <v>0</v>
          </cell>
          <cell r="U57">
            <v>0</v>
          </cell>
          <cell r="V57">
            <v>9</v>
          </cell>
          <cell r="W57">
            <v>0.81818181818181823</v>
          </cell>
          <cell r="X57" t="str">
            <v>Zero</v>
          </cell>
        </row>
        <row r="58">
          <cell r="F58">
            <v>23969</v>
          </cell>
          <cell r="G58" t="str">
            <v>&gt; 450</v>
          </cell>
          <cell r="H58">
            <v>12</v>
          </cell>
          <cell r="I58">
            <v>144</v>
          </cell>
          <cell r="J58"/>
          <cell r="K58"/>
          <cell r="L58"/>
          <cell r="M58">
            <v>5</v>
          </cell>
          <cell r="N58"/>
          <cell r="O58">
            <v>2</v>
          </cell>
          <cell r="P58"/>
          <cell r="Q58">
            <v>2</v>
          </cell>
          <cell r="R58"/>
          <cell r="S58"/>
          <cell r="T58">
            <v>0</v>
          </cell>
          <cell r="U58">
            <v>0</v>
          </cell>
          <cell r="V58">
            <v>9</v>
          </cell>
          <cell r="W58">
            <v>0.75</v>
          </cell>
          <cell r="X58" t="str">
            <v>Zero</v>
          </cell>
        </row>
        <row r="59">
          <cell r="F59">
            <v>28083</v>
          </cell>
          <cell r="G59" t="str">
            <v>&lt; 150</v>
          </cell>
          <cell r="H59">
            <v>8</v>
          </cell>
          <cell r="I59">
            <v>96</v>
          </cell>
          <cell r="J59"/>
          <cell r="K59"/>
          <cell r="L59"/>
          <cell r="M59"/>
          <cell r="N59"/>
          <cell r="O59"/>
          <cell r="P59"/>
          <cell r="Q59"/>
          <cell r="R59">
            <v>4</v>
          </cell>
          <cell r="S59">
            <v>2</v>
          </cell>
          <cell r="T59">
            <v>0</v>
          </cell>
          <cell r="U59">
            <v>2</v>
          </cell>
          <cell r="V59">
            <v>8</v>
          </cell>
          <cell r="W59">
            <v>1</v>
          </cell>
          <cell r="X59" t="str">
            <v>1 to 4</v>
          </cell>
        </row>
        <row r="60">
          <cell r="F60">
            <v>21583</v>
          </cell>
          <cell r="G60" t="str">
            <v>&gt; 900</v>
          </cell>
          <cell r="H60">
            <v>12</v>
          </cell>
          <cell r="I60">
            <v>144</v>
          </cell>
          <cell r="J60"/>
          <cell r="K60"/>
          <cell r="L60"/>
          <cell r="M60"/>
          <cell r="N60"/>
          <cell r="O60">
            <v>1</v>
          </cell>
          <cell r="P60"/>
          <cell r="Q60"/>
          <cell r="R60"/>
          <cell r="S60">
            <v>2</v>
          </cell>
          <cell r="T60">
            <v>0</v>
          </cell>
          <cell r="U60">
            <v>3</v>
          </cell>
          <cell r="V60">
            <v>6</v>
          </cell>
          <cell r="W60">
            <v>0.5</v>
          </cell>
          <cell r="X60" t="str">
            <v>&lt; 1</v>
          </cell>
        </row>
        <row r="61">
          <cell r="F61">
            <v>22768</v>
          </cell>
          <cell r="G61" t="str">
            <v>&lt; 150</v>
          </cell>
          <cell r="H61">
            <v>12</v>
          </cell>
          <cell r="I61">
            <v>144</v>
          </cell>
          <cell r="J61"/>
          <cell r="K61">
            <v>1</v>
          </cell>
          <cell r="L61"/>
          <cell r="M61">
            <v>1</v>
          </cell>
          <cell r="N61">
            <v>1</v>
          </cell>
          <cell r="O61"/>
          <cell r="P61"/>
          <cell r="Q61"/>
          <cell r="R61"/>
          <cell r="S61"/>
          <cell r="T61">
            <v>2</v>
          </cell>
          <cell r="U61">
            <v>1</v>
          </cell>
          <cell r="V61">
            <v>6</v>
          </cell>
          <cell r="W61">
            <v>0.5</v>
          </cell>
          <cell r="X61" t="str">
            <v>&lt; 1</v>
          </cell>
        </row>
        <row r="62">
          <cell r="F62">
            <v>24153</v>
          </cell>
          <cell r="G62" t="str">
            <v>&gt; 600</v>
          </cell>
          <cell r="H62">
            <v>12</v>
          </cell>
          <cell r="I62">
            <v>144</v>
          </cell>
          <cell r="J62"/>
          <cell r="K62">
            <v>1</v>
          </cell>
          <cell r="L62">
            <v>2</v>
          </cell>
          <cell r="M62">
            <v>1</v>
          </cell>
          <cell r="N62"/>
          <cell r="O62">
            <v>1</v>
          </cell>
          <cell r="P62"/>
          <cell r="Q62">
            <v>1</v>
          </cell>
          <cell r="R62"/>
          <cell r="S62"/>
          <cell r="T62">
            <v>0</v>
          </cell>
          <cell r="U62">
            <v>0</v>
          </cell>
          <cell r="V62">
            <v>6</v>
          </cell>
          <cell r="W62">
            <v>0.5</v>
          </cell>
          <cell r="X62" t="str">
            <v>&lt; 1</v>
          </cell>
        </row>
        <row r="63">
          <cell r="F63">
            <v>20983</v>
          </cell>
          <cell r="G63" t="str">
            <v>&gt; 300</v>
          </cell>
          <cell r="H63">
            <v>4</v>
          </cell>
          <cell r="I63">
            <v>48</v>
          </cell>
          <cell r="J63">
            <v>4</v>
          </cell>
          <cell r="K63">
            <v>1</v>
          </cell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>
            <v>5</v>
          </cell>
          <cell r="W63">
            <v>1.25</v>
          </cell>
          <cell r="X63" t="str">
            <v>1 to 4</v>
          </cell>
        </row>
        <row r="64">
          <cell r="F64">
            <v>26530</v>
          </cell>
          <cell r="G64" t="str">
            <v>&lt; 150</v>
          </cell>
          <cell r="H64">
            <v>12</v>
          </cell>
          <cell r="I64">
            <v>144</v>
          </cell>
          <cell r="J64"/>
          <cell r="K64"/>
          <cell r="L64"/>
          <cell r="M64"/>
          <cell r="N64">
            <v>1</v>
          </cell>
          <cell r="O64">
            <v>4</v>
          </cell>
          <cell r="P64"/>
          <cell r="Q64"/>
          <cell r="R64"/>
          <cell r="S64"/>
          <cell r="T64">
            <v>0</v>
          </cell>
          <cell r="U64">
            <v>0</v>
          </cell>
          <cell r="V64">
            <v>5</v>
          </cell>
          <cell r="W64">
            <v>0.41666666666666669</v>
          </cell>
          <cell r="X64" t="str">
            <v>&lt; 1</v>
          </cell>
        </row>
        <row r="65">
          <cell r="F65">
            <v>26595</v>
          </cell>
          <cell r="G65" t="str">
            <v>&gt; 300</v>
          </cell>
          <cell r="H65">
            <v>12</v>
          </cell>
          <cell r="I65">
            <v>144</v>
          </cell>
          <cell r="J65"/>
          <cell r="K65"/>
          <cell r="L65"/>
          <cell r="M65"/>
          <cell r="N65"/>
          <cell r="O65"/>
          <cell r="P65"/>
          <cell r="Q65">
            <v>1</v>
          </cell>
          <cell r="R65">
            <v>1</v>
          </cell>
          <cell r="S65"/>
          <cell r="T65">
            <v>2</v>
          </cell>
          <cell r="U65">
            <v>0</v>
          </cell>
          <cell r="V65">
            <v>4</v>
          </cell>
          <cell r="W65">
            <v>0.33333333333333331</v>
          </cell>
          <cell r="X65" t="str">
            <v>&lt; 1</v>
          </cell>
        </row>
        <row r="66">
          <cell r="F66">
            <v>28270</v>
          </cell>
          <cell r="G66" t="str">
            <v>&gt; 150</v>
          </cell>
          <cell r="H66">
            <v>8</v>
          </cell>
          <cell r="I66">
            <v>96</v>
          </cell>
          <cell r="J66"/>
          <cell r="K66"/>
          <cell r="L66"/>
          <cell r="M66"/>
          <cell r="N66">
            <v>1</v>
          </cell>
          <cell r="O66"/>
          <cell r="P66"/>
          <cell r="Q66">
            <v>1</v>
          </cell>
          <cell r="R66"/>
          <cell r="S66">
            <v>1</v>
          </cell>
          <cell r="T66">
            <v>1</v>
          </cell>
          <cell r="U66">
            <v>0</v>
          </cell>
          <cell r="V66">
            <v>4</v>
          </cell>
          <cell r="W66">
            <v>0.5</v>
          </cell>
          <cell r="X66" t="str">
            <v>&lt; 1</v>
          </cell>
        </row>
        <row r="67">
          <cell r="F67">
            <v>23560</v>
          </cell>
          <cell r="G67" t="str">
            <v>&gt; 300</v>
          </cell>
          <cell r="H67">
            <v>12</v>
          </cell>
          <cell r="I67">
            <v>144</v>
          </cell>
          <cell r="J67"/>
          <cell r="K67">
            <v>1</v>
          </cell>
          <cell r="L67"/>
          <cell r="M67"/>
          <cell r="N67">
            <v>1</v>
          </cell>
          <cell r="O67"/>
          <cell r="P67">
            <v>1</v>
          </cell>
          <cell r="Q67"/>
          <cell r="R67">
            <v>1</v>
          </cell>
          <cell r="S67"/>
          <cell r="T67">
            <v>0</v>
          </cell>
          <cell r="U67">
            <v>0</v>
          </cell>
          <cell r="V67">
            <v>4</v>
          </cell>
          <cell r="W67">
            <v>0.33333333333333331</v>
          </cell>
          <cell r="X67" t="str">
            <v>&lt; 1</v>
          </cell>
        </row>
        <row r="68">
          <cell r="F68">
            <v>23565</v>
          </cell>
          <cell r="G68" t="str">
            <v>&gt; 150</v>
          </cell>
          <cell r="H68">
            <v>12</v>
          </cell>
          <cell r="I68">
            <v>144</v>
          </cell>
          <cell r="J68"/>
          <cell r="K68"/>
          <cell r="L68"/>
          <cell r="M68"/>
          <cell r="N68"/>
          <cell r="O68">
            <v>1</v>
          </cell>
          <cell r="P68"/>
          <cell r="Q68"/>
          <cell r="R68"/>
          <cell r="S68"/>
          <cell r="T68">
            <v>0</v>
          </cell>
          <cell r="U68">
            <v>2</v>
          </cell>
          <cell r="V68">
            <v>3</v>
          </cell>
          <cell r="W68">
            <v>0.25</v>
          </cell>
          <cell r="X68" t="str">
            <v>&lt; 1</v>
          </cell>
        </row>
        <row r="69">
          <cell r="F69">
            <v>27630</v>
          </cell>
          <cell r="G69" t="str">
            <v>&gt; 450</v>
          </cell>
          <cell r="H69">
            <v>12</v>
          </cell>
          <cell r="I69">
            <v>144</v>
          </cell>
          <cell r="J69"/>
          <cell r="K69">
            <v>1</v>
          </cell>
          <cell r="L69"/>
          <cell r="M69"/>
          <cell r="N69"/>
          <cell r="O69"/>
          <cell r="P69"/>
          <cell r="Q69"/>
          <cell r="R69"/>
          <cell r="S69"/>
          <cell r="T69">
            <v>0</v>
          </cell>
          <cell r="U69">
            <v>2</v>
          </cell>
          <cell r="V69">
            <v>3</v>
          </cell>
          <cell r="W69">
            <v>0.25</v>
          </cell>
          <cell r="X69" t="str">
            <v>&lt; 1</v>
          </cell>
        </row>
        <row r="70">
          <cell r="F70">
            <v>23432</v>
          </cell>
          <cell r="G70" t="str">
            <v>&gt; 450</v>
          </cell>
          <cell r="H70">
            <v>12</v>
          </cell>
          <cell r="I70">
            <v>144</v>
          </cell>
          <cell r="J70">
            <v>1</v>
          </cell>
          <cell r="K70">
            <v>1</v>
          </cell>
          <cell r="L70"/>
          <cell r="M70"/>
          <cell r="N70"/>
          <cell r="O70"/>
          <cell r="P70"/>
          <cell r="Q70">
            <v>1</v>
          </cell>
          <cell r="R70"/>
          <cell r="S70"/>
          <cell r="T70">
            <v>0</v>
          </cell>
          <cell r="U70">
            <v>0</v>
          </cell>
          <cell r="V70">
            <v>3</v>
          </cell>
          <cell r="W70">
            <v>0.25</v>
          </cell>
          <cell r="X70" t="str">
            <v>&lt; 1</v>
          </cell>
        </row>
        <row r="71">
          <cell r="F71">
            <v>29052</v>
          </cell>
          <cell r="G71" t="str">
            <v>&lt; 150</v>
          </cell>
          <cell r="H71">
            <v>1</v>
          </cell>
          <cell r="I71">
            <v>12</v>
          </cell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>
            <v>2</v>
          </cell>
          <cell r="V71">
            <v>2</v>
          </cell>
          <cell r="W71">
            <v>2</v>
          </cell>
          <cell r="X71" t="str">
            <v>1 to 4</v>
          </cell>
        </row>
        <row r="72">
          <cell r="F72">
            <v>27732</v>
          </cell>
          <cell r="G72" t="str">
            <v>&lt; 150</v>
          </cell>
          <cell r="H72">
            <v>10</v>
          </cell>
          <cell r="I72">
            <v>120</v>
          </cell>
          <cell r="J72"/>
          <cell r="K72"/>
          <cell r="L72"/>
          <cell r="M72"/>
          <cell r="N72">
            <v>1</v>
          </cell>
          <cell r="O72"/>
          <cell r="P72"/>
          <cell r="Q72"/>
          <cell r="R72"/>
          <cell r="S72">
            <v>1</v>
          </cell>
          <cell r="T72">
            <v>0</v>
          </cell>
          <cell r="U72">
            <v>0</v>
          </cell>
          <cell r="V72">
            <v>2</v>
          </cell>
          <cell r="W72">
            <v>0.2</v>
          </cell>
          <cell r="X72" t="str">
            <v>&lt; 1</v>
          </cell>
        </row>
        <row r="73">
          <cell r="F73">
            <v>28483</v>
          </cell>
          <cell r="G73" t="str">
            <v>&lt; 150</v>
          </cell>
          <cell r="H73">
            <v>4</v>
          </cell>
          <cell r="I73">
            <v>48</v>
          </cell>
          <cell r="J73"/>
          <cell r="K73"/>
          <cell r="L73"/>
          <cell r="M73"/>
          <cell r="N73"/>
          <cell r="O73"/>
          <cell r="P73"/>
          <cell r="Q73">
            <v>2</v>
          </cell>
          <cell r="R73"/>
          <cell r="S73"/>
          <cell r="T73">
            <v>0</v>
          </cell>
          <cell r="U73">
            <v>0</v>
          </cell>
          <cell r="V73">
            <v>2</v>
          </cell>
          <cell r="W73">
            <v>0.5</v>
          </cell>
          <cell r="X73" t="str">
            <v>Zero</v>
          </cell>
        </row>
        <row r="74">
          <cell r="F74">
            <v>28482</v>
          </cell>
          <cell r="G74" t="str">
            <v>&lt; 150</v>
          </cell>
          <cell r="H74">
            <v>6</v>
          </cell>
          <cell r="I74">
            <v>72</v>
          </cell>
          <cell r="J74"/>
          <cell r="K74"/>
          <cell r="L74"/>
          <cell r="M74"/>
          <cell r="N74"/>
          <cell r="O74"/>
          <cell r="P74"/>
          <cell r="Q74">
            <v>1</v>
          </cell>
          <cell r="R74">
            <v>1</v>
          </cell>
          <cell r="S74"/>
          <cell r="T74">
            <v>0</v>
          </cell>
          <cell r="U74">
            <v>0</v>
          </cell>
          <cell r="V74">
            <v>2</v>
          </cell>
          <cell r="W74">
            <v>0.33333333333333331</v>
          </cell>
          <cell r="X74" t="str">
            <v>&lt; 1</v>
          </cell>
        </row>
        <row r="75">
          <cell r="F75">
            <v>27252</v>
          </cell>
          <cell r="G75" t="str">
            <v>&lt; 150</v>
          </cell>
          <cell r="H75">
            <v>11</v>
          </cell>
          <cell r="I75">
            <v>132</v>
          </cell>
          <cell r="J75"/>
          <cell r="K75"/>
          <cell r="L75"/>
          <cell r="M75">
            <v>1</v>
          </cell>
          <cell r="N75"/>
          <cell r="O75"/>
          <cell r="P75"/>
          <cell r="Q75"/>
          <cell r="R75"/>
          <cell r="S75"/>
          <cell r="T75">
            <v>0</v>
          </cell>
          <cell r="U75"/>
          <cell r="V75">
            <v>1</v>
          </cell>
          <cell r="W75">
            <v>9.0909090909090912E-2</v>
          </cell>
          <cell r="X75" t="str">
            <v>&lt; 1</v>
          </cell>
        </row>
        <row r="76">
          <cell r="F76">
            <v>22361</v>
          </cell>
          <cell r="G76" t="str">
            <v>&gt; 150</v>
          </cell>
          <cell r="H76">
            <v>5</v>
          </cell>
          <cell r="I76">
            <v>60</v>
          </cell>
          <cell r="J76"/>
          <cell r="K76">
            <v>1</v>
          </cell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>
            <v>1</v>
          </cell>
          <cell r="W76">
            <v>0.2</v>
          </cell>
          <cell r="X76" t="str">
            <v>&lt; 1</v>
          </cell>
        </row>
        <row r="77">
          <cell r="F77">
            <v>27249</v>
          </cell>
          <cell r="G77" t="str">
            <v>&lt; 150</v>
          </cell>
          <cell r="H77">
            <v>12</v>
          </cell>
          <cell r="I77">
            <v>144</v>
          </cell>
          <cell r="J77"/>
          <cell r="K77">
            <v>1</v>
          </cell>
          <cell r="L77"/>
          <cell r="M77"/>
          <cell r="N77"/>
          <cell r="O77"/>
          <cell r="P77"/>
          <cell r="Q77"/>
          <cell r="R77"/>
          <cell r="S77"/>
          <cell r="T77">
            <v>0</v>
          </cell>
          <cell r="U77">
            <v>0</v>
          </cell>
          <cell r="V77">
            <v>1</v>
          </cell>
          <cell r="W77">
            <v>8.3333333333333329E-2</v>
          </cell>
          <cell r="X77" t="str">
            <v>&lt; 1</v>
          </cell>
        </row>
        <row r="78">
          <cell r="F78">
            <v>29089</v>
          </cell>
          <cell r="G78" t="str">
            <v>&lt; 150</v>
          </cell>
          <cell r="H78">
            <v>0</v>
          </cell>
          <cell r="I78">
            <v>0</v>
          </cell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>
            <v>0</v>
          </cell>
          <cell r="W78" t="e">
            <v>#DIV/0!</v>
          </cell>
          <cell r="X78" t="e">
            <v>#DIV/0!</v>
          </cell>
        </row>
        <row r="79">
          <cell r="F79">
            <v>28601</v>
          </cell>
          <cell r="G79" t="str">
            <v>&lt; 150</v>
          </cell>
          <cell r="H79">
            <v>2</v>
          </cell>
          <cell r="I79">
            <v>24</v>
          </cell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>
            <v>0</v>
          </cell>
          <cell r="U79"/>
          <cell r="V79">
            <v>0</v>
          </cell>
          <cell r="W79">
            <v>0</v>
          </cell>
          <cell r="X79" t="str">
            <v>Zero</v>
          </cell>
        </row>
        <row r="80">
          <cell r="F80">
            <v>20503</v>
          </cell>
          <cell r="G80" t="str">
            <v>&lt; 150</v>
          </cell>
          <cell r="H80">
            <v>11</v>
          </cell>
          <cell r="I80">
            <v>132</v>
          </cell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>
            <v>0</v>
          </cell>
          <cell r="U80"/>
          <cell r="V80">
            <v>0</v>
          </cell>
          <cell r="W80">
            <v>0</v>
          </cell>
          <cell r="X80" t="str">
            <v>Zero</v>
          </cell>
        </row>
        <row r="81">
          <cell r="F81">
            <v>22771</v>
          </cell>
          <cell r="G81" t="str">
            <v>&lt; 150</v>
          </cell>
          <cell r="H81">
            <v>5</v>
          </cell>
          <cell r="I81">
            <v>60</v>
          </cell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>
            <v>0</v>
          </cell>
          <cell r="W81">
            <v>0</v>
          </cell>
          <cell r="X81" t="str">
            <v>Zero</v>
          </cell>
        </row>
        <row r="82">
          <cell r="F82">
            <v>26507</v>
          </cell>
          <cell r="G82" t="str">
            <v>&lt; 150</v>
          </cell>
          <cell r="H82">
            <v>6</v>
          </cell>
          <cell r="I82">
            <v>72</v>
          </cell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>
            <v>0</v>
          </cell>
          <cell r="W82">
            <v>0</v>
          </cell>
          <cell r="X82" t="str">
            <v>Zero</v>
          </cell>
        </row>
        <row r="83">
          <cell r="F83">
            <v>21925</v>
          </cell>
          <cell r="G83" t="str">
            <v>&lt; 150</v>
          </cell>
          <cell r="H83">
            <v>9</v>
          </cell>
          <cell r="I83">
            <v>108</v>
          </cell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>
            <v>0</v>
          </cell>
          <cell r="U83"/>
          <cell r="V83">
            <v>0</v>
          </cell>
          <cell r="W83">
            <v>0</v>
          </cell>
          <cell r="X83" t="str">
            <v>Zero</v>
          </cell>
        </row>
        <row r="84">
          <cell r="F84">
            <v>27632</v>
          </cell>
          <cell r="G84" t="str">
            <v>Nill</v>
          </cell>
          <cell r="H84">
            <v>0</v>
          </cell>
          <cell r="I84">
            <v>0</v>
          </cell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>
            <v>0</v>
          </cell>
          <cell r="W84">
            <v>0</v>
          </cell>
          <cell r="X84" t="str">
            <v>Zero</v>
          </cell>
        </row>
        <row r="85">
          <cell r="F85">
            <v>28484</v>
          </cell>
          <cell r="G85" t="str">
            <v>Nill</v>
          </cell>
          <cell r="H85">
            <v>0</v>
          </cell>
          <cell r="I85">
            <v>0</v>
          </cell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>
            <v>0</v>
          </cell>
          <cell r="W85">
            <v>0</v>
          </cell>
          <cell r="X85" t="str">
            <v>Zero</v>
          </cell>
        </row>
        <row r="86">
          <cell r="F86">
            <v>21929</v>
          </cell>
          <cell r="G86" t="str">
            <v>&lt; 150</v>
          </cell>
          <cell r="H86">
            <v>3</v>
          </cell>
          <cell r="I86">
            <v>36</v>
          </cell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>
            <v>0</v>
          </cell>
          <cell r="W86">
            <v>0</v>
          </cell>
          <cell r="X86" t="str">
            <v>Zero</v>
          </cell>
        </row>
        <row r="87">
          <cell r="F87">
            <v>26881</v>
          </cell>
          <cell r="G87" t="str">
            <v>&lt; 150</v>
          </cell>
          <cell r="H87">
            <v>2</v>
          </cell>
          <cell r="I87">
            <v>24</v>
          </cell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>
            <v>0</v>
          </cell>
          <cell r="W87">
            <v>0</v>
          </cell>
          <cell r="X87" t="str">
            <v>Zero</v>
          </cell>
        </row>
        <row r="88">
          <cell r="F88">
            <v>24527</v>
          </cell>
          <cell r="G88" t="str">
            <v>&lt; 150</v>
          </cell>
          <cell r="H88">
            <v>4</v>
          </cell>
          <cell r="I88">
            <v>48</v>
          </cell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>
            <v>0</v>
          </cell>
          <cell r="W88">
            <v>0</v>
          </cell>
          <cell r="X88" t="str">
            <v>Zero</v>
          </cell>
        </row>
        <row r="89">
          <cell r="F89">
            <v>23147</v>
          </cell>
          <cell r="G89" t="str">
            <v>&lt; 150</v>
          </cell>
          <cell r="H89">
            <v>1</v>
          </cell>
          <cell r="I89">
            <v>12</v>
          </cell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>
            <v>0</v>
          </cell>
          <cell r="W89">
            <v>0</v>
          </cell>
          <cell r="X89" t="str">
            <v>Zero</v>
          </cell>
        </row>
        <row r="90">
          <cell r="F90">
            <v>27631</v>
          </cell>
          <cell r="G90" t="str">
            <v>&lt; 150</v>
          </cell>
          <cell r="H90">
            <v>2</v>
          </cell>
          <cell r="I90">
            <v>24</v>
          </cell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>
            <v>0</v>
          </cell>
          <cell r="W90">
            <v>0</v>
          </cell>
          <cell r="X90" t="str">
            <v>Zero</v>
          </cell>
        </row>
        <row r="91">
          <cell r="F91">
            <v>22453</v>
          </cell>
          <cell r="G91" t="str">
            <v>&lt; 150</v>
          </cell>
          <cell r="H91">
            <v>11</v>
          </cell>
          <cell r="I91">
            <v>132</v>
          </cell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Zero</v>
          </cell>
        </row>
        <row r="92">
          <cell r="F92">
            <v>27731</v>
          </cell>
          <cell r="G92" t="str">
            <v>&lt; 150</v>
          </cell>
          <cell r="H92">
            <v>10</v>
          </cell>
          <cell r="I92">
            <v>120</v>
          </cell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 t="str">
            <v>Zero</v>
          </cell>
        </row>
        <row r="93">
          <cell r="F93">
            <v>28075</v>
          </cell>
          <cell r="G93" t="str">
            <v>&lt; 150</v>
          </cell>
          <cell r="H93">
            <v>8</v>
          </cell>
          <cell r="I93">
            <v>96</v>
          </cell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Zero</v>
          </cell>
        </row>
        <row r="94">
          <cell r="F94">
            <v>23270</v>
          </cell>
          <cell r="G94" t="str">
            <v>&lt; 150</v>
          </cell>
          <cell r="H94">
            <v>12</v>
          </cell>
          <cell r="I94">
            <v>144</v>
          </cell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 t="str">
            <v>Zero</v>
          </cell>
        </row>
        <row r="95">
          <cell r="F95">
            <v>21926</v>
          </cell>
          <cell r="G95" t="str">
            <v>&gt; 150</v>
          </cell>
          <cell r="H95">
            <v>12</v>
          </cell>
          <cell r="I95">
            <v>144</v>
          </cell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Zero</v>
          </cell>
        </row>
        <row r="96">
          <cell r="F96">
            <v>28860</v>
          </cell>
          <cell r="G96" t="str">
            <v>&gt; 150</v>
          </cell>
          <cell r="H96">
            <v>4</v>
          </cell>
          <cell r="I96">
            <v>48</v>
          </cell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>Zero</v>
          </cell>
        </row>
        <row r="97">
          <cell r="F97">
            <v>28305</v>
          </cell>
          <cell r="G97" t="str">
            <v>&lt; 150</v>
          </cell>
          <cell r="H97">
            <v>4</v>
          </cell>
          <cell r="I97">
            <v>48</v>
          </cell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Zero</v>
          </cell>
        </row>
        <row r="98">
          <cell r="F98">
            <v>28825</v>
          </cell>
          <cell r="G98" t="str">
            <v>Nill</v>
          </cell>
          <cell r="H98">
            <v>1</v>
          </cell>
          <cell r="I98">
            <v>12</v>
          </cell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>
            <v>0</v>
          </cell>
          <cell r="V98">
            <v>0</v>
          </cell>
          <cell r="W98">
            <v>0</v>
          </cell>
          <cell r="X98" t="str">
            <v>Zero</v>
          </cell>
        </row>
        <row r="99">
          <cell r="F99">
            <v>29069</v>
          </cell>
          <cell r="G99" t="str">
            <v>Nill</v>
          </cell>
          <cell r="H99">
            <v>1</v>
          </cell>
          <cell r="I99">
            <v>12</v>
          </cell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>
            <v>0</v>
          </cell>
          <cell r="V99">
            <v>0</v>
          </cell>
          <cell r="W99">
            <v>0</v>
          </cell>
          <cell r="X99" t="str">
            <v>Zero</v>
          </cell>
        </row>
      </sheetData>
      <sheetData sheetId="14"/>
      <sheetData sheetId="15"/>
      <sheetData sheetId="16">
        <row r="2">
          <cell r="F2" t="str">
            <v>Code</v>
          </cell>
          <cell r="G2" t="str">
            <v>TXN Category</v>
          </cell>
          <cell r="H2" t="str">
            <v>Month</v>
          </cell>
          <cell r="I2" t="str">
            <v>Target</v>
          </cell>
          <cell r="J2">
            <v>45748</v>
          </cell>
          <cell r="K2">
            <v>45778</v>
          </cell>
          <cell r="L2">
            <v>45809</v>
          </cell>
          <cell r="M2">
            <v>45839</v>
          </cell>
          <cell r="N2">
            <v>45870</v>
          </cell>
          <cell r="O2">
            <v>45901</v>
          </cell>
          <cell r="P2">
            <v>45931</v>
          </cell>
          <cell r="Q2">
            <v>45962</v>
          </cell>
          <cell r="R2">
            <v>45992</v>
          </cell>
          <cell r="S2">
            <v>46023</v>
          </cell>
          <cell r="T2">
            <v>46054</v>
          </cell>
          <cell r="U2">
            <v>46082</v>
          </cell>
          <cell r="V2" t="str">
            <v>Total PMSBY</v>
          </cell>
          <cell r="W2" t="str">
            <v>Average</v>
          </cell>
          <cell r="X2" t="str">
            <v>Category</v>
          </cell>
        </row>
        <row r="3">
          <cell r="F3">
            <v>26084</v>
          </cell>
          <cell r="G3" t="str">
            <v>&gt; 450</v>
          </cell>
          <cell r="H3">
            <v>12</v>
          </cell>
          <cell r="I3">
            <v>288</v>
          </cell>
          <cell r="J3">
            <v>31</v>
          </cell>
          <cell r="K3">
            <v>33</v>
          </cell>
          <cell r="L3">
            <v>19</v>
          </cell>
          <cell r="M3">
            <v>41</v>
          </cell>
          <cell r="N3">
            <v>42</v>
          </cell>
          <cell r="O3">
            <v>34</v>
          </cell>
          <cell r="P3">
            <v>22</v>
          </cell>
          <cell r="Q3">
            <v>34</v>
          </cell>
          <cell r="R3">
            <v>21</v>
          </cell>
          <cell r="S3">
            <v>35</v>
          </cell>
          <cell r="T3">
            <v>62</v>
          </cell>
          <cell r="U3">
            <v>65</v>
          </cell>
          <cell r="V3">
            <v>439</v>
          </cell>
          <cell r="W3">
            <v>36.583333333333336</v>
          </cell>
          <cell r="X3" t="str">
            <v>&gt; 20</v>
          </cell>
        </row>
        <row r="4">
          <cell r="F4">
            <v>26588</v>
          </cell>
          <cell r="G4" t="str">
            <v>&gt; 300</v>
          </cell>
          <cell r="H4">
            <v>12</v>
          </cell>
          <cell r="I4">
            <v>288</v>
          </cell>
          <cell r="J4">
            <v>15</v>
          </cell>
          <cell r="K4">
            <v>15</v>
          </cell>
          <cell r="L4">
            <v>17</v>
          </cell>
          <cell r="M4">
            <v>27</v>
          </cell>
          <cell r="N4">
            <v>37</v>
          </cell>
          <cell r="O4">
            <v>38</v>
          </cell>
          <cell r="P4">
            <v>35</v>
          </cell>
          <cell r="Q4">
            <v>14</v>
          </cell>
          <cell r="R4">
            <v>30</v>
          </cell>
          <cell r="S4">
            <v>29</v>
          </cell>
          <cell r="T4">
            <v>77</v>
          </cell>
          <cell r="U4">
            <v>34</v>
          </cell>
          <cell r="V4">
            <v>368</v>
          </cell>
          <cell r="W4">
            <v>30.666666666666668</v>
          </cell>
          <cell r="X4" t="str">
            <v>&gt; 20</v>
          </cell>
        </row>
        <row r="5">
          <cell r="F5">
            <v>27219</v>
          </cell>
          <cell r="G5" t="str">
            <v>&gt; 300</v>
          </cell>
          <cell r="H5">
            <v>12</v>
          </cell>
          <cell r="I5">
            <v>288</v>
          </cell>
          <cell r="J5">
            <v>17</v>
          </cell>
          <cell r="K5">
            <v>31</v>
          </cell>
          <cell r="L5">
            <v>35</v>
          </cell>
          <cell r="M5">
            <v>10</v>
          </cell>
          <cell r="N5">
            <v>30</v>
          </cell>
          <cell r="O5">
            <v>21</v>
          </cell>
          <cell r="P5">
            <v>40</v>
          </cell>
          <cell r="Q5">
            <v>12</v>
          </cell>
          <cell r="R5">
            <v>22</v>
          </cell>
          <cell r="S5">
            <v>36</v>
          </cell>
          <cell r="T5">
            <v>35</v>
          </cell>
          <cell r="U5">
            <v>34</v>
          </cell>
          <cell r="V5">
            <v>323</v>
          </cell>
          <cell r="W5">
            <v>26.916666666666668</v>
          </cell>
          <cell r="X5" t="str">
            <v>&gt; 20</v>
          </cell>
        </row>
        <row r="6">
          <cell r="F6">
            <v>21091</v>
          </cell>
          <cell r="G6" t="str">
            <v>&gt; 150</v>
          </cell>
          <cell r="H6">
            <v>12</v>
          </cell>
          <cell r="I6">
            <v>288</v>
          </cell>
          <cell r="J6">
            <v>29</v>
          </cell>
          <cell r="K6">
            <v>19</v>
          </cell>
          <cell r="L6">
            <v>14</v>
          </cell>
          <cell r="M6">
            <v>32</v>
          </cell>
          <cell r="N6">
            <v>21</v>
          </cell>
          <cell r="O6">
            <v>17</v>
          </cell>
          <cell r="P6">
            <v>16</v>
          </cell>
          <cell r="Q6">
            <v>11</v>
          </cell>
          <cell r="R6">
            <v>41</v>
          </cell>
          <cell r="S6">
            <v>25</v>
          </cell>
          <cell r="T6">
            <v>58</v>
          </cell>
          <cell r="U6">
            <v>34</v>
          </cell>
          <cell r="V6">
            <v>317</v>
          </cell>
          <cell r="W6">
            <v>26.416666666666668</v>
          </cell>
          <cell r="X6" t="str">
            <v>&gt; 20</v>
          </cell>
        </row>
        <row r="7">
          <cell r="F7">
            <v>23142</v>
          </cell>
          <cell r="G7" t="str">
            <v>&gt; 450</v>
          </cell>
          <cell r="H7">
            <v>12</v>
          </cell>
          <cell r="I7">
            <v>288</v>
          </cell>
          <cell r="J7">
            <v>11</v>
          </cell>
          <cell r="K7">
            <v>19</v>
          </cell>
          <cell r="L7">
            <v>17</v>
          </cell>
          <cell r="M7">
            <v>36</v>
          </cell>
          <cell r="N7">
            <v>54</v>
          </cell>
          <cell r="O7">
            <v>51</v>
          </cell>
          <cell r="P7">
            <v>20</v>
          </cell>
          <cell r="Q7">
            <v>19</v>
          </cell>
          <cell r="R7">
            <v>13</v>
          </cell>
          <cell r="S7">
            <v>12</v>
          </cell>
          <cell r="T7">
            <v>42</v>
          </cell>
          <cell r="U7">
            <v>8</v>
          </cell>
          <cell r="V7">
            <v>302</v>
          </cell>
          <cell r="W7">
            <v>25.166666666666668</v>
          </cell>
          <cell r="X7" t="str">
            <v>&gt; 20</v>
          </cell>
        </row>
        <row r="8">
          <cell r="F8">
            <v>22346</v>
          </cell>
          <cell r="G8" t="str">
            <v>&gt; 1500</v>
          </cell>
          <cell r="H8">
            <v>12</v>
          </cell>
          <cell r="I8">
            <v>288</v>
          </cell>
          <cell r="J8">
            <v>18</v>
          </cell>
          <cell r="K8">
            <v>15</v>
          </cell>
          <cell r="L8">
            <v>24</v>
          </cell>
          <cell r="M8">
            <v>23</v>
          </cell>
          <cell r="N8">
            <v>21</v>
          </cell>
          <cell r="O8">
            <v>10</v>
          </cell>
          <cell r="P8">
            <v>16</v>
          </cell>
          <cell r="Q8">
            <v>33</v>
          </cell>
          <cell r="R8">
            <v>17</v>
          </cell>
          <cell r="S8">
            <v>13</v>
          </cell>
          <cell r="T8">
            <v>62</v>
          </cell>
          <cell r="U8">
            <v>26</v>
          </cell>
          <cell r="V8">
            <v>278</v>
          </cell>
          <cell r="W8">
            <v>23.166666666666668</v>
          </cell>
          <cell r="X8" t="str">
            <v>&gt; 20</v>
          </cell>
        </row>
        <row r="9">
          <cell r="F9">
            <v>26399</v>
          </cell>
          <cell r="G9" t="str">
            <v>&gt; 900</v>
          </cell>
          <cell r="H9">
            <v>12</v>
          </cell>
          <cell r="I9">
            <v>288</v>
          </cell>
          <cell r="J9">
            <v>28</v>
          </cell>
          <cell r="K9">
            <v>17</v>
          </cell>
          <cell r="L9">
            <v>15</v>
          </cell>
          <cell r="M9">
            <v>22</v>
          </cell>
          <cell r="N9">
            <v>15</v>
          </cell>
          <cell r="O9">
            <v>9</v>
          </cell>
          <cell r="P9">
            <v>10</v>
          </cell>
          <cell r="Q9">
            <v>23</v>
          </cell>
          <cell r="R9">
            <v>24</v>
          </cell>
          <cell r="S9">
            <v>16</v>
          </cell>
          <cell r="T9">
            <v>58</v>
          </cell>
          <cell r="U9">
            <v>21</v>
          </cell>
          <cell r="V9">
            <v>258</v>
          </cell>
          <cell r="W9">
            <v>21.5</v>
          </cell>
          <cell r="X9" t="str">
            <v>&gt; 20</v>
          </cell>
        </row>
        <row r="10">
          <cell r="F10">
            <v>25557</v>
          </cell>
          <cell r="G10" t="str">
            <v>&lt; 150</v>
          </cell>
          <cell r="H10">
            <v>12</v>
          </cell>
          <cell r="I10">
            <v>288</v>
          </cell>
          <cell r="J10">
            <v>10</v>
          </cell>
          <cell r="K10">
            <v>13</v>
          </cell>
          <cell r="L10">
            <v>13</v>
          </cell>
          <cell r="M10">
            <v>12</v>
          </cell>
          <cell r="N10">
            <v>19</v>
          </cell>
          <cell r="O10">
            <v>20</v>
          </cell>
          <cell r="P10">
            <v>18</v>
          </cell>
          <cell r="Q10">
            <v>15</v>
          </cell>
          <cell r="R10">
            <v>22</v>
          </cell>
          <cell r="S10">
            <v>42</v>
          </cell>
          <cell r="T10">
            <v>39</v>
          </cell>
          <cell r="U10">
            <v>33</v>
          </cell>
          <cell r="V10">
            <v>256</v>
          </cell>
          <cell r="W10">
            <v>21.333333333333332</v>
          </cell>
          <cell r="X10" t="str">
            <v>&gt; 20</v>
          </cell>
        </row>
        <row r="11">
          <cell r="F11">
            <v>20502</v>
          </cell>
          <cell r="G11" t="str">
            <v>&lt; 150</v>
          </cell>
          <cell r="H11">
            <v>12</v>
          </cell>
          <cell r="I11">
            <v>288</v>
          </cell>
          <cell r="J11"/>
          <cell r="K11">
            <v>7</v>
          </cell>
          <cell r="L11">
            <v>22</v>
          </cell>
          <cell r="M11">
            <v>27</v>
          </cell>
          <cell r="N11">
            <v>23</v>
          </cell>
          <cell r="O11">
            <v>30</v>
          </cell>
          <cell r="P11">
            <v>13</v>
          </cell>
          <cell r="Q11">
            <v>33</v>
          </cell>
          <cell r="R11">
            <v>17</v>
          </cell>
          <cell r="S11">
            <v>24</v>
          </cell>
          <cell r="T11">
            <v>24</v>
          </cell>
          <cell r="U11">
            <v>19</v>
          </cell>
          <cell r="V11">
            <v>239</v>
          </cell>
          <cell r="W11">
            <v>19.916666666666668</v>
          </cell>
          <cell r="X11" t="str">
            <v>10 to 20</v>
          </cell>
        </row>
        <row r="12">
          <cell r="F12">
            <v>27630</v>
          </cell>
          <cell r="G12" t="str">
            <v>&gt; 450</v>
          </cell>
          <cell r="H12">
            <v>12</v>
          </cell>
          <cell r="I12">
            <v>288</v>
          </cell>
          <cell r="J12"/>
          <cell r="K12">
            <v>38</v>
          </cell>
          <cell r="L12">
            <v>23</v>
          </cell>
          <cell r="M12">
            <v>24</v>
          </cell>
          <cell r="N12">
            <v>21</v>
          </cell>
          <cell r="O12">
            <v>22</v>
          </cell>
          <cell r="P12">
            <v>11</v>
          </cell>
          <cell r="Q12">
            <v>16</v>
          </cell>
          <cell r="R12">
            <v>19</v>
          </cell>
          <cell r="S12">
            <v>22</v>
          </cell>
          <cell r="T12">
            <v>5</v>
          </cell>
          <cell r="U12">
            <v>17</v>
          </cell>
          <cell r="V12">
            <v>218</v>
          </cell>
          <cell r="W12">
            <v>18.166666666666668</v>
          </cell>
          <cell r="X12" t="str">
            <v>10 to 20</v>
          </cell>
        </row>
        <row r="13">
          <cell r="F13">
            <v>28485</v>
          </cell>
          <cell r="G13" t="str">
            <v>&gt; 150</v>
          </cell>
          <cell r="H13">
            <v>6</v>
          </cell>
          <cell r="I13">
            <v>144</v>
          </cell>
          <cell r="J13"/>
          <cell r="K13"/>
          <cell r="L13"/>
          <cell r="M13"/>
          <cell r="N13"/>
          <cell r="O13"/>
          <cell r="P13">
            <v>48</v>
          </cell>
          <cell r="Q13">
            <v>52</v>
          </cell>
          <cell r="R13">
            <v>21</v>
          </cell>
          <cell r="S13">
            <v>24</v>
          </cell>
          <cell r="T13">
            <v>45</v>
          </cell>
          <cell r="U13">
            <v>25</v>
          </cell>
          <cell r="V13">
            <v>215</v>
          </cell>
          <cell r="W13">
            <v>35.833333333333336</v>
          </cell>
          <cell r="X13" t="str">
            <v>&gt; 20</v>
          </cell>
        </row>
        <row r="14">
          <cell r="F14">
            <v>28085</v>
          </cell>
          <cell r="G14" t="str">
            <v>&gt; 150</v>
          </cell>
          <cell r="H14">
            <v>8</v>
          </cell>
          <cell r="I14">
            <v>192</v>
          </cell>
          <cell r="J14"/>
          <cell r="K14"/>
          <cell r="L14"/>
          <cell r="M14"/>
          <cell r="N14">
            <v>21</v>
          </cell>
          <cell r="O14">
            <v>22</v>
          </cell>
          <cell r="P14">
            <v>25</v>
          </cell>
          <cell r="Q14">
            <v>21</v>
          </cell>
          <cell r="R14">
            <v>17</v>
          </cell>
          <cell r="S14">
            <v>18</v>
          </cell>
          <cell r="T14">
            <v>60</v>
          </cell>
          <cell r="U14">
            <v>30</v>
          </cell>
          <cell r="V14">
            <v>214</v>
          </cell>
          <cell r="W14">
            <v>26.75</v>
          </cell>
          <cell r="X14" t="str">
            <v>&gt; 20</v>
          </cell>
        </row>
        <row r="15">
          <cell r="F15">
            <v>27372</v>
          </cell>
          <cell r="G15" t="str">
            <v>&gt; 300</v>
          </cell>
          <cell r="H15">
            <v>12</v>
          </cell>
          <cell r="I15">
            <v>288</v>
          </cell>
          <cell r="J15">
            <v>15</v>
          </cell>
          <cell r="K15">
            <v>13</v>
          </cell>
          <cell r="L15">
            <v>12</v>
          </cell>
          <cell r="M15">
            <v>19</v>
          </cell>
          <cell r="N15">
            <v>27</v>
          </cell>
          <cell r="O15">
            <v>30</v>
          </cell>
          <cell r="P15">
            <v>15</v>
          </cell>
          <cell r="Q15">
            <v>10</v>
          </cell>
          <cell r="R15">
            <v>12</v>
          </cell>
          <cell r="S15">
            <v>18</v>
          </cell>
          <cell r="T15">
            <v>22</v>
          </cell>
          <cell r="U15">
            <v>13</v>
          </cell>
          <cell r="V15">
            <v>206</v>
          </cell>
          <cell r="W15">
            <v>17.166666666666668</v>
          </cell>
          <cell r="X15" t="str">
            <v>10 to 20</v>
          </cell>
        </row>
        <row r="16">
          <cell r="F16">
            <v>27220</v>
          </cell>
          <cell r="G16" t="str">
            <v>&gt; 450</v>
          </cell>
          <cell r="H16">
            <v>12</v>
          </cell>
          <cell r="I16">
            <v>288</v>
          </cell>
          <cell r="J16">
            <v>9</v>
          </cell>
          <cell r="K16">
            <v>19</v>
          </cell>
          <cell r="L16">
            <v>20</v>
          </cell>
          <cell r="M16">
            <v>14</v>
          </cell>
          <cell r="N16">
            <v>25</v>
          </cell>
          <cell r="O16">
            <v>23</v>
          </cell>
          <cell r="P16">
            <v>8</v>
          </cell>
          <cell r="Q16">
            <v>20</v>
          </cell>
          <cell r="R16">
            <v>6</v>
          </cell>
          <cell r="S16">
            <v>13</v>
          </cell>
          <cell r="T16">
            <v>30</v>
          </cell>
          <cell r="U16">
            <v>13</v>
          </cell>
          <cell r="V16">
            <v>200</v>
          </cell>
          <cell r="W16">
            <v>16.666666666666668</v>
          </cell>
          <cell r="X16" t="str">
            <v>10 to 20</v>
          </cell>
        </row>
        <row r="17">
          <cell r="F17">
            <v>23669</v>
          </cell>
          <cell r="G17" t="str">
            <v>&gt; 600</v>
          </cell>
          <cell r="H17">
            <v>12</v>
          </cell>
          <cell r="I17">
            <v>288</v>
          </cell>
          <cell r="J17">
            <v>6</v>
          </cell>
          <cell r="K17">
            <v>10</v>
          </cell>
          <cell r="L17">
            <v>5</v>
          </cell>
          <cell r="M17">
            <v>10</v>
          </cell>
          <cell r="N17">
            <v>20</v>
          </cell>
          <cell r="O17">
            <v>25</v>
          </cell>
          <cell r="P17">
            <v>60</v>
          </cell>
          <cell r="Q17">
            <v>6</v>
          </cell>
          <cell r="R17">
            <v>16</v>
          </cell>
          <cell r="S17">
            <v>10</v>
          </cell>
          <cell r="T17">
            <v>14</v>
          </cell>
          <cell r="U17">
            <v>4</v>
          </cell>
          <cell r="V17">
            <v>186</v>
          </cell>
          <cell r="W17">
            <v>15.5</v>
          </cell>
          <cell r="X17" t="str">
            <v>10 to 20</v>
          </cell>
        </row>
        <row r="18">
          <cell r="F18">
            <v>21999</v>
          </cell>
          <cell r="G18" t="str">
            <v>&gt; 1500</v>
          </cell>
          <cell r="H18">
            <v>12</v>
          </cell>
          <cell r="I18">
            <v>288</v>
          </cell>
          <cell r="J18">
            <v>17</v>
          </cell>
          <cell r="K18">
            <v>17</v>
          </cell>
          <cell r="L18">
            <v>17</v>
          </cell>
          <cell r="M18">
            <v>16</v>
          </cell>
          <cell r="N18">
            <v>17</v>
          </cell>
          <cell r="O18">
            <v>12</v>
          </cell>
          <cell r="P18">
            <v>12</v>
          </cell>
          <cell r="Q18">
            <v>14</v>
          </cell>
          <cell r="R18">
            <v>13</v>
          </cell>
          <cell r="S18">
            <v>14</v>
          </cell>
          <cell r="T18">
            <v>19</v>
          </cell>
          <cell r="U18">
            <v>10</v>
          </cell>
          <cell r="V18">
            <v>178</v>
          </cell>
          <cell r="W18">
            <v>14.833333333333334</v>
          </cell>
          <cell r="X18" t="str">
            <v>10 to 20</v>
          </cell>
        </row>
        <row r="19">
          <cell r="F19">
            <v>28270</v>
          </cell>
          <cell r="G19" t="str">
            <v>&gt; 150</v>
          </cell>
          <cell r="H19">
            <v>8</v>
          </cell>
          <cell r="I19">
            <v>192</v>
          </cell>
          <cell r="J19"/>
          <cell r="K19"/>
          <cell r="L19"/>
          <cell r="M19"/>
          <cell r="N19">
            <v>1</v>
          </cell>
          <cell r="O19">
            <v>25</v>
          </cell>
          <cell r="P19">
            <v>30</v>
          </cell>
          <cell r="Q19">
            <v>20</v>
          </cell>
          <cell r="R19">
            <v>12</v>
          </cell>
          <cell r="S19">
            <v>18</v>
          </cell>
          <cell r="T19">
            <v>20</v>
          </cell>
          <cell r="U19">
            <v>46</v>
          </cell>
          <cell r="V19">
            <v>172</v>
          </cell>
          <cell r="W19">
            <v>21.5</v>
          </cell>
          <cell r="X19" t="str">
            <v>&gt; 20</v>
          </cell>
        </row>
        <row r="20">
          <cell r="F20">
            <v>27154</v>
          </cell>
          <cell r="G20" t="str">
            <v>&gt; 600</v>
          </cell>
          <cell r="H20">
            <v>12</v>
          </cell>
          <cell r="I20">
            <v>288</v>
          </cell>
          <cell r="J20">
            <v>12</v>
          </cell>
          <cell r="K20">
            <v>19</v>
          </cell>
          <cell r="L20">
            <v>25</v>
          </cell>
          <cell r="M20">
            <v>5</v>
          </cell>
          <cell r="N20">
            <v>8</v>
          </cell>
          <cell r="O20">
            <v>13</v>
          </cell>
          <cell r="P20">
            <v>8</v>
          </cell>
          <cell r="Q20">
            <v>10</v>
          </cell>
          <cell r="R20">
            <v>9</v>
          </cell>
          <cell r="S20">
            <v>15</v>
          </cell>
          <cell r="T20">
            <v>35</v>
          </cell>
          <cell r="U20">
            <v>4</v>
          </cell>
          <cell r="V20">
            <v>163</v>
          </cell>
          <cell r="W20">
            <v>13.583333333333334</v>
          </cell>
          <cell r="X20" t="str">
            <v>10 to 20</v>
          </cell>
        </row>
        <row r="21">
          <cell r="F21">
            <v>22404</v>
          </cell>
          <cell r="G21" t="str">
            <v>&gt; 600</v>
          </cell>
          <cell r="H21">
            <v>12</v>
          </cell>
          <cell r="I21">
            <v>288</v>
          </cell>
          <cell r="J21">
            <v>6</v>
          </cell>
          <cell r="K21">
            <v>2</v>
          </cell>
          <cell r="L21">
            <v>12</v>
          </cell>
          <cell r="M21">
            <v>14</v>
          </cell>
          <cell r="N21">
            <v>2</v>
          </cell>
          <cell r="O21">
            <v>14</v>
          </cell>
          <cell r="P21">
            <v>3</v>
          </cell>
          <cell r="Q21">
            <v>5</v>
          </cell>
          <cell r="R21">
            <v>56</v>
          </cell>
          <cell r="S21">
            <v>11</v>
          </cell>
          <cell r="T21">
            <v>29</v>
          </cell>
          <cell r="U21">
            <v>9</v>
          </cell>
          <cell r="V21">
            <v>163</v>
          </cell>
          <cell r="W21">
            <v>13.583333333333334</v>
          </cell>
          <cell r="X21" t="str">
            <v>10 to 20</v>
          </cell>
        </row>
        <row r="22">
          <cell r="F22">
            <v>22131</v>
          </cell>
          <cell r="G22" t="str">
            <v>&gt; 900</v>
          </cell>
          <cell r="H22">
            <v>12</v>
          </cell>
          <cell r="I22">
            <v>288</v>
          </cell>
          <cell r="J22">
            <v>4</v>
          </cell>
          <cell r="K22">
            <v>4</v>
          </cell>
          <cell r="L22">
            <v>2</v>
          </cell>
          <cell r="M22">
            <v>7</v>
          </cell>
          <cell r="N22">
            <v>6</v>
          </cell>
          <cell r="O22">
            <v>9</v>
          </cell>
          <cell r="P22">
            <v>25</v>
          </cell>
          <cell r="Q22">
            <v>13</v>
          </cell>
          <cell r="R22">
            <v>33</v>
          </cell>
          <cell r="S22">
            <v>12</v>
          </cell>
          <cell r="T22">
            <v>43</v>
          </cell>
          <cell r="U22">
            <v>4</v>
          </cell>
          <cell r="V22">
            <v>162</v>
          </cell>
          <cell r="W22">
            <v>13.5</v>
          </cell>
          <cell r="X22" t="str">
            <v>10 to 20</v>
          </cell>
        </row>
        <row r="23">
          <cell r="F23">
            <v>23178</v>
          </cell>
          <cell r="G23" t="str">
            <v>&gt; 600</v>
          </cell>
          <cell r="H23">
            <v>12</v>
          </cell>
          <cell r="I23">
            <v>288</v>
          </cell>
          <cell r="J23">
            <v>6</v>
          </cell>
          <cell r="K23">
            <v>10</v>
          </cell>
          <cell r="L23">
            <v>8</v>
          </cell>
          <cell r="M23">
            <v>13</v>
          </cell>
          <cell r="N23">
            <v>19</v>
          </cell>
          <cell r="O23">
            <v>22</v>
          </cell>
          <cell r="P23">
            <v>7</v>
          </cell>
          <cell r="Q23">
            <v>16</v>
          </cell>
          <cell r="R23">
            <v>7</v>
          </cell>
          <cell r="S23">
            <v>19</v>
          </cell>
          <cell r="T23">
            <v>7</v>
          </cell>
          <cell r="U23">
            <v>27</v>
          </cell>
          <cell r="V23">
            <v>161</v>
          </cell>
          <cell r="W23">
            <v>13.416666666666666</v>
          </cell>
          <cell r="X23" t="str">
            <v>10 to 20</v>
          </cell>
        </row>
        <row r="24">
          <cell r="F24">
            <v>26810</v>
          </cell>
          <cell r="G24" t="str">
            <v>&gt; 300</v>
          </cell>
          <cell r="H24">
            <v>12</v>
          </cell>
          <cell r="I24">
            <v>288</v>
          </cell>
          <cell r="J24">
            <v>3</v>
          </cell>
          <cell r="K24">
            <v>10</v>
          </cell>
          <cell r="L24">
            <v>15</v>
          </cell>
          <cell r="M24">
            <v>6</v>
          </cell>
          <cell r="N24">
            <v>31</v>
          </cell>
          <cell r="O24">
            <v>10</v>
          </cell>
          <cell r="P24">
            <v>16</v>
          </cell>
          <cell r="Q24">
            <v>14</v>
          </cell>
          <cell r="R24">
            <v>8</v>
          </cell>
          <cell r="S24">
            <v>14</v>
          </cell>
          <cell r="T24">
            <v>8</v>
          </cell>
          <cell r="U24">
            <v>24</v>
          </cell>
          <cell r="V24">
            <v>159</v>
          </cell>
          <cell r="W24">
            <v>13.25</v>
          </cell>
          <cell r="X24" t="str">
            <v>10 to 20</v>
          </cell>
        </row>
        <row r="25">
          <cell r="F25">
            <v>22789</v>
          </cell>
          <cell r="G25" t="str">
            <v>&gt; 2000</v>
          </cell>
          <cell r="H25">
            <v>12</v>
          </cell>
          <cell r="I25">
            <v>288</v>
          </cell>
          <cell r="J25">
            <v>10</v>
          </cell>
          <cell r="K25">
            <v>19</v>
          </cell>
          <cell r="L25">
            <v>16</v>
          </cell>
          <cell r="M25">
            <v>21</v>
          </cell>
          <cell r="N25">
            <v>9</v>
          </cell>
          <cell r="O25">
            <v>11</v>
          </cell>
          <cell r="P25">
            <v>10</v>
          </cell>
          <cell r="Q25">
            <v>7</v>
          </cell>
          <cell r="R25">
            <v>7</v>
          </cell>
          <cell r="S25">
            <v>9</v>
          </cell>
          <cell r="T25">
            <v>23</v>
          </cell>
          <cell r="U25">
            <v>12</v>
          </cell>
          <cell r="V25">
            <v>154</v>
          </cell>
          <cell r="W25">
            <v>12.833333333333334</v>
          </cell>
          <cell r="X25" t="str">
            <v>10 to 20</v>
          </cell>
        </row>
        <row r="26">
          <cell r="F26">
            <v>22126</v>
          </cell>
          <cell r="G26" t="str">
            <v>&gt; 2000</v>
          </cell>
          <cell r="H26">
            <v>12</v>
          </cell>
          <cell r="I26">
            <v>288</v>
          </cell>
          <cell r="J26">
            <v>4</v>
          </cell>
          <cell r="K26">
            <v>21</v>
          </cell>
          <cell r="L26">
            <v>8</v>
          </cell>
          <cell r="M26">
            <v>2</v>
          </cell>
          <cell r="N26">
            <v>19</v>
          </cell>
          <cell r="O26">
            <v>20</v>
          </cell>
          <cell r="P26">
            <v>20</v>
          </cell>
          <cell r="Q26">
            <v>12</v>
          </cell>
          <cell r="R26">
            <v>8</v>
          </cell>
          <cell r="S26">
            <v>4</v>
          </cell>
          <cell r="T26">
            <v>25</v>
          </cell>
          <cell r="U26">
            <v>10</v>
          </cell>
          <cell r="V26">
            <v>153</v>
          </cell>
          <cell r="W26">
            <v>12.75</v>
          </cell>
          <cell r="X26" t="str">
            <v>10 to 20</v>
          </cell>
        </row>
        <row r="27">
          <cell r="F27">
            <v>22073</v>
          </cell>
          <cell r="G27" t="str">
            <v>&gt; 900</v>
          </cell>
          <cell r="H27">
            <v>12</v>
          </cell>
          <cell r="I27">
            <v>288</v>
          </cell>
          <cell r="J27">
            <v>18</v>
          </cell>
          <cell r="K27">
            <v>17</v>
          </cell>
          <cell r="L27">
            <v>3</v>
          </cell>
          <cell r="M27">
            <v>16</v>
          </cell>
          <cell r="N27">
            <v>11</v>
          </cell>
          <cell r="O27">
            <v>13</v>
          </cell>
          <cell r="P27">
            <v>8</v>
          </cell>
          <cell r="Q27">
            <v>7</v>
          </cell>
          <cell r="R27">
            <v>11</v>
          </cell>
          <cell r="S27">
            <v>10</v>
          </cell>
          <cell r="T27">
            <v>23</v>
          </cell>
          <cell r="U27">
            <v>10</v>
          </cell>
          <cell r="V27">
            <v>147</v>
          </cell>
          <cell r="W27">
            <v>12.25</v>
          </cell>
          <cell r="X27" t="str">
            <v>10 to 20</v>
          </cell>
        </row>
        <row r="28">
          <cell r="F28">
            <v>23565</v>
          </cell>
          <cell r="G28" t="str">
            <v>&gt; 150</v>
          </cell>
          <cell r="H28">
            <v>12</v>
          </cell>
          <cell r="I28">
            <v>288</v>
          </cell>
          <cell r="J28">
            <v>14</v>
          </cell>
          <cell r="K28">
            <v>4</v>
          </cell>
          <cell r="L28">
            <v>4</v>
          </cell>
          <cell r="M28">
            <v>6</v>
          </cell>
          <cell r="N28">
            <v>12</v>
          </cell>
          <cell r="O28">
            <v>11</v>
          </cell>
          <cell r="P28">
            <v>10</v>
          </cell>
          <cell r="Q28">
            <v>17</v>
          </cell>
          <cell r="R28">
            <v>15</v>
          </cell>
          <cell r="S28">
            <v>11</v>
          </cell>
          <cell r="T28">
            <v>31</v>
          </cell>
          <cell r="U28">
            <v>9</v>
          </cell>
          <cell r="V28">
            <v>144</v>
          </cell>
          <cell r="W28">
            <v>12</v>
          </cell>
          <cell r="X28" t="str">
            <v>10 to 20</v>
          </cell>
        </row>
        <row r="29">
          <cell r="F29">
            <v>21583</v>
          </cell>
          <cell r="G29" t="str">
            <v>&gt; 900</v>
          </cell>
          <cell r="H29">
            <v>12</v>
          </cell>
          <cell r="I29">
            <v>288</v>
          </cell>
          <cell r="J29">
            <v>5</v>
          </cell>
          <cell r="K29">
            <v>18</v>
          </cell>
          <cell r="L29">
            <v>3</v>
          </cell>
          <cell r="M29">
            <v>4</v>
          </cell>
          <cell r="N29">
            <v>12</v>
          </cell>
          <cell r="O29">
            <v>12</v>
          </cell>
          <cell r="P29">
            <v>18</v>
          </cell>
          <cell r="Q29">
            <v>9</v>
          </cell>
          <cell r="R29">
            <v>9</v>
          </cell>
          <cell r="S29">
            <v>26</v>
          </cell>
          <cell r="T29">
            <v>19</v>
          </cell>
          <cell r="U29">
            <v>8</v>
          </cell>
          <cell r="V29">
            <v>143</v>
          </cell>
          <cell r="W29">
            <v>11.916666666666666</v>
          </cell>
          <cell r="X29" t="str">
            <v>10 to 20</v>
          </cell>
        </row>
        <row r="30">
          <cell r="F30">
            <v>20509</v>
          </cell>
          <cell r="G30" t="str">
            <v>&gt; 600</v>
          </cell>
          <cell r="H30">
            <v>12</v>
          </cell>
          <cell r="I30">
            <v>288</v>
          </cell>
          <cell r="J30">
            <v>5</v>
          </cell>
          <cell r="K30">
            <v>9</v>
          </cell>
          <cell r="L30">
            <v>6</v>
          </cell>
          <cell r="M30">
            <v>3</v>
          </cell>
          <cell r="N30">
            <v>11</v>
          </cell>
          <cell r="O30">
            <v>14</v>
          </cell>
          <cell r="P30">
            <v>8</v>
          </cell>
          <cell r="Q30">
            <v>40</v>
          </cell>
          <cell r="R30">
            <v>4</v>
          </cell>
          <cell r="S30">
            <v>2</v>
          </cell>
          <cell r="T30">
            <v>9</v>
          </cell>
          <cell r="U30">
            <v>20</v>
          </cell>
          <cell r="V30">
            <v>131</v>
          </cell>
          <cell r="W30">
            <v>10.916666666666666</v>
          </cell>
          <cell r="X30" t="str">
            <v>10 to 20</v>
          </cell>
        </row>
        <row r="31">
          <cell r="F31">
            <v>21926</v>
          </cell>
          <cell r="G31" t="str">
            <v>&gt; 150</v>
          </cell>
          <cell r="H31">
            <v>12</v>
          </cell>
          <cell r="I31">
            <v>288</v>
          </cell>
          <cell r="J31">
            <v>13</v>
          </cell>
          <cell r="K31">
            <v>13</v>
          </cell>
          <cell r="L31">
            <v>15</v>
          </cell>
          <cell r="M31">
            <v>10</v>
          </cell>
          <cell r="N31">
            <v>6</v>
          </cell>
          <cell r="O31">
            <v>13</v>
          </cell>
          <cell r="P31">
            <v>14</v>
          </cell>
          <cell r="Q31">
            <v>12</v>
          </cell>
          <cell r="R31">
            <v>11</v>
          </cell>
          <cell r="S31">
            <v>8</v>
          </cell>
          <cell r="T31">
            <v>4</v>
          </cell>
          <cell r="U31">
            <v>5</v>
          </cell>
          <cell r="V31">
            <v>124</v>
          </cell>
          <cell r="W31">
            <v>10.333333333333334</v>
          </cell>
          <cell r="X31" t="str">
            <v>10 to 20</v>
          </cell>
        </row>
        <row r="32">
          <cell r="F32">
            <v>28176</v>
          </cell>
          <cell r="G32" t="str">
            <v>&gt; 450</v>
          </cell>
          <cell r="H32">
            <v>7</v>
          </cell>
          <cell r="I32">
            <v>168</v>
          </cell>
          <cell r="J32"/>
          <cell r="K32"/>
          <cell r="L32"/>
          <cell r="M32"/>
          <cell r="N32"/>
          <cell r="O32">
            <v>15</v>
          </cell>
          <cell r="P32">
            <v>14</v>
          </cell>
          <cell r="Q32">
            <v>24</v>
          </cell>
          <cell r="R32">
            <v>23</v>
          </cell>
          <cell r="S32">
            <v>12</v>
          </cell>
          <cell r="T32">
            <v>19</v>
          </cell>
          <cell r="U32">
            <v>9</v>
          </cell>
          <cell r="V32">
            <v>116</v>
          </cell>
          <cell r="W32">
            <v>16.571428571428573</v>
          </cell>
          <cell r="X32" t="str">
            <v>10 to 20</v>
          </cell>
        </row>
        <row r="33">
          <cell r="F33">
            <v>22775</v>
          </cell>
          <cell r="G33" t="str">
            <v>&lt; 150</v>
          </cell>
          <cell r="H33">
            <v>7</v>
          </cell>
          <cell r="I33">
            <v>168</v>
          </cell>
          <cell r="J33"/>
          <cell r="K33"/>
          <cell r="L33">
            <v>14</v>
          </cell>
          <cell r="M33"/>
          <cell r="N33"/>
          <cell r="O33"/>
          <cell r="P33">
            <v>10</v>
          </cell>
          <cell r="Q33">
            <v>22</v>
          </cell>
          <cell r="R33">
            <v>10</v>
          </cell>
          <cell r="S33">
            <v>5</v>
          </cell>
          <cell r="T33">
            <v>35</v>
          </cell>
          <cell r="U33">
            <v>3</v>
          </cell>
          <cell r="V33">
            <v>99</v>
          </cell>
          <cell r="W33">
            <v>14.142857142857142</v>
          </cell>
          <cell r="X33" t="str">
            <v>10 to 20</v>
          </cell>
        </row>
        <row r="34">
          <cell r="F34">
            <v>22452</v>
          </cell>
          <cell r="G34" t="str">
            <v>&gt; 300</v>
          </cell>
          <cell r="H34">
            <v>12</v>
          </cell>
          <cell r="I34">
            <v>288</v>
          </cell>
          <cell r="J34"/>
          <cell r="K34"/>
          <cell r="L34">
            <v>1</v>
          </cell>
          <cell r="M34">
            <v>4</v>
          </cell>
          <cell r="N34">
            <v>12</v>
          </cell>
          <cell r="O34">
            <v>18</v>
          </cell>
          <cell r="P34">
            <v>8</v>
          </cell>
          <cell r="Q34">
            <v>6</v>
          </cell>
          <cell r="R34">
            <v>7</v>
          </cell>
          <cell r="S34">
            <v>7</v>
          </cell>
          <cell r="T34">
            <v>32</v>
          </cell>
          <cell r="U34">
            <v>4</v>
          </cell>
          <cell r="V34">
            <v>99</v>
          </cell>
          <cell r="W34">
            <v>8.25</v>
          </cell>
          <cell r="X34" t="str">
            <v>5 to 10</v>
          </cell>
        </row>
        <row r="35">
          <cell r="F35">
            <v>26015</v>
          </cell>
          <cell r="G35" t="str">
            <v>&gt; 300</v>
          </cell>
          <cell r="H35">
            <v>12</v>
          </cell>
          <cell r="I35">
            <v>288</v>
          </cell>
          <cell r="J35">
            <v>11</v>
          </cell>
          <cell r="K35">
            <v>13</v>
          </cell>
          <cell r="L35">
            <v>7</v>
          </cell>
          <cell r="M35">
            <v>4</v>
          </cell>
          <cell r="N35">
            <v>14</v>
          </cell>
          <cell r="O35">
            <v>9</v>
          </cell>
          <cell r="P35">
            <v>7</v>
          </cell>
          <cell r="Q35">
            <v>5</v>
          </cell>
          <cell r="R35">
            <v>5</v>
          </cell>
          <cell r="S35">
            <v>4</v>
          </cell>
          <cell r="T35">
            <v>17</v>
          </cell>
          <cell r="U35">
            <v>2</v>
          </cell>
          <cell r="V35">
            <v>98</v>
          </cell>
          <cell r="W35">
            <v>8.1666666666666661</v>
          </cell>
          <cell r="X35" t="str">
            <v>5 to 10</v>
          </cell>
        </row>
        <row r="36">
          <cell r="F36">
            <v>26403</v>
          </cell>
          <cell r="G36" t="str">
            <v>&gt; 300</v>
          </cell>
          <cell r="H36">
            <v>12</v>
          </cell>
          <cell r="I36">
            <v>288</v>
          </cell>
          <cell r="J36">
            <v>5</v>
          </cell>
          <cell r="K36">
            <v>3</v>
          </cell>
          <cell r="L36">
            <v>21</v>
          </cell>
          <cell r="M36">
            <v>16</v>
          </cell>
          <cell r="N36">
            <v>4</v>
          </cell>
          <cell r="O36">
            <v>17</v>
          </cell>
          <cell r="P36">
            <v>6</v>
          </cell>
          <cell r="Q36">
            <v>1</v>
          </cell>
          <cell r="R36">
            <v>4</v>
          </cell>
          <cell r="S36">
            <v>7</v>
          </cell>
          <cell r="T36">
            <v>8</v>
          </cell>
          <cell r="U36">
            <v>5</v>
          </cell>
          <cell r="V36">
            <v>97</v>
          </cell>
          <cell r="W36">
            <v>8.0833333333333339</v>
          </cell>
          <cell r="X36" t="str">
            <v>5 to 10</v>
          </cell>
        </row>
        <row r="37">
          <cell r="F37">
            <v>24495</v>
          </cell>
          <cell r="G37" t="str">
            <v>&gt; 300</v>
          </cell>
          <cell r="H37">
            <v>12</v>
          </cell>
          <cell r="I37">
            <v>288</v>
          </cell>
          <cell r="J37">
            <v>1</v>
          </cell>
          <cell r="K37"/>
          <cell r="L37">
            <v>1</v>
          </cell>
          <cell r="M37">
            <v>3</v>
          </cell>
          <cell r="N37">
            <v>10</v>
          </cell>
          <cell r="O37">
            <v>20</v>
          </cell>
          <cell r="P37">
            <v>9</v>
          </cell>
          <cell r="Q37">
            <v>9</v>
          </cell>
          <cell r="R37">
            <v>8</v>
          </cell>
          <cell r="S37">
            <v>12</v>
          </cell>
          <cell r="T37">
            <v>18</v>
          </cell>
          <cell r="U37">
            <v>6</v>
          </cell>
          <cell r="V37">
            <v>97</v>
          </cell>
          <cell r="W37">
            <v>8.0833333333333339</v>
          </cell>
          <cell r="X37" t="str">
            <v>5 to 10</v>
          </cell>
        </row>
        <row r="38">
          <cell r="F38">
            <v>20322</v>
          </cell>
          <cell r="G38" t="str">
            <v>&gt; 450</v>
          </cell>
          <cell r="H38">
            <v>12</v>
          </cell>
          <cell r="I38">
            <v>288</v>
          </cell>
          <cell r="J38"/>
          <cell r="K38">
            <v>8</v>
          </cell>
          <cell r="L38">
            <v>12</v>
          </cell>
          <cell r="M38">
            <v>2</v>
          </cell>
          <cell r="N38">
            <v>7</v>
          </cell>
          <cell r="O38">
            <v>13</v>
          </cell>
          <cell r="P38">
            <v>5</v>
          </cell>
          <cell r="Q38">
            <v>8</v>
          </cell>
          <cell r="R38">
            <v>14</v>
          </cell>
          <cell r="S38">
            <v>6</v>
          </cell>
          <cell r="T38">
            <v>16</v>
          </cell>
          <cell r="U38">
            <v>4</v>
          </cell>
          <cell r="V38">
            <v>95</v>
          </cell>
          <cell r="W38">
            <v>7.916666666666667</v>
          </cell>
          <cell r="X38" t="str">
            <v>5 to 10</v>
          </cell>
        </row>
        <row r="39">
          <cell r="F39">
            <v>21998</v>
          </cell>
          <cell r="G39" t="str">
            <v>&gt; 900</v>
          </cell>
          <cell r="H39">
            <v>12</v>
          </cell>
          <cell r="I39">
            <v>288</v>
          </cell>
          <cell r="J39">
            <v>9</v>
          </cell>
          <cell r="K39">
            <v>5</v>
          </cell>
          <cell r="L39">
            <v>5</v>
          </cell>
          <cell r="M39">
            <v>5</v>
          </cell>
          <cell r="N39">
            <v>7</v>
          </cell>
          <cell r="O39">
            <v>10</v>
          </cell>
          <cell r="P39">
            <v>11</v>
          </cell>
          <cell r="Q39">
            <v>7</v>
          </cell>
          <cell r="R39">
            <v>10</v>
          </cell>
          <cell r="S39">
            <v>18</v>
          </cell>
          <cell r="T39">
            <v>3</v>
          </cell>
          <cell r="U39">
            <v>2</v>
          </cell>
          <cell r="V39">
            <v>92</v>
          </cell>
          <cell r="W39">
            <v>7.666666666666667</v>
          </cell>
          <cell r="X39" t="str">
            <v>5 to 10</v>
          </cell>
        </row>
        <row r="40">
          <cell r="F40">
            <v>22366</v>
          </cell>
          <cell r="G40" t="str">
            <v>&gt; 300</v>
          </cell>
          <cell r="H40">
            <v>12</v>
          </cell>
          <cell r="I40">
            <v>288</v>
          </cell>
          <cell r="J40">
            <v>7</v>
          </cell>
          <cell r="K40">
            <v>2</v>
          </cell>
          <cell r="L40">
            <v>7</v>
          </cell>
          <cell r="M40">
            <v>6</v>
          </cell>
          <cell r="N40">
            <v>4</v>
          </cell>
          <cell r="O40">
            <v>7</v>
          </cell>
          <cell r="P40">
            <v>3</v>
          </cell>
          <cell r="Q40">
            <v>4</v>
          </cell>
          <cell r="R40">
            <v>8</v>
          </cell>
          <cell r="S40"/>
          <cell r="T40">
            <v>35</v>
          </cell>
          <cell r="U40">
            <v>7</v>
          </cell>
          <cell r="V40">
            <v>90</v>
          </cell>
          <cell r="W40">
            <v>7.5</v>
          </cell>
          <cell r="X40" t="str">
            <v>5 to 10</v>
          </cell>
        </row>
        <row r="41">
          <cell r="F41">
            <v>28692</v>
          </cell>
          <cell r="G41" t="str">
            <v>&lt; 150</v>
          </cell>
          <cell r="H41">
            <v>5</v>
          </cell>
          <cell r="I41">
            <v>120</v>
          </cell>
          <cell r="J41"/>
          <cell r="K41"/>
          <cell r="L41"/>
          <cell r="M41"/>
          <cell r="N41"/>
          <cell r="O41"/>
          <cell r="P41"/>
          <cell r="Q41">
            <v>13</v>
          </cell>
          <cell r="R41">
            <v>28</v>
          </cell>
          <cell r="S41">
            <v>25</v>
          </cell>
          <cell r="T41">
            <v>10</v>
          </cell>
          <cell r="U41">
            <v>7</v>
          </cell>
          <cell r="V41">
            <v>83</v>
          </cell>
          <cell r="W41">
            <v>16.600000000000001</v>
          </cell>
          <cell r="X41" t="str">
            <v>10 to 20</v>
          </cell>
        </row>
        <row r="42">
          <cell r="F42">
            <v>23429</v>
          </cell>
          <cell r="G42" t="str">
            <v>&gt; 900</v>
          </cell>
          <cell r="H42">
            <v>12</v>
          </cell>
          <cell r="I42">
            <v>288</v>
          </cell>
          <cell r="J42"/>
          <cell r="K42">
            <v>4</v>
          </cell>
          <cell r="L42">
            <v>4</v>
          </cell>
          <cell r="M42">
            <v>8</v>
          </cell>
          <cell r="N42">
            <v>8</v>
          </cell>
          <cell r="O42">
            <v>21</v>
          </cell>
          <cell r="P42">
            <v>2</v>
          </cell>
          <cell r="Q42">
            <v>1</v>
          </cell>
          <cell r="R42"/>
          <cell r="S42">
            <v>2</v>
          </cell>
          <cell r="T42">
            <v>27</v>
          </cell>
          <cell r="U42">
            <v>2</v>
          </cell>
          <cell r="V42">
            <v>79</v>
          </cell>
          <cell r="W42">
            <v>6.583333333333333</v>
          </cell>
          <cell r="X42" t="str">
            <v>5 to 10</v>
          </cell>
        </row>
        <row r="43">
          <cell r="F43">
            <v>27629</v>
          </cell>
          <cell r="G43" t="str">
            <v>&gt; 300</v>
          </cell>
          <cell r="H43">
            <v>12</v>
          </cell>
          <cell r="I43">
            <v>288</v>
          </cell>
          <cell r="J43"/>
          <cell r="K43"/>
          <cell r="L43">
            <v>2</v>
          </cell>
          <cell r="M43">
            <v>6</v>
          </cell>
          <cell r="N43">
            <v>9</v>
          </cell>
          <cell r="O43">
            <v>18</v>
          </cell>
          <cell r="P43">
            <v>7</v>
          </cell>
          <cell r="Q43">
            <v>4</v>
          </cell>
          <cell r="R43">
            <v>7</v>
          </cell>
          <cell r="S43">
            <v>2</v>
          </cell>
          <cell r="T43">
            <v>8</v>
          </cell>
          <cell r="U43">
            <v>7</v>
          </cell>
          <cell r="V43">
            <v>70</v>
          </cell>
          <cell r="W43">
            <v>5.833333333333333</v>
          </cell>
          <cell r="X43" t="str">
            <v>5 to 10</v>
          </cell>
        </row>
        <row r="44">
          <cell r="F44">
            <v>23270</v>
          </cell>
          <cell r="G44" t="str">
            <v>&lt; 150</v>
          </cell>
          <cell r="H44">
            <v>12</v>
          </cell>
          <cell r="I44">
            <v>288</v>
          </cell>
          <cell r="J44">
            <v>3</v>
          </cell>
          <cell r="K44">
            <v>5</v>
          </cell>
          <cell r="L44">
            <v>2</v>
          </cell>
          <cell r="M44">
            <v>4</v>
          </cell>
          <cell r="N44">
            <v>1</v>
          </cell>
          <cell r="O44">
            <v>4</v>
          </cell>
          <cell r="P44">
            <v>5</v>
          </cell>
          <cell r="Q44">
            <v>3</v>
          </cell>
          <cell r="R44">
            <v>4</v>
          </cell>
          <cell r="S44">
            <v>10</v>
          </cell>
          <cell r="T44">
            <v>17</v>
          </cell>
          <cell r="U44">
            <v>11</v>
          </cell>
          <cell r="V44">
            <v>69</v>
          </cell>
          <cell r="W44">
            <v>5.75</v>
          </cell>
          <cell r="X44" t="str">
            <v>5 to 10</v>
          </cell>
        </row>
        <row r="45">
          <cell r="F45">
            <v>28170</v>
          </cell>
          <cell r="G45" t="str">
            <v>&gt; 150</v>
          </cell>
          <cell r="H45">
            <v>8</v>
          </cell>
          <cell r="I45">
            <v>192</v>
          </cell>
          <cell r="J45"/>
          <cell r="K45"/>
          <cell r="L45"/>
          <cell r="M45"/>
          <cell r="N45">
            <v>2</v>
          </cell>
          <cell r="O45">
            <v>31</v>
          </cell>
          <cell r="P45">
            <v>5</v>
          </cell>
          <cell r="Q45">
            <v>2</v>
          </cell>
          <cell r="R45">
            <v>9</v>
          </cell>
          <cell r="S45">
            <v>14</v>
          </cell>
          <cell r="T45">
            <v>4</v>
          </cell>
          <cell r="U45">
            <v>1</v>
          </cell>
          <cell r="V45">
            <v>68</v>
          </cell>
          <cell r="W45">
            <v>8.5</v>
          </cell>
          <cell r="X45" t="str">
            <v>5 to 10</v>
          </cell>
        </row>
        <row r="46">
          <cell r="F46">
            <v>22773</v>
          </cell>
          <cell r="G46" t="str">
            <v>&gt; 450</v>
          </cell>
          <cell r="H46">
            <v>12</v>
          </cell>
          <cell r="I46">
            <v>288</v>
          </cell>
          <cell r="J46">
            <v>4</v>
          </cell>
          <cell r="K46">
            <v>6</v>
          </cell>
          <cell r="L46">
            <v>10</v>
          </cell>
          <cell r="M46">
            <v>3</v>
          </cell>
          <cell r="N46">
            <v>5</v>
          </cell>
          <cell r="O46">
            <v>3</v>
          </cell>
          <cell r="P46">
            <v>5</v>
          </cell>
          <cell r="Q46">
            <v>5</v>
          </cell>
          <cell r="R46">
            <v>10</v>
          </cell>
          <cell r="S46">
            <v>5</v>
          </cell>
          <cell r="T46">
            <v>10</v>
          </cell>
          <cell r="U46">
            <v>2</v>
          </cell>
          <cell r="V46">
            <v>68</v>
          </cell>
          <cell r="W46">
            <v>5.666666666666667</v>
          </cell>
          <cell r="X46" t="str">
            <v>5 to 10</v>
          </cell>
        </row>
        <row r="47">
          <cell r="F47">
            <v>27792</v>
          </cell>
          <cell r="G47" t="str">
            <v>&gt; 300</v>
          </cell>
          <cell r="H47">
            <v>11</v>
          </cell>
          <cell r="I47">
            <v>264</v>
          </cell>
          <cell r="J47"/>
          <cell r="K47">
            <v>1</v>
          </cell>
          <cell r="L47">
            <v>5</v>
          </cell>
          <cell r="M47">
            <v>12</v>
          </cell>
          <cell r="N47">
            <v>24</v>
          </cell>
          <cell r="O47">
            <v>11</v>
          </cell>
          <cell r="P47">
            <v>2</v>
          </cell>
          <cell r="Q47">
            <v>6</v>
          </cell>
          <cell r="R47">
            <v>1</v>
          </cell>
          <cell r="S47">
            <v>4</v>
          </cell>
          <cell r="T47">
            <v>1</v>
          </cell>
          <cell r="U47">
            <v>0</v>
          </cell>
          <cell r="V47">
            <v>67</v>
          </cell>
          <cell r="W47">
            <v>6.0909090909090908</v>
          </cell>
          <cell r="X47" t="str">
            <v>5 to 10</v>
          </cell>
        </row>
        <row r="48">
          <cell r="F48">
            <v>27637</v>
          </cell>
          <cell r="G48" t="str">
            <v>&gt; 150</v>
          </cell>
          <cell r="H48">
            <v>11</v>
          </cell>
          <cell r="I48">
            <v>264</v>
          </cell>
          <cell r="J48"/>
          <cell r="K48"/>
          <cell r="L48"/>
          <cell r="M48">
            <v>6</v>
          </cell>
          <cell r="N48">
            <v>7</v>
          </cell>
          <cell r="O48">
            <v>4</v>
          </cell>
          <cell r="P48">
            <v>13</v>
          </cell>
          <cell r="Q48">
            <v>2</v>
          </cell>
          <cell r="R48">
            <v>7</v>
          </cell>
          <cell r="S48">
            <v>11</v>
          </cell>
          <cell r="T48">
            <v>9</v>
          </cell>
          <cell r="U48">
            <v>5</v>
          </cell>
          <cell r="V48">
            <v>64</v>
          </cell>
          <cell r="W48">
            <v>5.8181818181818183</v>
          </cell>
          <cell r="X48" t="str">
            <v>5 to 10</v>
          </cell>
        </row>
        <row r="49">
          <cell r="F49">
            <v>27732</v>
          </cell>
          <cell r="G49" t="str">
            <v>&lt; 150</v>
          </cell>
          <cell r="H49">
            <v>10</v>
          </cell>
          <cell r="I49">
            <v>240</v>
          </cell>
          <cell r="J49"/>
          <cell r="K49"/>
          <cell r="L49"/>
          <cell r="M49">
            <v>1</v>
          </cell>
          <cell r="N49">
            <v>2</v>
          </cell>
          <cell r="O49">
            <v>5</v>
          </cell>
          <cell r="P49">
            <v>5</v>
          </cell>
          <cell r="Q49">
            <v>10</v>
          </cell>
          <cell r="R49">
            <v>2</v>
          </cell>
          <cell r="S49">
            <v>14</v>
          </cell>
          <cell r="T49">
            <v>13</v>
          </cell>
          <cell r="U49">
            <v>12</v>
          </cell>
          <cell r="V49">
            <v>64</v>
          </cell>
          <cell r="W49">
            <v>6.4</v>
          </cell>
          <cell r="X49" t="str">
            <v>5 to 10</v>
          </cell>
        </row>
        <row r="50">
          <cell r="F50">
            <v>23214</v>
          </cell>
          <cell r="G50" t="str">
            <v>&lt; 150</v>
          </cell>
          <cell r="H50">
            <v>12</v>
          </cell>
          <cell r="I50">
            <v>288</v>
          </cell>
          <cell r="J50">
            <v>2</v>
          </cell>
          <cell r="K50"/>
          <cell r="L50">
            <v>1</v>
          </cell>
          <cell r="M50">
            <v>6</v>
          </cell>
          <cell r="N50">
            <v>12</v>
          </cell>
          <cell r="O50">
            <v>1</v>
          </cell>
          <cell r="P50">
            <v>5</v>
          </cell>
          <cell r="Q50">
            <v>5</v>
          </cell>
          <cell r="R50">
            <v>1</v>
          </cell>
          <cell r="S50">
            <v>8</v>
          </cell>
          <cell r="T50">
            <v>19</v>
          </cell>
          <cell r="U50">
            <v>2</v>
          </cell>
          <cell r="V50">
            <v>62</v>
          </cell>
          <cell r="W50">
            <v>5.166666666666667</v>
          </cell>
          <cell r="X50" t="str">
            <v>5 to 10</v>
          </cell>
        </row>
        <row r="51">
          <cell r="F51">
            <v>24494</v>
          </cell>
          <cell r="G51" t="str">
            <v>&gt; 150</v>
          </cell>
          <cell r="H51">
            <v>12</v>
          </cell>
          <cell r="I51">
            <v>288</v>
          </cell>
          <cell r="J51"/>
          <cell r="K51"/>
          <cell r="L51">
            <v>4</v>
          </cell>
          <cell r="M51">
            <v>2</v>
          </cell>
          <cell r="N51">
            <v>9</v>
          </cell>
          <cell r="O51">
            <v>13</v>
          </cell>
          <cell r="P51">
            <v>8</v>
          </cell>
          <cell r="Q51">
            <v>7</v>
          </cell>
          <cell r="R51">
            <v>11</v>
          </cell>
          <cell r="S51">
            <v>2</v>
          </cell>
          <cell r="T51">
            <v>0</v>
          </cell>
          <cell r="U51">
            <v>2</v>
          </cell>
          <cell r="V51">
            <v>58</v>
          </cell>
          <cell r="W51">
            <v>4.833333333333333</v>
          </cell>
          <cell r="X51" t="str">
            <v>1 to 5</v>
          </cell>
        </row>
        <row r="52">
          <cell r="F52">
            <v>22128</v>
          </cell>
          <cell r="G52" t="str">
            <v>&gt; 450</v>
          </cell>
          <cell r="H52">
            <v>12</v>
          </cell>
          <cell r="I52">
            <v>288</v>
          </cell>
          <cell r="J52">
            <v>3</v>
          </cell>
          <cell r="K52">
            <v>1</v>
          </cell>
          <cell r="L52">
            <v>2</v>
          </cell>
          <cell r="M52">
            <v>4</v>
          </cell>
          <cell r="N52">
            <v>5</v>
          </cell>
          <cell r="O52">
            <v>1</v>
          </cell>
          <cell r="P52">
            <v>6</v>
          </cell>
          <cell r="Q52">
            <v>4</v>
          </cell>
          <cell r="R52">
            <v>8</v>
          </cell>
          <cell r="S52">
            <v>4</v>
          </cell>
          <cell r="T52">
            <v>13</v>
          </cell>
          <cell r="U52">
            <v>5</v>
          </cell>
          <cell r="V52">
            <v>56</v>
          </cell>
          <cell r="W52">
            <v>4.666666666666667</v>
          </cell>
          <cell r="X52" t="str">
            <v>1 to 5</v>
          </cell>
        </row>
        <row r="53">
          <cell r="F53">
            <v>23433</v>
          </cell>
          <cell r="G53" t="str">
            <v>&gt; 300</v>
          </cell>
          <cell r="H53">
            <v>12</v>
          </cell>
          <cell r="I53">
            <v>288</v>
          </cell>
          <cell r="J53">
            <v>2</v>
          </cell>
          <cell r="K53">
            <v>2</v>
          </cell>
          <cell r="L53">
            <v>1</v>
          </cell>
          <cell r="M53">
            <v>4</v>
          </cell>
          <cell r="N53">
            <v>3</v>
          </cell>
          <cell r="O53">
            <v>5</v>
          </cell>
          <cell r="P53">
            <v>7</v>
          </cell>
          <cell r="Q53">
            <v>2</v>
          </cell>
          <cell r="R53">
            <v>4</v>
          </cell>
          <cell r="S53">
            <v>4</v>
          </cell>
          <cell r="T53">
            <v>14</v>
          </cell>
          <cell r="U53">
            <v>6</v>
          </cell>
          <cell r="V53">
            <v>54</v>
          </cell>
          <cell r="W53">
            <v>4.5</v>
          </cell>
          <cell r="X53" t="str">
            <v>1 to 5</v>
          </cell>
        </row>
        <row r="54">
          <cell r="F54">
            <v>22400</v>
          </cell>
          <cell r="G54" t="str">
            <v>&gt; 150</v>
          </cell>
          <cell r="H54">
            <v>12</v>
          </cell>
          <cell r="I54">
            <v>288</v>
          </cell>
          <cell r="J54">
            <v>5</v>
          </cell>
          <cell r="K54">
            <v>7</v>
          </cell>
          <cell r="L54">
            <v>7</v>
          </cell>
          <cell r="M54">
            <v>7</v>
          </cell>
          <cell r="N54">
            <v>3</v>
          </cell>
          <cell r="O54">
            <v>4</v>
          </cell>
          <cell r="P54">
            <v>1</v>
          </cell>
          <cell r="Q54">
            <v>2</v>
          </cell>
          <cell r="R54">
            <v>6</v>
          </cell>
          <cell r="S54">
            <v>4</v>
          </cell>
          <cell r="T54">
            <v>2</v>
          </cell>
          <cell r="U54">
            <v>6</v>
          </cell>
          <cell r="V54">
            <v>54</v>
          </cell>
          <cell r="W54">
            <v>4.5</v>
          </cell>
          <cell r="X54" t="str">
            <v>1 to 5</v>
          </cell>
        </row>
        <row r="55">
          <cell r="F55">
            <v>28075</v>
          </cell>
          <cell r="G55" t="str">
            <v>&lt; 150</v>
          </cell>
          <cell r="H55">
            <v>8</v>
          </cell>
          <cell r="I55">
            <v>192</v>
          </cell>
          <cell r="J55"/>
          <cell r="K55"/>
          <cell r="L55"/>
          <cell r="M55"/>
          <cell r="N55">
            <v>15</v>
          </cell>
          <cell r="O55">
            <v>4</v>
          </cell>
          <cell r="P55">
            <v>1</v>
          </cell>
          <cell r="Q55">
            <v>1</v>
          </cell>
          <cell r="R55">
            <v>4</v>
          </cell>
          <cell r="S55">
            <v>3</v>
          </cell>
          <cell r="T55">
            <v>8</v>
          </cell>
          <cell r="U55">
            <v>14</v>
          </cell>
          <cell r="V55">
            <v>50</v>
          </cell>
          <cell r="W55">
            <v>6.25</v>
          </cell>
          <cell r="X55" t="str">
            <v>5 to 10</v>
          </cell>
        </row>
        <row r="56">
          <cell r="F56">
            <v>22401</v>
          </cell>
          <cell r="G56" t="str">
            <v>&gt; 150</v>
          </cell>
          <cell r="H56">
            <v>12</v>
          </cell>
          <cell r="I56">
            <v>288</v>
          </cell>
          <cell r="J56">
            <v>2</v>
          </cell>
          <cell r="K56">
            <v>7</v>
          </cell>
          <cell r="L56">
            <v>1</v>
          </cell>
          <cell r="M56">
            <v>7</v>
          </cell>
          <cell r="N56">
            <v>2</v>
          </cell>
          <cell r="O56">
            <v>1</v>
          </cell>
          <cell r="P56"/>
          <cell r="Q56">
            <v>3</v>
          </cell>
          <cell r="R56">
            <v>4</v>
          </cell>
          <cell r="S56">
            <v>2</v>
          </cell>
          <cell r="T56">
            <v>15</v>
          </cell>
          <cell r="U56">
            <v>4</v>
          </cell>
          <cell r="V56">
            <v>48</v>
          </cell>
          <cell r="W56">
            <v>4</v>
          </cell>
          <cell r="X56" t="str">
            <v>1 to 5</v>
          </cell>
        </row>
        <row r="57">
          <cell r="F57">
            <v>23969</v>
          </cell>
          <cell r="G57" t="str">
            <v>&gt; 450</v>
          </cell>
          <cell r="H57">
            <v>12</v>
          </cell>
          <cell r="I57">
            <v>288</v>
          </cell>
          <cell r="J57">
            <v>2</v>
          </cell>
          <cell r="K57">
            <v>1</v>
          </cell>
          <cell r="L57">
            <v>2</v>
          </cell>
          <cell r="M57">
            <v>13</v>
          </cell>
          <cell r="N57">
            <v>10</v>
          </cell>
          <cell r="O57">
            <v>5</v>
          </cell>
          <cell r="P57"/>
          <cell r="Q57">
            <v>4</v>
          </cell>
          <cell r="R57">
            <v>3</v>
          </cell>
          <cell r="S57">
            <v>2</v>
          </cell>
          <cell r="T57">
            <v>2</v>
          </cell>
          <cell r="U57">
            <v>3</v>
          </cell>
          <cell r="V57">
            <v>47</v>
          </cell>
          <cell r="W57">
            <v>3.9166666666666665</v>
          </cell>
          <cell r="X57" t="str">
            <v>1 to 5</v>
          </cell>
        </row>
        <row r="58">
          <cell r="F58">
            <v>26501</v>
          </cell>
          <cell r="G58" t="str">
            <v>&gt; 450</v>
          </cell>
          <cell r="H58">
            <v>12</v>
          </cell>
          <cell r="I58">
            <v>288</v>
          </cell>
          <cell r="J58">
            <v>3</v>
          </cell>
          <cell r="K58">
            <v>4</v>
          </cell>
          <cell r="L58">
            <v>2</v>
          </cell>
          <cell r="M58">
            <v>1</v>
          </cell>
          <cell r="N58">
            <v>6</v>
          </cell>
          <cell r="O58">
            <v>2</v>
          </cell>
          <cell r="P58">
            <v>3</v>
          </cell>
          <cell r="Q58">
            <v>1</v>
          </cell>
          <cell r="R58">
            <v>4</v>
          </cell>
          <cell r="S58">
            <v>4</v>
          </cell>
          <cell r="T58">
            <v>11</v>
          </cell>
          <cell r="U58">
            <v>6</v>
          </cell>
          <cell r="V58">
            <v>47</v>
          </cell>
          <cell r="W58">
            <v>3.9166666666666665</v>
          </cell>
          <cell r="X58" t="str">
            <v>1 to 5</v>
          </cell>
        </row>
        <row r="59">
          <cell r="F59">
            <v>22768</v>
          </cell>
          <cell r="G59" t="str">
            <v>&lt; 150</v>
          </cell>
          <cell r="H59">
            <v>12</v>
          </cell>
          <cell r="I59">
            <v>288</v>
          </cell>
          <cell r="J59">
            <v>2</v>
          </cell>
          <cell r="K59"/>
          <cell r="L59">
            <v>2</v>
          </cell>
          <cell r="M59">
            <v>2</v>
          </cell>
          <cell r="N59">
            <v>4</v>
          </cell>
          <cell r="O59">
            <v>1</v>
          </cell>
          <cell r="P59">
            <v>3</v>
          </cell>
          <cell r="Q59">
            <v>1</v>
          </cell>
          <cell r="R59">
            <v>8</v>
          </cell>
          <cell r="S59">
            <v>4</v>
          </cell>
          <cell r="T59">
            <v>5</v>
          </cell>
          <cell r="U59">
            <v>15</v>
          </cell>
          <cell r="V59">
            <v>47</v>
          </cell>
          <cell r="W59">
            <v>3.9166666666666665</v>
          </cell>
          <cell r="X59" t="str">
            <v>1 to 5</v>
          </cell>
        </row>
        <row r="60">
          <cell r="F60">
            <v>27437</v>
          </cell>
          <cell r="G60" t="str">
            <v>&lt; 150</v>
          </cell>
          <cell r="H60">
            <v>12</v>
          </cell>
          <cell r="I60">
            <v>288</v>
          </cell>
          <cell r="J60">
            <v>3</v>
          </cell>
          <cell r="K60">
            <v>3</v>
          </cell>
          <cell r="L60">
            <v>3</v>
          </cell>
          <cell r="M60">
            <v>6</v>
          </cell>
          <cell r="N60">
            <v>5</v>
          </cell>
          <cell r="O60"/>
          <cell r="P60">
            <v>3</v>
          </cell>
          <cell r="Q60">
            <v>18</v>
          </cell>
          <cell r="R60">
            <v>1</v>
          </cell>
          <cell r="S60">
            <v>1</v>
          </cell>
          <cell r="T60">
            <v>2</v>
          </cell>
          <cell r="U60">
            <v>0</v>
          </cell>
          <cell r="V60">
            <v>45</v>
          </cell>
          <cell r="W60">
            <v>3.75</v>
          </cell>
          <cell r="X60" t="str">
            <v>1 to 5</v>
          </cell>
        </row>
        <row r="61">
          <cell r="F61">
            <v>24153</v>
          </cell>
          <cell r="G61" t="str">
            <v>&gt; 600</v>
          </cell>
          <cell r="H61">
            <v>12</v>
          </cell>
          <cell r="I61">
            <v>288</v>
          </cell>
          <cell r="J61">
            <v>2</v>
          </cell>
          <cell r="K61">
            <v>7</v>
          </cell>
          <cell r="L61">
            <v>9</v>
          </cell>
          <cell r="M61">
            <v>2</v>
          </cell>
          <cell r="N61">
            <v>3</v>
          </cell>
          <cell r="O61">
            <v>3</v>
          </cell>
          <cell r="P61">
            <v>2</v>
          </cell>
          <cell r="Q61">
            <v>5</v>
          </cell>
          <cell r="R61">
            <v>1</v>
          </cell>
          <cell r="S61">
            <v>3</v>
          </cell>
          <cell r="T61">
            <v>6</v>
          </cell>
          <cell r="U61">
            <v>2</v>
          </cell>
          <cell r="V61">
            <v>45</v>
          </cell>
          <cell r="W61">
            <v>3.75</v>
          </cell>
          <cell r="X61" t="str">
            <v>1 to 5</v>
          </cell>
        </row>
        <row r="62">
          <cell r="F62">
            <v>28305</v>
          </cell>
          <cell r="G62" t="str">
            <v>&lt; 150</v>
          </cell>
          <cell r="H62">
            <v>4</v>
          </cell>
          <cell r="I62">
            <v>96</v>
          </cell>
          <cell r="J62"/>
          <cell r="K62"/>
          <cell r="L62"/>
          <cell r="M62"/>
          <cell r="N62"/>
          <cell r="O62"/>
          <cell r="P62"/>
          <cell r="Q62">
            <v>20</v>
          </cell>
          <cell r="R62">
            <v>6</v>
          </cell>
          <cell r="S62">
            <v>10</v>
          </cell>
          <cell r="T62">
            <v>0</v>
          </cell>
          <cell r="U62">
            <v>8</v>
          </cell>
          <cell r="V62">
            <v>44</v>
          </cell>
          <cell r="W62">
            <v>11</v>
          </cell>
          <cell r="X62" t="str">
            <v>10 to 20</v>
          </cell>
        </row>
        <row r="63">
          <cell r="F63">
            <v>20503</v>
          </cell>
          <cell r="G63" t="str">
            <v>&lt; 150</v>
          </cell>
          <cell r="H63">
            <v>11</v>
          </cell>
          <cell r="I63">
            <v>264</v>
          </cell>
          <cell r="J63">
            <v>4</v>
          </cell>
          <cell r="K63">
            <v>2</v>
          </cell>
          <cell r="L63">
            <v>2</v>
          </cell>
          <cell r="M63">
            <v>5</v>
          </cell>
          <cell r="N63">
            <v>5</v>
          </cell>
          <cell r="O63">
            <v>6</v>
          </cell>
          <cell r="P63">
            <v>2</v>
          </cell>
          <cell r="Q63">
            <v>8</v>
          </cell>
          <cell r="R63">
            <v>3</v>
          </cell>
          <cell r="S63">
            <v>4</v>
          </cell>
          <cell r="T63">
            <v>3</v>
          </cell>
          <cell r="U63"/>
          <cell r="V63">
            <v>44</v>
          </cell>
          <cell r="W63">
            <v>4</v>
          </cell>
          <cell r="X63" t="str">
            <v>1 to 5</v>
          </cell>
        </row>
        <row r="64">
          <cell r="F64">
            <v>27028</v>
          </cell>
          <cell r="G64" t="str">
            <v>&gt; 300</v>
          </cell>
          <cell r="H64">
            <v>12</v>
          </cell>
          <cell r="I64">
            <v>288</v>
          </cell>
          <cell r="J64">
            <v>4</v>
          </cell>
          <cell r="K64">
            <v>3</v>
          </cell>
          <cell r="L64">
            <v>4</v>
          </cell>
          <cell r="M64">
            <v>6</v>
          </cell>
          <cell r="N64">
            <v>4</v>
          </cell>
          <cell r="O64">
            <v>4</v>
          </cell>
          <cell r="P64">
            <v>2</v>
          </cell>
          <cell r="Q64">
            <v>2</v>
          </cell>
          <cell r="R64">
            <v>3</v>
          </cell>
          <cell r="S64">
            <v>6</v>
          </cell>
          <cell r="T64">
            <v>2</v>
          </cell>
          <cell r="U64">
            <v>2</v>
          </cell>
          <cell r="V64">
            <v>42</v>
          </cell>
          <cell r="W64">
            <v>3.5</v>
          </cell>
          <cell r="X64" t="str">
            <v>1 to 5</v>
          </cell>
        </row>
        <row r="65">
          <cell r="F65">
            <v>23431</v>
          </cell>
          <cell r="G65" t="str">
            <v>&gt; 150</v>
          </cell>
          <cell r="H65">
            <v>12</v>
          </cell>
          <cell r="I65">
            <v>288</v>
          </cell>
          <cell r="J65"/>
          <cell r="K65"/>
          <cell r="L65">
            <v>5</v>
          </cell>
          <cell r="M65">
            <v>2</v>
          </cell>
          <cell r="N65">
            <v>4</v>
          </cell>
          <cell r="O65">
            <v>1</v>
          </cell>
          <cell r="P65">
            <v>6</v>
          </cell>
          <cell r="Q65">
            <v>5</v>
          </cell>
          <cell r="R65">
            <v>2</v>
          </cell>
          <cell r="S65"/>
          <cell r="T65">
            <v>9</v>
          </cell>
          <cell r="U65">
            <v>8</v>
          </cell>
          <cell r="V65">
            <v>42</v>
          </cell>
          <cell r="W65">
            <v>3.5</v>
          </cell>
          <cell r="X65" t="str">
            <v>1 to 5</v>
          </cell>
        </row>
        <row r="66">
          <cell r="F66">
            <v>22402</v>
          </cell>
          <cell r="G66" t="str">
            <v>&lt; 150</v>
          </cell>
          <cell r="H66">
            <v>12</v>
          </cell>
          <cell r="I66">
            <v>288</v>
          </cell>
          <cell r="J66">
            <v>1</v>
          </cell>
          <cell r="K66">
            <v>3</v>
          </cell>
          <cell r="L66">
            <v>3</v>
          </cell>
          <cell r="M66">
            <v>2</v>
          </cell>
          <cell r="N66">
            <v>4</v>
          </cell>
          <cell r="O66">
            <v>4</v>
          </cell>
          <cell r="P66">
            <v>4</v>
          </cell>
          <cell r="Q66">
            <v>2</v>
          </cell>
          <cell r="R66">
            <v>3</v>
          </cell>
          <cell r="S66">
            <v>5</v>
          </cell>
          <cell r="T66">
            <v>9</v>
          </cell>
          <cell r="U66">
            <v>1</v>
          </cell>
          <cell r="V66">
            <v>41</v>
          </cell>
          <cell r="W66">
            <v>3.4166666666666665</v>
          </cell>
          <cell r="X66" t="str">
            <v>1 to 5</v>
          </cell>
        </row>
        <row r="67">
          <cell r="F67">
            <v>23560</v>
          </cell>
          <cell r="G67" t="str">
            <v>&gt; 300</v>
          </cell>
          <cell r="H67">
            <v>12</v>
          </cell>
          <cell r="I67">
            <v>288</v>
          </cell>
          <cell r="J67"/>
          <cell r="K67"/>
          <cell r="L67">
            <v>1</v>
          </cell>
          <cell r="M67">
            <v>11</v>
          </cell>
          <cell r="N67">
            <v>5</v>
          </cell>
          <cell r="O67">
            <v>5</v>
          </cell>
          <cell r="P67">
            <v>1</v>
          </cell>
          <cell r="Q67">
            <v>7</v>
          </cell>
          <cell r="R67">
            <v>4</v>
          </cell>
          <cell r="S67">
            <v>1</v>
          </cell>
          <cell r="T67">
            <v>1</v>
          </cell>
          <cell r="U67">
            <v>1</v>
          </cell>
          <cell r="V67">
            <v>37</v>
          </cell>
          <cell r="W67">
            <v>3.0833333333333335</v>
          </cell>
          <cell r="X67" t="str">
            <v>1 to 5</v>
          </cell>
        </row>
        <row r="68">
          <cell r="F68">
            <v>22365</v>
          </cell>
          <cell r="G68" t="str">
            <v>&gt; 450</v>
          </cell>
          <cell r="H68">
            <v>12</v>
          </cell>
          <cell r="I68">
            <v>288</v>
          </cell>
          <cell r="J68">
            <v>4</v>
          </cell>
          <cell r="K68">
            <v>4</v>
          </cell>
          <cell r="L68">
            <v>3</v>
          </cell>
          <cell r="M68">
            <v>2</v>
          </cell>
          <cell r="N68">
            <v>4</v>
          </cell>
          <cell r="O68"/>
          <cell r="P68">
            <v>4</v>
          </cell>
          <cell r="Q68">
            <v>2</v>
          </cell>
          <cell r="R68">
            <v>2</v>
          </cell>
          <cell r="S68">
            <v>2</v>
          </cell>
          <cell r="T68">
            <v>3</v>
          </cell>
          <cell r="U68">
            <v>5</v>
          </cell>
          <cell r="V68">
            <v>35</v>
          </cell>
          <cell r="W68">
            <v>2.9166666666666665</v>
          </cell>
          <cell r="X68" t="str">
            <v>1 to 5</v>
          </cell>
        </row>
        <row r="69">
          <cell r="F69">
            <v>22130</v>
          </cell>
          <cell r="G69" t="str">
            <v>&gt; 300</v>
          </cell>
          <cell r="H69">
            <v>12</v>
          </cell>
          <cell r="I69">
            <v>288</v>
          </cell>
          <cell r="J69">
            <v>2</v>
          </cell>
          <cell r="K69"/>
          <cell r="L69"/>
          <cell r="M69">
            <v>1</v>
          </cell>
          <cell r="N69">
            <v>1</v>
          </cell>
          <cell r="O69">
            <v>5</v>
          </cell>
          <cell r="P69">
            <v>4</v>
          </cell>
          <cell r="Q69">
            <v>5</v>
          </cell>
          <cell r="R69">
            <v>1</v>
          </cell>
          <cell r="S69">
            <v>2</v>
          </cell>
          <cell r="T69">
            <v>8</v>
          </cell>
          <cell r="U69">
            <v>6</v>
          </cell>
          <cell r="V69">
            <v>35</v>
          </cell>
          <cell r="W69">
            <v>2.9166666666666665</v>
          </cell>
          <cell r="X69" t="str">
            <v>1 to 5</v>
          </cell>
        </row>
        <row r="70">
          <cell r="F70">
            <v>28201</v>
          </cell>
          <cell r="G70" t="str">
            <v>&gt; 150</v>
          </cell>
          <cell r="H70">
            <v>8</v>
          </cell>
          <cell r="I70">
            <v>192</v>
          </cell>
          <cell r="J70"/>
          <cell r="K70"/>
          <cell r="L70"/>
          <cell r="M70"/>
          <cell r="N70"/>
          <cell r="O70"/>
          <cell r="P70">
            <v>2</v>
          </cell>
          <cell r="Q70">
            <v>2</v>
          </cell>
          <cell r="R70">
            <v>7</v>
          </cell>
          <cell r="S70">
            <v>8</v>
          </cell>
          <cell r="T70">
            <v>10</v>
          </cell>
          <cell r="U70">
            <v>6</v>
          </cell>
          <cell r="V70">
            <v>35</v>
          </cell>
          <cell r="W70">
            <v>4.375</v>
          </cell>
          <cell r="X70" t="str">
            <v>1 to 5</v>
          </cell>
        </row>
        <row r="71">
          <cell r="F71">
            <v>27731</v>
          </cell>
          <cell r="G71" t="str">
            <v>&lt; 150</v>
          </cell>
          <cell r="H71">
            <v>10</v>
          </cell>
          <cell r="I71">
            <v>240</v>
          </cell>
          <cell r="J71"/>
          <cell r="K71"/>
          <cell r="L71"/>
          <cell r="M71">
            <v>1</v>
          </cell>
          <cell r="N71">
            <v>2</v>
          </cell>
          <cell r="O71"/>
          <cell r="P71"/>
          <cell r="Q71">
            <v>2</v>
          </cell>
          <cell r="R71">
            <v>2</v>
          </cell>
          <cell r="S71">
            <v>5</v>
          </cell>
          <cell r="T71">
            <v>14</v>
          </cell>
          <cell r="U71">
            <v>3</v>
          </cell>
          <cell r="V71">
            <v>29</v>
          </cell>
          <cell r="W71">
            <v>2.9</v>
          </cell>
          <cell r="X71" t="str">
            <v>&lt; 1</v>
          </cell>
        </row>
        <row r="72">
          <cell r="F72">
            <v>26595</v>
          </cell>
          <cell r="G72" t="str">
            <v>&gt; 300</v>
          </cell>
          <cell r="H72">
            <v>12</v>
          </cell>
          <cell r="I72">
            <v>288</v>
          </cell>
          <cell r="J72"/>
          <cell r="K72"/>
          <cell r="L72">
            <v>1</v>
          </cell>
          <cell r="M72"/>
          <cell r="N72"/>
          <cell r="O72"/>
          <cell r="P72">
            <v>2</v>
          </cell>
          <cell r="Q72">
            <v>5</v>
          </cell>
          <cell r="R72">
            <v>2</v>
          </cell>
          <cell r="S72">
            <v>4</v>
          </cell>
          <cell r="T72">
            <v>9</v>
          </cell>
          <cell r="U72">
            <v>4</v>
          </cell>
          <cell r="V72">
            <v>27</v>
          </cell>
          <cell r="W72">
            <v>2.25</v>
          </cell>
          <cell r="X72" t="str">
            <v>1 to 5</v>
          </cell>
        </row>
        <row r="73">
          <cell r="F73">
            <v>27249</v>
          </cell>
          <cell r="G73" t="str">
            <v>&lt; 150</v>
          </cell>
          <cell r="H73">
            <v>12</v>
          </cell>
          <cell r="I73">
            <v>288</v>
          </cell>
          <cell r="J73"/>
          <cell r="K73">
            <v>3</v>
          </cell>
          <cell r="L73">
            <v>2</v>
          </cell>
          <cell r="M73">
            <v>4</v>
          </cell>
          <cell r="N73">
            <v>1</v>
          </cell>
          <cell r="O73">
            <v>2</v>
          </cell>
          <cell r="P73">
            <v>1</v>
          </cell>
          <cell r="Q73">
            <v>2</v>
          </cell>
          <cell r="R73">
            <v>2</v>
          </cell>
          <cell r="S73">
            <v>2</v>
          </cell>
          <cell r="T73">
            <v>1</v>
          </cell>
          <cell r="U73">
            <v>4</v>
          </cell>
          <cell r="V73">
            <v>24</v>
          </cell>
          <cell r="W73">
            <v>2</v>
          </cell>
          <cell r="X73" t="str">
            <v>1 to 5</v>
          </cell>
        </row>
        <row r="74">
          <cell r="F74">
            <v>28083</v>
          </cell>
          <cell r="G74" t="str">
            <v>&lt; 150</v>
          </cell>
          <cell r="H74">
            <v>8</v>
          </cell>
          <cell r="I74">
            <v>192</v>
          </cell>
          <cell r="J74"/>
          <cell r="K74"/>
          <cell r="L74"/>
          <cell r="M74"/>
          <cell r="N74">
            <v>5</v>
          </cell>
          <cell r="O74">
            <v>3</v>
          </cell>
          <cell r="P74">
            <v>1</v>
          </cell>
          <cell r="Q74">
            <v>1</v>
          </cell>
          <cell r="R74">
            <v>4</v>
          </cell>
          <cell r="S74">
            <v>4</v>
          </cell>
          <cell r="T74">
            <v>1</v>
          </cell>
          <cell r="U74">
            <v>3</v>
          </cell>
          <cell r="V74">
            <v>22</v>
          </cell>
          <cell r="W74">
            <v>2.75</v>
          </cell>
          <cell r="X74" t="str">
            <v>1 to 5</v>
          </cell>
        </row>
        <row r="75">
          <cell r="F75">
            <v>28860</v>
          </cell>
          <cell r="G75" t="str">
            <v>&gt; 150</v>
          </cell>
          <cell r="H75">
            <v>4</v>
          </cell>
          <cell r="I75">
            <v>96</v>
          </cell>
          <cell r="J75"/>
          <cell r="K75"/>
          <cell r="L75"/>
          <cell r="M75"/>
          <cell r="N75"/>
          <cell r="O75"/>
          <cell r="P75"/>
          <cell r="Q75"/>
          <cell r="R75">
            <v>1</v>
          </cell>
          <cell r="S75">
            <v>4</v>
          </cell>
          <cell r="T75">
            <v>12</v>
          </cell>
          <cell r="U75">
            <v>3</v>
          </cell>
          <cell r="V75">
            <v>20</v>
          </cell>
          <cell r="W75">
            <v>5</v>
          </cell>
          <cell r="X75" t="str">
            <v>5 to 10</v>
          </cell>
        </row>
        <row r="76">
          <cell r="F76">
            <v>22361</v>
          </cell>
          <cell r="G76" t="str">
            <v>&gt; 150</v>
          </cell>
          <cell r="H76">
            <v>5</v>
          </cell>
          <cell r="I76">
            <v>120</v>
          </cell>
          <cell r="J76">
            <v>7</v>
          </cell>
          <cell r="K76">
            <v>2</v>
          </cell>
          <cell r="L76">
            <v>7</v>
          </cell>
          <cell r="M76">
            <v>3</v>
          </cell>
          <cell r="N76">
            <v>1</v>
          </cell>
          <cell r="O76"/>
          <cell r="P76"/>
          <cell r="Q76"/>
          <cell r="R76"/>
          <cell r="S76"/>
          <cell r="T76"/>
          <cell r="U76"/>
          <cell r="V76">
            <v>20</v>
          </cell>
          <cell r="W76">
            <v>4</v>
          </cell>
          <cell r="X76" t="str">
            <v>1 to 5</v>
          </cell>
        </row>
        <row r="77">
          <cell r="F77">
            <v>21928</v>
          </cell>
          <cell r="G77" t="str">
            <v>&gt; 150</v>
          </cell>
          <cell r="H77">
            <v>4</v>
          </cell>
          <cell r="I77">
            <v>96</v>
          </cell>
          <cell r="J77">
            <v>5</v>
          </cell>
          <cell r="K77">
            <v>13</v>
          </cell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>
            <v>18</v>
          </cell>
          <cell r="W77">
            <v>4.5</v>
          </cell>
          <cell r="X77" t="str">
            <v>1 to 5</v>
          </cell>
        </row>
        <row r="78">
          <cell r="F78">
            <v>23432</v>
          </cell>
          <cell r="G78" t="str">
            <v>&gt; 450</v>
          </cell>
          <cell r="H78">
            <v>12</v>
          </cell>
          <cell r="I78">
            <v>288</v>
          </cell>
          <cell r="J78">
            <v>1</v>
          </cell>
          <cell r="K78"/>
          <cell r="L78">
            <v>1</v>
          </cell>
          <cell r="M78">
            <v>2</v>
          </cell>
          <cell r="N78">
            <v>3</v>
          </cell>
          <cell r="O78">
            <v>1</v>
          </cell>
          <cell r="P78">
            <v>2</v>
          </cell>
          <cell r="Q78"/>
          <cell r="R78">
            <v>1</v>
          </cell>
          <cell r="S78">
            <v>1</v>
          </cell>
          <cell r="T78">
            <v>1</v>
          </cell>
          <cell r="U78">
            <v>0</v>
          </cell>
          <cell r="V78">
            <v>13</v>
          </cell>
          <cell r="W78">
            <v>1.0833333333333333</v>
          </cell>
          <cell r="X78" t="str">
            <v>1 to 5</v>
          </cell>
        </row>
        <row r="79">
          <cell r="F79">
            <v>21925</v>
          </cell>
          <cell r="G79" t="str">
            <v>&lt; 150</v>
          </cell>
          <cell r="H79">
            <v>9</v>
          </cell>
          <cell r="I79">
            <v>216</v>
          </cell>
          <cell r="J79"/>
          <cell r="K79">
            <v>1</v>
          </cell>
          <cell r="L79">
            <v>1</v>
          </cell>
          <cell r="M79">
            <v>3</v>
          </cell>
          <cell r="N79">
            <v>1</v>
          </cell>
          <cell r="O79"/>
          <cell r="P79">
            <v>1</v>
          </cell>
          <cell r="Q79">
            <v>3</v>
          </cell>
          <cell r="R79">
            <v>2</v>
          </cell>
          <cell r="S79">
            <v>1</v>
          </cell>
          <cell r="T79">
            <v>0</v>
          </cell>
          <cell r="U79"/>
          <cell r="V79">
            <v>13</v>
          </cell>
          <cell r="W79">
            <v>1.4444444444444444</v>
          </cell>
          <cell r="X79" t="str">
            <v>1 to 5</v>
          </cell>
        </row>
        <row r="80">
          <cell r="F80">
            <v>28482</v>
          </cell>
          <cell r="G80" t="str">
            <v>&lt; 150</v>
          </cell>
          <cell r="H80">
            <v>6</v>
          </cell>
          <cell r="I80">
            <v>144</v>
          </cell>
          <cell r="J80"/>
          <cell r="K80"/>
          <cell r="L80"/>
          <cell r="M80"/>
          <cell r="N80"/>
          <cell r="O80"/>
          <cell r="P80">
            <v>1</v>
          </cell>
          <cell r="Q80">
            <v>1</v>
          </cell>
          <cell r="R80">
            <v>3</v>
          </cell>
          <cell r="S80">
            <v>2</v>
          </cell>
          <cell r="T80">
            <v>2</v>
          </cell>
          <cell r="U80">
            <v>0</v>
          </cell>
          <cell r="V80">
            <v>9</v>
          </cell>
          <cell r="W80">
            <v>1.5</v>
          </cell>
          <cell r="X80" t="str">
            <v>1 to 5</v>
          </cell>
        </row>
        <row r="81">
          <cell r="F81">
            <v>28483</v>
          </cell>
          <cell r="G81" t="str">
            <v>&lt; 150</v>
          </cell>
          <cell r="H81">
            <v>4</v>
          </cell>
          <cell r="I81">
            <v>96</v>
          </cell>
          <cell r="J81"/>
          <cell r="K81"/>
          <cell r="L81"/>
          <cell r="M81"/>
          <cell r="N81"/>
          <cell r="O81"/>
          <cell r="P81"/>
          <cell r="Q81"/>
          <cell r="R81"/>
          <cell r="S81">
            <v>8</v>
          </cell>
          <cell r="T81">
            <v>0</v>
          </cell>
          <cell r="U81">
            <v>0</v>
          </cell>
          <cell r="V81">
            <v>8</v>
          </cell>
          <cell r="W81">
            <v>2</v>
          </cell>
          <cell r="X81" t="str">
            <v>1 to 5</v>
          </cell>
        </row>
        <row r="82">
          <cell r="F82">
            <v>22771</v>
          </cell>
          <cell r="G82" t="str">
            <v>&lt; 150</v>
          </cell>
          <cell r="H82">
            <v>5</v>
          </cell>
          <cell r="I82">
            <v>120</v>
          </cell>
          <cell r="J82">
            <v>2</v>
          </cell>
          <cell r="K82">
            <v>1</v>
          </cell>
          <cell r="L82"/>
          <cell r="M82"/>
          <cell r="N82">
            <v>1</v>
          </cell>
          <cell r="O82"/>
          <cell r="P82">
            <v>1</v>
          </cell>
          <cell r="Q82"/>
          <cell r="R82"/>
          <cell r="S82"/>
          <cell r="T82"/>
          <cell r="U82"/>
          <cell r="V82">
            <v>5</v>
          </cell>
          <cell r="W82">
            <v>1</v>
          </cell>
          <cell r="X82" t="str">
            <v>1 to 5</v>
          </cell>
        </row>
        <row r="83">
          <cell r="F83">
            <v>26530</v>
          </cell>
          <cell r="G83" t="str">
            <v>&lt; 150</v>
          </cell>
          <cell r="H83">
            <v>12</v>
          </cell>
          <cell r="I83">
            <v>288</v>
          </cell>
          <cell r="J83"/>
          <cell r="K83"/>
          <cell r="L83"/>
          <cell r="M83">
            <v>1</v>
          </cell>
          <cell r="N83">
            <v>1</v>
          </cell>
          <cell r="O83">
            <v>2</v>
          </cell>
          <cell r="P83"/>
          <cell r="Q83"/>
          <cell r="R83"/>
          <cell r="S83"/>
          <cell r="T83">
            <v>0</v>
          </cell>
          <cell r="U83">
            <v>0</v>
          </cell>
          <cell r="V83">
            <v>4</v>
          </cell>
          <cell r="W83">
            <v>0.33333333333333331</v>
          </cell>
          <cell r="X83" t="str">
            <v>&lt; 1</v>
          </cell>
        </row>
        <row r="84">
          <cell r="F84">
            <v>20983</v>
          </cell>
          <cell r="G84" t="str">
            <v>&gt; 300</v>
          </cell>
          <cell r="H84">
            <v>4</v>
          </cell>
          <cell r="I84">
            <v>96</v>
          </cell>
          <cell r="J84">
            <v>3</v>
          </cell>
          <cell r="K84">
            <v>1</v>
          </cell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>
            <v>4</v>
          </cell>
          <cell r="W84">
            <v>1</v>
          </cell>
          <cell r="X84" t="str">
            <v>1 to 5</v>
          </cell>
        </row>
        <row r="85">
          <cell r="F85">
            <v>22453</v>
          </cell>
          <cell r="G85" t="str">
            <v>&lt; 150</v>
          </cell>
          <cell r="H85">
            <v>11</v>
          </cell>
          <cell r="I85">
            <v>264</v>
          </cell>
          <cell r="J85"/>
          <cell r="K85">
            <v>2</v>
          </cell>
          <cell r="L85"/>
          <cell r="M85"/>
          <cell r="N85"/>
          <cell r="O85"/>
          <cell r="P85"/>
          <cell r="Q85"/>
          <cell r="R85"/>
          <cell r="S85"/>
          <cell r="T85">
            <v>1</v>
          </cell>
          <cell r="U85">
            <v>0</v>
          </cell>
          <cell r="V85">
            <v>3</v>
          </cell>
          <cell r="W85">
            <v>0.27272727272727271</v>
          </cell>
          <cell r="X85" t="str">
            <v>&lt; 1</v>
          </cell>
        </row>
        <row r="86">
          <cell r="F86">
            <v>29052</v>
          </cell>
          <cell r="G86" t="str">
            <v>&lt; 150</v>
          </cell>
          <cell r="H86">
            <v>1</v>
          </cell>
          <cell r="I86">
            <v>24</v>
          </cell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>
            <v>2</v>
          </cell>
          <cell r="V86">
            <v>2</v>
          </cell>
          <cell r="W86">
            <v>2</v>
          </cell>
          <cell r="X86" t="str">
            <v>1 to 5</v>
          </cell>
        </row>
        <row r="87">
          <cell r="F87">
            <v>27252</v>
          </cell>
          <cell r="G87" t="str">
            <v>&lt; 150</v>
          </cell>
          <cell r="H87">
            <v>11</v>
          </cell>
          <cell r="I87">
            <v>264</v>
          </cell>
          <cell r="J87"/>
          <cell r="K87"/>
          <cell r="L87"/>
          <cell r="M87">
            <v>1</v>
          </cell>
          <cell r="N87"/>
          <cell r="O87"/>
          <cell r="P87"/>
          <cell r="Q87"/>
          <cell r="R87"/>
          <cell r="S87"/>
          <cell r="T87">
            <v>0</v>
          </cell>
          <cell r="U87"/>
          <cell r="V87">
            <v>1</v>
          </cell>
          <cell r="W87">
            <v>9.0909090909090912E-2</v>
          </cell>
          <cell r="X87" t="str">
            <v>&lt; 1</v>
          </cell>
        </row>
        <row r="88">
          <cell r="F88">
            <v>24527</v>
          </cell>
          <cell r="G88" t="str">
            <v>&lt; 150</v>
          </cell>
          <cell r="H88">
            <v>4</v>
          </cell>
          <cell r="I88">
            <v>96</v>
          </cell>
          <cell r="J88">
            <v>1</v>
          </cell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>
            <v>1</v>
          </cell>
          <cell r="W88">
            <v>0.25</v>
          </cell>
          <cell r="X88" t="str">
            <v>&lt; 1</v>
          </cell>
        </row>
        <row r="89">
          <cell r="F89">
            <v>28825</v>
          </cell>
          <cell r="G89" t="str">
            <v>Nill</v>
          </cell>
          <cell r="H89">
            <v>1</v>
          </cell>
          <cell r="I89">
            <v>24</v>
          </cell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>
            <v>0</v>
          </cell>
          <cell r="V89">
            <v>0</v>
          </cell>
          <cell r="W89">
            <v>0</v>
          </cell>
          <cell r="X89" t="str">
            <v>Zero</v>
          </cell>
        </row>
        <row r="90">
          <cell r="F90">
            <v>29069</v>
          </cell>
          <cell r="G90" t="str">
            <v>Nill</v>
          </cell>
          <cell r="H90">
            <v>1</v>
          </cell>
          <cell r="I90">
            <v>24</v>
          </cell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>
            <v>0</v>
          </cell>
          <cell r="V90">
            <v>0</v>
          </cell>
          <cell r="W90">
            <v>0</v>
          </cell>
          <cell r="X90" t="str">
            <v>Zero</v>
          </cell>
        </row>
        <row r="91">
          <cell r="F91">
            <v>29089</v>
          </cell>
          <cell r="G91" t="str">
            <v>&lt; 150</v>
          </cell>
          <cell r="H91">
            <v>0</v>
          </cell>
          <cell r="I91">
            <v>0</v>
          </cell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>
            <v>0</v>
          </cell>
          <cell r="W91" t="e">
            <v>#DIV/0!</v>
          </cell>
          <cell r="X91" t="e">
            <v>#DIV/0!</v>
          </cell>
        </row>
        <row r="92">
          <cell r="F92">
            <v>28601</v>
          </cell>
          <cell r="G92" t="str">
            <v>&lt; 150</v>
          </cell>
          <cell r="H92">
            <v>2</v>
          </cell>
          <cell r="I92">
            <v>48</v>
          </cell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>
            <v>0</v>
          </cell>
          <cell r="U92"/>
          <cell r="V92">
            <v>0</v>
          </cell>
          <cell r="W92">
            <v>0</v>
          </cell>
          <cell r="X92" t="str">
            <v>Zero</v>
          </cell>
        </row>
        <row r="93">
          <cell r="F93">
            <v>26507</v>
          </cell>
          <cell r="G93" t="str">
            <v>&lt; 150</v>
          </cell>
          <cell r="H93">
            <v>6</v>
          </cell>
          <cell r="I93">
            <v>144</v>
          </cell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>
            <v>0</v>
          </cell>
          <cell r="W93">
            <v>0</v>
          </cell>
          <cell r="X93" t="str">
            <v>Zero</v>
          </cell>
        </row>
        <row r="94">
          <cell r="F94">
            <v>27632</v>
          </cell>
          <cell r="G94" t="str">
            <v>Nill</v>
          </cell>
          <cell r="H94">
            <v>0</v>
          </cell>
          <cell r="I94">
            <v>0</v>
          </cell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>
            <v>0</v>
          </cell>
          <cell r="W94">
            <v>0</v>
          </cell>
          <cell r="X94" t="str">
            <v>Zero</v>
          </cell>
        </row>
        <row r="95">
          <cell r="F95">
            <v>28484</v>
          </cell>
          <cell r="G95" t="str">
            <v>Nill</v>
          </cell>
          <cell r="H95">
            <v>0</v>
          </cell>
          <cell r="I95">
            <v>0</v>
          </cell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>
            <v>0</v>
          </cell>
          <cell r="W95">
            <v>0</v>
          </cell>
          <cell r="X95" t="str">
            <v>Zero</v>
          </cell>
        </row>
        <row r="96">
          <cell r="F96">
            <v>21929</v>
          </cell>
          <cell r="G96" t="str">
            <v>&lt; 150</v>
          </cell>
          <cell r="H96">
            <v>3</v>
          </cell>
          <cell r="I96">
            <v>72</v>
          </cell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>
            <v>0</v>
          </cell>
          <cell r="W96">
            <v>0</v>
          </cell>
          <cell r="X96" t="str">
            <v>Zero</v>
          </cell>
        </row>
        <row r="97">
          <cell r="F97">
            <v>26881</v>
          </cell>
          <cell r="G97" t="str">
            <v>&lt; 150</v>
          </cell>
          <cell r="H97">
            <v>2</v>
          </cell>
          <cell r="I97">
            <v>48</v>
          </cell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>
            <v>0</v>
          </cell>
          <cell r="W97">
            <v>0</v>
          </cell>
          <cell r="X97" t="str">
            <v>Zero</v>
          </cell>
        </row>
        <row r="98">
          <cell r="F98">
            <v>23147</v>
          </cell>
          <cell r="G98" t="str">
            <v>&lt; 150</v>
          </cell>
          <cell r="H98">
            <v>1</v>
          </cell>
          <cell r="I98">
            <v>24</v>
          </cell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>
            <v>0</v>
          </cell>
          <cell r="W98">
            <v>0</v>
          </cell>
          <cell r="X98" t="str">
            <v>Zero</v>
          </cell>
        </row>
        <row r="99">
          <cell r="F99">
            <v>27631</v>
          </cell>
          <cell r="G99" t="str">
            <v>&lt; 150</v>
          </cell>
          <cell r="H99">
            <v>2</v>
          </cell>
          <cell r="I99">
            <v>48</v>
          </cell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>
            <v>0</v>
          </cell>
          <cell r="W99">
            <v>0</v>
          </cell>
          <cell r="X99" t="str">
            <v>Zero</v>
          </cell>
        </row>
      </sheetData>
      <sheetData sheetId="17"/>
      <sheetData sheetId="18"/>
      <sheetData sheetId="19">
        <row r="1">
          <cell r="E1" t="str">
            <v>Code</v>
          </cell>
          <cell r="F1" t="str">
            <v>TXN Category</v>
          </cell>
          <cell r="G1" t="str">
            <v>Month</v>
          </cell>
          <cell r="H1">
            <v>45748</v>
          </cell>
          <cell r="I1">
            <v>45778</v>
          </cell>
          <cell r="J1">
            <v>45809</v>
          </cell>
          <cell r="K1">
            <v>45839</v>
          </cell>
          <cell r="L1">
            <v>45870</v>
          </cell>
          <cell r="M1">
            <v>45901</v>
          </cell>
          <cell r="N1">
            <v>45931</v>
          </cell>
          <cell r="O1">
            <v>45962</v>
          </cell>
          <cell r="P1">
            <v>45992</v>
          </cell>
          <cell r="Q1">
            <v>46023</v>
          </cell>
          <cell r="R1">
            <v>46054</v>
          </cell>
          <cell r="S1">
            <v>46082</v>
          </cell>
          <cell r="T1" t="str">
            <v>Total Comm</v>
          </cell>
          <cell r="U1" t="str">
            <v>Average</v>
          </cell>
          <cell r="V1" t="str">
            <v>Category</v>
          </cell>
        </row>
        <row r="2">
          <cell r="E2">
            <v>22789</v>
          </cell>
          <cell r="F2" t="str">
            <v>&gt; 2000</v>
          </cell>
          <cell r="G2">
            <v>12</v>
          </cell>
          <cell r="H2">
            <v>33757</v>
          </cell>
          <cell r="I2">
            <v>46676.75</v>
          </cell>
          <cell r="J2">
            <v>38633.5</v>
          </cell>
          <cell r="K2">
            <v>30970.25</v>
          </cell>
          <cell r="L2">
            <v>23771</v>
          </cell>
          <cell r="M2">
            <v>33238</v>
          </cell>
          <cell r="N2">
            <v>30449.75</v>
          </cell>
          <cell r="O2">
            <v>39118.75</v>
          </cell>
          <cell r="P2">
            <v>36385</v>
          </cell>
          <cell r="Q2">
            <v>40619.25</v>
          </cell>
          <cell r="R2">
            <v>40062.25</v>
          </cell>
          <cell r="S2">
            <v>42982.5</v>
          </cell>
          <cell r="T2">
            <v>436664</v>
          </cell>
          <cell r="U2">
            <v>36388.666666666664</v>
          </cell>
          <cell r="V2" t="str">
            <v>&gt;25K</v>
          </cell>
        </row>
        <row r="3">
          <cell r="E3">
            <v>22073</v>
          </cell>
          <cell r="F3" t="str">
            <v>&gt; 900</v>
          </cell>
          <cell r="G3">
            <v>12</v>
          </cell>
          <cell r="H3">
            <v>27437.5</v>
          </cell>
          <cell r="I3">
            <v>26290.5</v>
          </cell>
          <cell r="J3">
            <v>22911.75</v>
          </cell>
          <cell r="K3">
            <v>25337</v>
          </cell>
          <cell r="L3">
            <v>21248</v>
          </cell>
          <cell r="M3">
            <v>26544</v>
          </cell>
          <cell r="N3">
            <v>25042.25</v>
          </cell>
          <cell r="O3">
            <v>26094.25</v>
          </cell>
          <cell r="P3">
            <v>24723.75</v>
          </cell>
          <cell r="Q3">
            <v>25161</v>
          </cell>
          <cell r="R3">
            <v>27479.75</v>
          </cell>
          <cell r="S3">
            <v>26679.75</v>
          </cell>
          <cell r="T3">
            <v>304949.5</v>
          </cell>
          <cell r="U3">
            <v>25412.458333333332</v>
          </cell>
          <cell r="V3" t="str">
            <v>&gt;25K</v>
          </cell>
        </row>
        <row r="4">
          <cell r="E4">
            <v>22126</v>
          </cell>
          <cell r="F4" t="str">
            <v>&gt; 2000</v>
          </cell>
          <cell r="G4">
            <v>12</v>
          </cell>
          <cell r="H4">
            <v>19582</v>
          </cell>
          <cell r="I4">
            <v>22937.5</v>
          </cell>
          <cell r="J4">
            <v>18911</v>
          </cell>
          <cell r="K4">
            <v>21423.75</v>
          </cell>
          <cell r="L4">
            <v>20056</v>
          </cell>
          <cell r="M4">
            <v>20636</v>
          </cell>
          <cell r="N4">
            <v>23462</v>
          </cell>
          <cell r="O4">
            <v>18349.25</v>
          </cell>
          <cell r="P4">
            <v>23004.75</v>
          </cell>
          <cell r="Q4">
            <v>26669.5</v>
          </cell>
          <cell r="R4">
            <v>29147.25</v>
          </cell>
          <cell r="S4">
            <v>25375.5</v>
          </cell>
          <cell r="T4">
            <v>269554.5</v>
          </cell>
          <cell r="U4">
            <v>22462.875</v>
          </cell>
          <cell r="V4" t="str">
            <v>15K to 20K</v>
          </cell>
        </row>
        <row r="5">
          <cell r="E5">
            <v>21999</v>
          </cell>
          <cell r="F5" t="str">
            <v>&gt; 1500</v>
          </cell>
          <cell r="G5">
            <v>12</v>
          </cell>
          <cell r="H5">
            <v>19804.5</v>
          </cell>
          <cell r="I5">
            <v>17335</v>
          </cell>
          <cell r="J5">
            <v>18944.5</v>
          </cell>
          <cell r="K5">
            <v>16923.75</v>
          </cell>
          <cell r="L5">
            <v>16163</v>
          </cell>
          <cell r="M5">
            <v>18775</v>
          </cell>
          <cell r="N5">
            <v>18998.5</v>
          </cell>
          <cell r="O5">
            <v>19500</v>
          </cell>
          <cell r="P5">
            <v>21221.75</v>
          </cell>
          <cell r="Q5">
            <v>23580.25</v>
          </cell>
          <cell r="R5">
            <v>20195</v>
          </cell>
          <cell r="S5">
            <v>22078</v>
          </cell>
          <cell r="T5">
            <v>233519.25</v>
          </cell>
          <cell r="U5">
            <v>19459.9375</v>
          </cell>
          <cell r="V5" t="str">
            <v>15K to 20K</v>
          </cell>
        </row>
        <row r="6">
          <cell r="E6">
            <v>22346</v>
          </cell>
          <cell r="F6" t="str">
            <v>&gt; 1500</v>
          </cell>
          <cell r="G6">
            <v>12</v>
          </cell>
          <cell r="H6">
            <v>14935.75</v>
          </cell>
          <cell r="I6">
            <v>15229.25</v>
          </cell>
          <cell r="J6">
            <v>14044.25</v>
          </cell>
          <cell r="K6">
            <v>13122.75</v>
          </cell>
          <cell r="L6">
            <v>13914</v>
          </cell>
          <cell r="M6">
            <v>17246</v>
          </cell>
          <cell r="N6">
            <v>22080.25</v>
          </cell>
          <cell r="O6">
            <v>23236.25</v>
          </cell>
          <cell r="P6">
            <v>22189.25</v>
          </cell>
          <cell r="Q6">
            <v>22562</v>
          </cell>
          <cell r="R6">
            <v>25338</v>
          </cell>
          <cell r="S6">
            <v>28259.5</v>
          </cell>
          <cell r="T6">
            <v>232157.25</v>
          </cell>
          <cell r="U6">
            <v>19346.4375</v>
          </cell>
          <cell r="V6" t="str">
            <v>15K to 20K</v>
          </cell>
        </row>
        <row r="7">
          <cell r="E7">
            <v>22131</v>
          </cell>
          <cell r="F7" t="str">
            <v>&gt; 900</v>
          </cell>
          <cell r="G7">
            <v>12</v>
          </cell>
          <cell r="H7">
            <v>24675.75</v>
          </cell>
          <cell r="I7">
            <v>21631</v>
          </cell>
          <cell r="J7">
            <v>17710.5</v>
          </cell>
          <cell r="K7">
            <v>22151.75</v>
          </cell>
          <cell r="L7">
            <v>20066</v>
          </cell>
          <cell r="M7">
            <v>21118</v>
          </cell>
          <cell r="N7">
            <v>16302.5</v>
          </cell>
          <cell r="O7">
            <v>13002.75</v>
          </cell>
          <cell r="P7">
            <v>9953.5</v>
          </cell>
          <cell r="Q7">
            <v>12719.75</v>
          </cell>
          <cell r="R7">
            <v>18644.5</v>
          </cell>
          <cell r="S7">
            <v>18036.5</v>
          </cell>
          <cell r="T7">
            <v>216012.5</v>
          </cell>
          <cell r="U7">
            <v>18001.041666666668</v>
          </cell>
          <cell r="V7" t="str">
            <v>15K to 20K</v>
          </cell>
        </row>
        <row r="8">
          <cell r="E8">
            <v>21998</v>
          </cell>
          <cell r="F8" t="str">
            <v>&gt; 900</v>
          </cell>
          <cell r="G8">
            <v>12</v>
          </cell>
          <cell r="H8">
            <v>14211</v>
          </cell>
          <cell r="I8">
            <v>15200.75</v>
          </cell>
          <cell r="J8">
            <v>14300.75</v>
          </cell>
          <cell r="K8">
            <v>16632.75</v>
          </cell>
          <cell r="L8">
            <v>15701</v>
          </cell>
          <cell r="M8">
            <v>16516</v>
          </cell>
          <cell r="N8">
            <v>18336</v>
          </cell>
          <cell r="O8">
            <v>20849.5</v>
          </cell>
          <cell r="P8">
            <v>16245.5</v>
          </cell>
          <cell r="Q8">
            <v>18894.75</v>
          </cell>
          <cell r="R8">
            <v>17022</v>
          </cell>
          <cell r="S8">
            <v>17501</v>
          </cell>
          <cell r="T8">
            <v>201411</v>
          </cell>
          <cell r="U8">
            <v>16784.25</v>
          </cell>
          <cell r="V8" t="str">
            <v>15K to 20K</v>
          </cell>
        </row>
        <row r="9">
          <cell r="E9">
            <v>21583</v>
          </cell>
          <cell r="F9" t="str">
            <v>&gt; 900</v>
          </cell>
          <cell r="G9">
            <v>12</v>
          </cell>
          <cell r="H9">
            <v>9098</v>
          </cell>
          <cell r="I9">
            <v>12904.25</v>
          </cell>
          <cell r="J9">
            <v>13025.75</v>
          </cell>
          <cell r="K9">
            <v>13040.25</v>
          </cell>
          <cell r="L9">
            <v>12043</v>
          </cell>
          <cell r="M9">
            <v>12234</v>
          </cell>
          <cell r="N9">
            <v>14026.75</v>
          </cell>
          <cell r="O9">
            <v>14818.75</v>
          </cell>
          <cell r="P9">
            <v>21233</v>
          </cell>
          <cell r="Q9">
            <v>17739.5</v>
          </cell>
          <cell r="R9">
            <v>14569</v>
          </cell>
          <cell r="S9">
            <v>16414</v>
          </cell>
          <cell r="T9">
            <v>171146.25</v>
          </cell>
          <cell r="U9">
            <v>14262.1875</v>
          </cell>
          <cell r="V9" t="str">
            <v>10K to 15K</v>
          </cell>
        </row>
        <row r="10">
          <cell r="E10">
            <v>20509</v>
          </cell>
          <cell r="F10" t="str">
            <v>&gt; 600</v>
          </cell>
          <cell r="G10">
            <v>12</v>
          </cell>
          <cell r="H10">
            <v>9967</v>
          </cell>
          <cell r="I10">
            <v>9615</v>
          </cell>
          <cell r="J10">
            <v>9985.25</v>
          </cell>
          <cell r="K10">
            <v>9834</v>
          </cell>
          <cell r="L10">
            <v>8970</v>
          </cell>
          <cell r="M10">
            <v>11480</v>
          </cell>
          <cell r="N10">
            <v>7240</v>
          </cell>
          <cell r="O10">
            <v>11450.75</v>
          </cell>
          <cell r="P10">
            <v>11186.5</v>
          </cell>
          <cell r="Q10">
            <v>11817.75</v>
          </cell>
          <cell r="R10">
            <v>13014</v>
          </cell>
          <cell r="S10">
            <v>13485.5</v>
          </cell>
          <cell r="T10">
            <v>128045.75</v>
          </cell>
          <cell r="U10">
            <v>10670.479166666666</v>
          </cell>
          <cell r="V10" t="str">
            <v>10K to 15K</v>
          </cell>
        </row>
        <row r="11">
          <cell r="E11">
            <v>26399</v>
          </cell>
          <cell r="F11" t="str">
            <v>&gt; 900</v>
          </cell>
          <cell r="G11">
            <v>12</v>
          </cell>
          <cell r="H11">
            <v>8090</v>
          </cell>
          <cell r="I11">
            <v>7332.5</v>
          </cell>
          <cell r="J11">
            <v>7368.5</v>
          </cell>
          <cell r="K11">
            <v>8547</v>
          </cell>
          <cell r="L11">
            <v>8301</v>
          </cell>
          <cell r="M11">
            <v>10161</v>
          </cell>
          <cell r="N11">
            <v>9920.75</v>
          </cell>
          <cell r="O11">
            <v>10943.25</v>
          </cell>
          <cell r="P11">
            <v>11730.25</v>
          </cell>
          <cell r="Q11">
            <v>13368.25</v>
          </cell>
          <cell r="R11">
            <v>15213.25</v>
          </cell>
          <cell r="S11">
            <v>15056.25</v>
          </cell>
          <cell r="T11">
            <v>126032</v>
          </cell>
          <cell r="U11">
            <v>10502.666666666666</v>
          </cell>
          <cell r="V11" t="str">
            <v>10K to 15K</v>
          </cell>
        </row>
        <row r="12">
          <cell r="E12">
            <v>26501</v>
          </cell>
          <cell r="F12" t="str">
            <v>&gt; 450</v>
          </cell>
          <cell r="G12">
            <v>12</v>
          </cell>
          <cell r="H12">
            <v>8578.75</v>
          </cell>
          <cell r="I12">
            <v>8146</v>
          </cell>
          <cell r="J12">
            <v>7028</v>
          </cell>
          <cell r="K12">
            <v>9788.75</v>
          </cell>
          <cell r="L12">
            <v>8936</v>
          </cell>
          <cell r="M12">
            <v>3557</v>
          </cell>
          <cell r="N12">
            <v>5941</v>
          </cell>
          <cell r="O12">
            <v>9428</v>
          </cell>
          <cell r="P12">
            <v>12051.75</v>
          </cell>
          <cell r="Q12">
            <v>17310</v>
          </cell>
          <cell r="R12">
            <v>16093</v>
          </cell>
          <cell r="S12">
            <v>12474</v>
          </cell>
          <cell r="T12">
            <v>119332.25</v>
          </cell>
          <cell r="U12">
            <v>9944.3541666666661</v>
          </cell>
          <cell r="V12" t="str">
            <v>5K to 10K</v>
          </cell>
        </row>
        <row r="13">
          <cell r="E13">
            <v>27154</v>
          </cell>
          <cell r="F13" t="str">
            <v>&gt; 600</v>
          </cell>
          <cell r="G13">
            <v>12</v>
          </cell>
          <cell r="H13">
            <v>5362</v>
          </cell>
          <cell r="I13">
            <v>7591.25</v>
          </cell>
          <cell r="J13">
            <v>5829.5</v>
          </cell>
          <cell r="K13">
            <v>7091</v>
          </cell>
          <cell r="L13">
            <v>8604</v>
          </cell>
          <cell r="M13">
            <v>11940</v>
          </cell>
          <cell r="N13">
            <v>12516.5</v>
          </cell>
          <cell r="O13">
            <v>8185.75</v>
          </cell>
          <cell r="P13">
            <v>10513.75</v>
          </cell>
          <cell r="Q13">
            <v>10795.5</v>
          </cell>
          <cell r="R13">
            <v>12759.5</v>
          </cell>
          <cell r="S13">
            <v>9107.75</v>
          </cell>
          <cell r="T13">
            <v>110296.5</v>
          </cell>
          <cell r="U13">
            <v>9191.375</v>
          </cell>
          <cell r="V13" t="str">
            <v>5K to 10K</v>
          </cell>
        </row>
        <row r="14">
          <cell r="E14">
            <v>23429</v>
          </cell>
          <cell r="F14" t="str">
            <v>&gt; 900</v>
          </cell>
          <cell r="G14">
            <v>12</v>
          </cell>
          <cell r="H14">
            <v>6393.75</v>
          </cell>
          <cell r="I14">
            <v>7584</v>
          </cell>
          <cell r="J14">
            <v>9298</v>
          </cell>
          <cell r="K14">
            <v>9769</v>
          </cell>
          <cell r="L14">
            <v>8829</v>
          </cell>
          <cell r="M14">
            <v>9840</v>
          </cell>
          <cell r="N14">
            <v>8029.5</v>
          </cell>
          <cell r="O14">
            <v>7735.5</v>
          </cell>
          <cell r="P14">
            <v>7104.25</v>
          </cell>
          <cell r="Q14">
            <v>9790</v>
          </cell>
          <cell r="R14">
            <v>13386.75</v>
          </cell>
          <cell r="S14">
            <v>8504.25</v>
          </cell>
          <cell r="T14">
            <v>106264</v>
          </cell>
          <cell r="U14">
            <v>8855.3333333333339</v>
          </cell>
          <cell r="V14" t="str">
            <v>5K to 10K</v>
          </cell>
        </row>
        <row r="15">
          <cell r="E15">
            <v>23178</v>
          </cell>
          <cell r="F15" t="str">
            <v>&gt; 600</v>
          </cell>
          <cell r="G15">
            <v>12</v>
          </cell>
          <cell r="H15">
            <v>7536</v>
          </cell>
          <cell r="I15">
            <v>8610</v>
          </cell>
          <cell r="J15">
            <v>7717.5</v>
          </cell>
          <cell r="K15">
            <v>9300.5</v>
          </cell>
          <cell r="L15">
            <v>8403</v>
          </cell>
          <cell r="M15">
            <v>10096</v>
          </cell>
          <cell r="N15">
            <v>6197</v>
          </cell>
          <cell r="O15">
            <v>7327.5</v>
          </cell>
          <cell r="P15">
            <v>7695.25</v>
          </cell>
          <cell r="Q15">
            <v>9577</v>
          </cell>
          <cell r="R15">
            <v>6385</v>
          </cell>
          <cell r="S15">
            <v>8845.75</v>
          </cell>
          <cell r="T15">
            <v>97690.5</v>
          </cell>
          <cell r="U15">
            <v>8140.875</v>
          </cell>
          <cell r="V15" t="str">
            <v>5K to 10K</v>
          </cell>
        </row>
        <row r="16">
          <cell r="E16">
            <v>23669</v>
          </cell>
          <cell r="F16" t="str">
            <v>&gt; 600</v>
          </cell>
          <cell r="G16">
            <v>12</v>
          </cell>
          <cell r="H16">
            <v>6742.5</v>
          </cell>
          <cell r="I16">
            <v>7762.5</v>
          </cell>
          <cell r="J16">
            <v>7306</v>
          </cell>
          <cell r="K16">
            <v>7026.5</v>
          </cell>
          <cell r="L16">
            <v>8443</v>
          </cell>
          <cell r="M16">
            <v>9954</v>
          </cell>
          <cell r="N16">
            <v>8138</v>
          </cell>
          <cell r="O16">
            <v>7693</v>
          </cell>
          <cell r="P16">
            <v>8106.25</v>
          </cell>
          <cell r="Q16">
            <v>8215.75</v>
          </cell>
          <cell r="R16">
            <v>8258</v>
          </cell>
          <cell r="S16">
            <v>7839.75</v>
          </cell>
          <cell r="T16">
            <v>95485.25</v>
          </cell>
          <cell r="U16">
            <v>7957.104166666667</v>
          </cell>
          <cell r="V16" t="str">
            <v>5K to 10K</v>
          </cell>
        </row>
        <row r="17">
          <cell r="E17">
            <v>22130</v>
          </cell>
          <cell r="F17" t="str">
            <v>&gt; 300</v>
          </cell>
          <cell r="G17">
            <v>12</v>
          </cell>
          <cell r="H17">
            <v>5990</v>
          </cell>
          <cell r="I17">
            <v>8792.75</v>
          </cell>
          <cell r="J17">
            <v>8867.75</v>
          </cell>
          <cell r="K17">
            <v>3571.25</v>
          </cell>
          <cell r="L17">
            <v>4401</v>
          </cell>
          <cell r="M17">
            <v>7398</v>
          </cell>
          <cell r="N17">
            <v>5246</v>
          </cell>
          <cell r="O17">
            <v>3245</v>
          </cell>
          <cell r="P17">
            <v>10821.5</v>
          </cell>
          <cell r="Q17">
            <v>9843.5</v>
          </cell>
          <cell r="R17">
            <v>15908.25</v>
          </cell>
          <cell r="S17">
            <v>11006.25</v>
          </cell>
          <cell r="T17">
            <v>95091.25</v>
          </cell>
          <cell r="U17">
            <v>7924.270833333333</v>
          </cell>
          <cell r="V17" t="str">
            <v>5K to 10K</v>
          </cell>
        </row>
        <row r="18">
          <cell r="E18">
            <v>24153</v>
          </cell>
          <cell r="F18" t="str">
            <v>&gt; 600</v>
          </cell>
          <cell r="G18">
            <v>12</v>
          </cell>
          <cell r="H18">
            <v>7222</v>
          </cell>
          <cell r="I18">
            <v>7196.25</v>
          </cell>
          <cell r="J18">
            <v>7331.5</v>
          </cell>
          <cell r="K18">
            <v>5757.5</v>
          </cell>
          <cell r="L18">
            <v>7956</v>
          </cell>
          <cell r="M18">
            <v>7801</v>
          </cell>
          <cell r="N18">
            <v>3436</v>
          </cell>
          <cell r="O18">
            <v>7263.5</v>
          </cell>
          <cell r="P18">
            <v>8523.75</v>
          </cell>
          <cell r="Q18">
            <v>9728</v>
          </cell>
          <cell r="R18">
            <v>11274.5</v>
          </cell>
          <cell r="S18">
            <v>10309.75</v>
          </cell>
          <cell r="T18">
            <v>93799.75</v>
          </cell>
          <cell r="U18">
            <v>7816.645833333333</v>
          </cell>
          <cell r="V18" t="str">
            <v>5K to 10K</v>
          </cell>
        </row>
        <row r="19">
          <cell r="E19">
            <v>23142</v>
          </cell>
          <cell r="F19" t="str">
            <v>&gt; 450</v>
          </cell>
          <cell r="G19">
            <v>12</v>
          </cell>
          <cell r="H19">
            <v>5804.25</v>
          </cell>
          <cell r="I19">
            <v>7644.75</v>
          </cell>
          <cell r="J19">
            <v>10781.75</v>
          </cell>
          <cell r="K19">
            <v>11802.5</v>
          </cell>
          <cell r="L19">
            <v>7271</v>
          </cell>
          <cell r="M19">
            <v>6496</v>
          </cell>
          <cell r="N19">
            <v>5537.5</v>
          </cell>
          <cell r="O19">
            <v>4203</v>
          </cell>
          <cell r="P19">
            <v>5492</v>
          </cell>
          <cell r="Q19">
            <v>6096</v>
          </cell>
          <cell r="R19">
            <v>9914.75</v>
          </cell>
          <cell r="S19">
            <v>7151</v>
          </cell>
          <cell r="T19">
            <v>88194.5</v>
          </cell>
          <cell r="U19">
            <v>7349.541666666667</v>
          </cell>
          <cell r="V19" t="str">
            <v>5K to 10K</v>
          </cell>
        </row>
        <row r="20">
          <cell r="E20">
            <v>27220</v>
          </cell>
          <cell r="F20" t="str">
            <v>&gt; 450</v>
          </cell>
          <cell r="G20">
            <v>12</v>
          </cell>
          <cell r="H20">
            <v>5275.25</v>
          </cell>
          <cell r="I20">
            <v>6743.75</v>
          </cell>
          <cell r="J20">
            <v>7642</v>
          </cell>
          <cell r="K20">
            <v>6396</v>
          </cell>
          <cell r="L20">
            <v>8058</v>
          </cell>
          <cell r="M20">
            <v>6445</v>
          </cell>
          <cell r="N20">
            <v>7188.75</v>
          </cell>
          <cell r="O20">
            <v>7353.5</v>
          </cell>
          <cell r="P20">
            <v>6026.5</v>
          </cell>
          <cell r="Q20">
            <v>6106.75</v>
          </cell>
          <cell r="R20">
            <v>9391.75</v>
          </cell>
          <cell r="S20">
            <v>7540.25</v>
          </cell>
          <cell r="T20">
            <v>84167.5</v>
          </cell>
          <cell r="U20">
            <v>7013.958333333333</v>
          </cell>
          <cell r="V20" t="str">
            <v>5K to 10K</v>
          </cell>
        </row>
        <row r="21">
          <cell r="E21">
            <v>22773</v>
          </cell>
          <cell r="F21" t="str">
            <v>&gt; 450</v>
          </cell>
          <cell r="G21">
            <v>12</v>
          </cell>
          <cell r="H21">
            <v>6297.25</v>
          </cell>
          <cell r="I21">
            <v>6240.25</v>
          </cell>
          <cell r="J21">
            <v>6535.25</v>
          </cell>
          <cell r="K21">
            <v>5196.75</v>
          </cell>
          <cell r="L21">
            <v>4631</v>
          </cell>
          <cell r="M21">
            <v>5390</v>
          </cell>
          <cell r="N21">
            <v>5104</v>
          </cell>
          <cell r="O21">
            <v>8263.5</v>
          </cell>
          <cell r="P21">
            <v>9778</v>
          </cell>
          <cell r="Q21">
            <v>9279.25</v>
          </cell>
          <cell r="R21">
            <v>7664</v>
          </cell>
          <cell r="S21">
            <v>8207.5</v>
          </cell>
          <cell r="T21">
            <v>82586.75</v>
          </cell>
          <cell r="U21">
            <v>6882.229166666667</v>
          </cell>
          <cell r="V21" t="str">
            <v>5K to 10K</v>
          </cell>
        </row>
        <row r="22">
          <cell r="E22">
            <v>23560</v>
          </cell>
          <cell r="F22" t="str">
            <v>&gt; 300</v>
          </cell>
          <cell r="G22">
            <v>12</v>
          </cell>
          <cell r="H22">
            <v>5223</v>
          </cell>
          <cell r="I22">
            <v>6536.25</v>
          </cell>
          <cell r="J22">
            <v>4947.5</v>
          </cell>
          <cell r="K22">
            <v>4982.75</v>
          </cell>
          <cell r="L22">
            <v>7377</v>
          </cell>
          <cell r="M22">
            <v>6884</v>
          </cell>
          <cell r="N22">
            <v>6090.5</v>
          </cell>
          <cell r="O22">
            <v>7589</v>
          </cell>
          <cell r="P22">
            <v>8138.5</v>
          </cell>
          <cell r="Q22">
            <v>7557.5</v>
          </cell>
          <cell r="R22">
            <v>7843</v>
          </cell>
          <cell r="S22">
            <v>7504.5</v>
          </cell>
          <cell r="T22">
            <v>80673.5</v>
          </cell>
          <cell r="U22">
            <v>6722.791666666667</v>
          </cell>
          <cell r="V22" t="str">
            <v>5K to 10K</v>
          </cell>
        </row>
        <row r="23">
          <cell r="E23">
            <v>23969</v>
          </cell>
          <cell r="F23" t="str">
            <v>&gt; 450</v>
          </cell>
          <cell r="G23">
            <v>12</v>
          </cell>
          <cell r="H23">
            <v>4786.5</v>
          </cell>
          <cell r="I23">
            <v>6166.5</v>
          </cell>
          <cell r="J23">
            <v>5709</v>
          </cell>
          <cell r="K23">
            <v>6520</v>
          </cell>
          <cell r="L23">
            <v>5338</v>
          </cell>
          <cell r="M23">
            <v>5958</v>
          </cell>
          <cell r="N23">
            <v>6790</v>
          </cell>
          <cell r="O23">
            <v>7502.5</v>
          </cell>
          <cell r="P23">
            <v>6198.75</v>
          </cell>
          <cell r="Q23">
            <v>6566</v>
          </cell>
          <cell r="R23">
            <v>7583</v>
          </cell>
          <cell r="S23">
            <v>10120.75</v>
          </cell>
          <cell r="T23">
            <v>79239</v>
          </cell>
          <cell r="U23">
            <v>6603.25</v>
          </cell>
          <cell r="V23" t="str">
            <v>5K to 10K</v>
          </cell>
        </row>
        <row r="24">
          <cell r="E24">
            <v>26084</v>
          </cell>
          <cell r="F24" t="str">
            <v>&gt; 450</v>
          </cell>
          <cell r="G24">
            <v>12</v>
          </cell>
          <cell r="H24">
            <v>3018.5</v>
          </cell>
          <cell r="I24">
            <v>3916.75</v>
          </cell>
          <cell r="J24">
            <v>4137.5</v>
          </cell>
          <cell r="K24">
            <v>5179.75</v>
          </cell>
          <cell r="L24">
            <v>4244</v>
          </cell>
          <cell r="M24">
            <v>5928</v>
          </cell>
          <cell r="N24">
            <v>4990.75</v>
          </cell>
          <cell r="O24">
            <v>5471.5</v>
          </cell>
          <cell r="P24">
            <v>8038.75</v>
          </cell>
          <cell r="Q24">
            <v>7775</v>
          </cell>
          <cell r="R24">
            <v>12442</v>
          </cell>
          <cell r="S24">
            <v>11342.25</v>
          </cell>
          <cell r="T24">
            <v>76484.75</v>
          </cell>
          <cell r="U24">
            <v>6373.729166666667</v>
          </cell>
          <cell r="V24" t="str">
            <v>5K to 10K</v>
          </cell>
        </row>
        <row r="25">
          <cell r="E25">
            <v>22404</v>
          </cell>
          <cell r="F25" t="str">
            <v>&gt; 600</v>
          </cell>
          <cell r="G25">
            <v>12</v>
          </cell>
          <cell r="H25">
            <v>4410.5</v>
          </cell>
          <cell r="I25">
            <v>6187.25</v>
          </cell>
          <cell r="J25">
            <v>6156</v>
          </cell>
          <cell r="K25">
            <v>6571</v>
          </cell>
          <cell r="L25">
            <v>5056</v>
          </cell>
          <cell r="M25">
            <v>6823</v>
          </cell>
          <cell r="N25">
            <v>5695</v>
          </cell>
          <cell r="O25">
            <v>4822.75</v>
          </cell>
          <cell r="P25">
            <v>5659.75</v>
          </cell>
          <cell r="Q25">
            <v>5472</v>
          </cell>
          <cell r="R25">
            <v>7983</v>
          </cell>
          <cell r="S25">
            <v>6278.75</v>
          </cell>
          <cell r="T25">
            <v>71115</v>
          </cell>
          <cell r="U25">
            <v>5926.25</v>
          </cell>
          <cell r="V25" t="str">
            <v>5K to 10K</v>
          </cell>
        </row>
        <row r="26">
          <cell r="E26">
            <v>28176</v>
          </cell>
          <cell r="F26" t="str">
            <v>&gt; 450</v>
          </cell>
          <cell r="G26">
            <v>7</v>
          </cell>
          <cell r="H26"/>
          <cell r="I26"/>
          <cell r="J26"/>
          <cell r="K26"/>
          <cell r="L26"/>
          <cell r="M26">
            <v>9352</v>
          </cell>
          <cell r="N26">
            <v>8991</v>
          </cell>
          <cell r="O26">
            <v>10545</v>
          </cell>
          <cell r="P26">
            <v>10370</v>
          </cell>
          <cell r="Q26">
            <v>9085.75</v>
          </cell>
          <cell r="R26">
            <v>7975.5</v>
          </cell>
          <cell r="S26">
            <v>14748.5</v>
          </cell>
          <cell r="T26">
            <v>71067.75</v>
          </cell>
          <cell r="U26">
            <v>10152.535714285714</v>
          </cell>
          <cell r="V26" t="str">
            <v>10K to 15K</v>
          </cell>
        </row>
        <row r="27">
          <cell r="E27">
            <v>27630</v>
          </cell>
          <cell r="F27" t="str">
            <v>&gt; 450</v>
          </cell>
          <cell r="G27">
            <v>12</v>
          </cell>
          <cell r="H27">
            <v>15</v>
          </cell>
          <cell r="I27">
            <v>4000.5</v>
          </cell>
          <cell r="J27">
            <v>4803</v>
          </cell>
          <cell r="K27">
            <v>6638.75</v>
          </cell>
          <cell r="L27">
            <v>4903</v>
          </cell>
          <cell r="M27">
            <v>5060</v>
          </cell>
          <cell r="N27">
            <v>5847.5</v>
          </cell>
          <cell r="O27">
            <v>5829</v>
          </cell>
          <cell r="P27">
            <v>6721</v>
          </cell>
          <cell r="Q27">
            <v>8341</v>
          </cell>
          <cell r="R27">
            <v>8076.5</v>
          </cell>
          <cell r="S27">
            <v>10039.75</v>
          </cell>
          <cell r="T27">
            <v>70275</v>
          </cell>
          <cell r="U27">
            <v>5856.25</v>
          </cell>
          <cell r="V27" t="str">
            <v>5K to 10K</v>
          </cell>
        </row>
        <row r="28">
          <cell r="E28">
            <v>20322</v>
          </cell>
          <cell r="F28" t="str">
            <v>&gt; 450</v>
          </cell>
          <cell r="G28">
            <v>12</v>
          </cell>
          <cell r="H28">
            <v>5634</v>
          </cell>
          <cell r="I28">
            <v>6730.75</v>
          </cell>
          <cell r="J28">
            <v>6617</v>
          </cell>
          <cell r="K28">
            <v>5091.5</v>
          </cell>
          <cell r="L28">
            <v>5873</v>
          </cell>
          <cell r="M28">
            <v>6496</v>
          </cell>
          <cell r="N28">
            <v>2171</v>
          </cell>
          <cell r="O28">
            <v>5166</v>
          </cell>
          <cell r="P28">
            <v>6495</v>
          </cell>
          <cell r="Q28">
            <v>5539.75</v>
          </cell>
          <cell r="R28">
            <v>7767</v>
          </cell>
          <cell r="S28">
            <v>5632.5</v>
          </cell>
          <cell r="T28">
            <v>69213.5</v>
          </cell>
          <cell r="U28">
            <v>5767.791666666667</v>
          </cell>
          <cell r="V28" t="str">
            <v>5K to 10K</v>
          </cell>
        </row>
        <row r="29">
          <cell r="E29">
            <v>22128</v>
          </cell>
          <cell r="F29" t="str">
            <v>&gt; 450</v>
          </cell>
          <cell r="G29">
            <v>12</v>
          </cell>
          <cell r="H29">
            <v>4243</v>
          </cell>
          <cell r="I29">
            <v>5048</v>
          </cell>
          <cell r="J29">
            <v>4940</v>
          </cell>
          <cell r="K29">
            <v>4919.75</v>
          </cell>
          <cell r="L29">
            <v>5154</v>
          </cell>
          <cell r="M29">
            <v>3451</v>
          </cell>
          <cell r="N29">
            <v>4466.5</v>
          </cell>
          <cell r="O29">
            <v>4835.5</v>
          </cell>
          <cell r="P29">
            <v>6259</v>
          </cell>
          <cell r="Q29">
            <v>9457</v>
          </cell>
          <cell r="R29">
            <v>8208</v>
          </cell>
          <cell r="S29">
            <v>7473.25</v>
          </cell>
          <cell r="T29">
            <v>68455</v>
          </cell>
          <cell r="U29">
            <v>5704.583333333333</v>
          </cell>
          <cell r="V29" t="str">
            <v>5K to 10K</v>
          </cell>
        </row>
        <row r="30">
          <cell r="E30">
            <v>21926</v>
          </cell>
          <cell r="F30" t="str">
            <v>&gt; 150</v>
          </cell>
          <cell r="G30">
            <v>12</v>
          </cell>
          <cell r="H30">
            <v>3401</v>
          </cell>
          <cell r="I30">
            <v>5040.5</v>
          </cell>
          <cell r="J30">
            <v>5387</v>
          </cell>
          <cell r="K30">
            <v>7732.25</v>
          </cell>
          <cell r="L30">
            <v>7271</v>
          </cell>
          <cell r="M30">
            <v>5956</v>
          </cell>
          <cell r="N30">
            <v>5540</v>
          </cell>
          <cell r="O30">
            <v>6529.5</v>
          </cell>
          <cell r="P30">
            <v>6718.5</v>
          </cell>
          <cell r="Q30">
            <v>6852.5</v>
          </cell>
          <cell r="R30">
            <v>3792</v>
          </cell>
          <cell r="S30">
            <v>4036</v>
          </cell>
          <cell r="T30">
            <v>68256.25</v>
          </cell>
          <cell r="U30">
            <v>5688.020833333333</v>
          </cell>
          <cell r="V30" t="str">
            <v>5K to 10K</v>
          </cell>
        </row>
        <row r="31">
          <cell r="E31">
            <v>26588</v>
          </cell>
          <cell r="F31" t="str">
            <v>&gt; 300</v>
          </cell>
          <cell r="G31">
            <v>12</v>
          </cell>
          <cell r="H31">
            <v>2795.5</v>
          </cell>
          <cell r="I31">
            <v>3438</v>
          </cell>
          <cell r="J31">
            <v>4496.5</v>
          </cell>
          <cell r="K31">
            <v>4621.25</v>
          </cell>
          <cell r="L31">
            <v>6223</v>
          </cell>
          <cell r="M31">
            <v>6226</v>
          </cell>
          <cell r="N31">
            <v>6499.5</v>
          </cell>
          <cell r="O31">
            <v>5684.75</v>
          </cell>
          <cell r="P31">
            <v>6095</v>
          </cell>
          <cell r="Q31">
            <v>5664</v>
          </cell>
          <cell r="R31">
            <v>6674</v>
          </cell>
          <cell r="S31">
            <v>9306</v>
          </cell>
          <cell r="T31">
            <v>67723.5</v>
          </cell>
          <cell r="U31">
            <v>5643.625</v>
          </cell>
          <cell r="V31" t="str">
            <v>5K to 10K</v>
          </cell>
        </row>
        <row r="32">
          <cell r="E32">
            <v>23565</v>
          </cell>
          <cell r="F32" t="str">
            <v>&gt; 150</v>
          </cell>
          <cell r="G32">
            <v>12</v>
          </cell>
          <cell r="H32">
            <v>3447</v>
          </cell>
          <cell r="I32">
            <v>5619.75</v>
          </cell>
          <cell r="J32">
            <v>4295</v>
          </cell>
          <cell r="K32">
            <v>5068.5</v>
          </cell>
          <cell r="L32">
            <v>5510</v>
          </cell>
          <cell r="M32">
            <v>5631</v>
          </cell>
          <cell r="N32">
            <v>6099.75</v>
          </cell>
          <cell r="O32">
            <v>5710</v>
          </cell>
          <cell r="P32">
            <v>5647</v>
          </cell>
          <cell r="Q32">
            <v>6804</v>
          </cell>
          <cell r="R32">
            <v>6962</v>
          </cell>
          <cell r="S32">
            <v>6684.75</v>
          </cell>
          <cell r="T32">
            <v>67478.75</v>
          </cell>
          <cell r="U32">
            <v>5623.229166666667</v>
          </cell>
          <cell r="V32" t="str">
            <v>5K to 10K</v>
          </cell>
        </row>
        <row r="33">
          <cell r="E33">
            <v>22365</v>
          </cell>
          <cell r="F33" t="str">
            <v>&gt; 450</v>
          </cell>
          <cell r="G33">
            <v>12</v>
          </cell>
          <cell r="H33">
            <v>3583.5</v>
          </cell>
          <cell r="I33">
            <v>4012.5</v>
          </cell>
          <cell r="J33">
            <v>6186.5</v>
          </cell>
          <cell r="K33">
            <v>4806.25</v>
          </cell>
          <cell r="L33">
            <v>5216</v>
          </cell>
          <cell r="M33">
            <v>4536</v>
          </cell>
          <cell r="N33">
            <v>5691.25</v>
          </cell>
          <cell r="O33">
            <v>6125</v>
          </cell>
          <cell r="P33">
            <v>5581.5</v>
          </cell>
          <cell r="Q33">
            <v>7040.75</v>
          </cell>
          <cell r="R33">
            <v>5345.75</v>
          </cell>
          <cell r="S33">
            <v>6485.5</v>
          </cell>
          <cell r="T33">
            <v>64610.5</v>
          </cell>
          <cell r="U33">
            <v>5384.208333333333</v>
          </cell>
          <cell r="V33" t="str">
            <v>5K to 10K</v>
          </cell>
        </row>
        <row r="34">
          <cell r="E34">
            <v>23432</v>
          </cell>
          <cell r="F34" t="str">
            <v>&gt; 450</v>
          </cell>
          <cell r="G34">
            <v>12</v>
          </cell>
          <cell r="H34">
            <v>4354.5</v>
          </cell>
          <cell r="I34">
            <v>4857</v>
          </cell>
          <cell r="J34">
            <v>5429</v>
          </cell>
          <cell r="K34">
            <v>5768.75</v>
          </cell>
          <cell r="L34">
            <v>4336</v>
          </cell>
          <cell r="M34">
            <v>5193</v>
          </cell>
          <cell r="N34">
            <v>4252.75</v>
          </cell>
          <cell r="O34">
            <v>4513.25</v>
          </cell>
          <cell r="P34">
            <v>4593.75</v>
          </cell>
          <cell r="Q34">
            <v>5282</v>
          </cell>
          <cell r="R34">
            <v>5939.5</v>
          </cell>
          <cell r="S34">
            <v>6030.5</v>
          </cell>
          <cell r="T34">
            <v>60550</v>
          </cell>
          <cell r="U34">
            <v>5045.833333333333</v>
          </cell>
          <cell r="V34" t="str">
            <v>5K to 10K</v>
          </cell>
        </row>
        <row r="35">
          <cell r="E35">
            <v>26015</v>
          </cell>
          <cell r="F35" t="str">
            <v>&gt; 300</v>
          </cell>
          <cell r="G35">
            <v>12</v>
          </cell>
          <cell r="H35">
            <v>4209.75</v>
          </cell>
          <cell r="I35">
            <v>4676</v>
          </cell>
          <cell r="J35">
            <v>4368.75</v>
          </cell>
          <cell r="K35">
            <v>5362.5</v>
          </cell>
          <cell r="L35">
            <v>4918</v>
          </cell>
          <cell r="M35">
            <v>5439</v>
          </cell>
          <cell r="N35">
            <v>5023.75</v>
          </cell>
          <cell r="O35">
            <v>5293</v>
          </cell>
          <cell r="P35">
            <v>4994.25</v>
          </cell>
          <cell r="Q35">
            <v>4799</v>
          </cell>
          <cell r="R35">
            <v>5367.75</v>
          </cell>
          <cell r="S35">
            <v>5152.75</v>
          </cell>
          <cell r="T35">
            <v>59604.5</v>
          </cell>
          <cell r="U35">
            <v>4967.041666666667</v>
          </cell>
          <cell r="V35" t="str">
            <v>1K to 5K</v>
          </cell>
        </row>
        <row r="36">
          <cell r="E36">
            <v>26403</v>
          </cell>
          <cell r="F36" t="str">
            <v>&gt; 300</v>
          </cell>
          <cell r="G36">
            <v>12</v>
          </cell>
          <cell r="H36">
            <v>4300</v>
          </cell>
          <cell r="I36">
            <v>6532.5</v>
          </cell>
          <cell r="J36">
            <v>5459.5</v>
          </cell>
          <cell r="K36">
            <v>4775.75</v>
          </cell>
          <cell r="L36">
            <v>5026</v>
          </cell>
          <cell r="M36">
            <v>4279</v>
          </cell>
          <cell r="N36">
            <v>4710.5</v>
          </cell>
          <cell r="O36">
            <v>4847.5</v>
          </cell>
          <cell r="P36">
            <v>5137</v>
          </cell>
          <cell r="Q36">
            <v>4460</v>
          </cell>
          <cell r="R36">
            <v>5854</v>
          </cell>
          <cell r="S36">
            <v>3923</v>
          </cell>
          <cell r="T36">
            <v>59304.75</v>
          </cell>
          <cell r="U36">
            <v>4942.0625</v>
          </cell>
          <cell r="V36" t="str">
            <v>1K to 5K</v>
          </cell>
        </row>
        <row r="37">
          <cell r="E37">
            <v>27028</v>
          </cell>
          <cell r="F37" t="str">
            <v>&gt; 300</v>
          </cell>
          <cell r="G37">
            <v>12</v>
          </cell>
          <cell r="H37">
            <v>2203.25</v>
          </cell>
          <cell r="I37">
            <v>2659.5</v>
          </cell>
          <cell r="J37">
            <v>2206.75</v>
          </cell>
          <cell r="K37">
            <v>2640</v>
          </cell>
          <cell r="L37">
            <v>3232</v>
          </cell>
          <cell r="M37">
            <v>3850</v>
          </cell>
          <cell r="N37">
            <v>3983</v>
          </cell>
          <cell r="O37">
            <v>4245.25</v>
          </cell>
          <cell r="P37">
            <v>10210.75</v>
          </cell>
          <cell r="Q37">
            <v>10688.75</v>
          </cell>
          <cell r="R37">
            <v>7487.5</v>
          </cell>
          <cell r="S37">
            <v>5694.75</v>
          </cell>
          <cell r="T37">
            <v>59101.5</v>
          </cell>
          <cell r="U37">
            <v>4925.125</v>
          </cell>
          <cell r="V37" t="str">
            <v>1K to 5K</v>
          </cell>
        </row>
        <row r="38">
          <cell r="E38">
            <v>27629</v>
          </cell>
          <cell r="F38" t="str">
            <v>&gt; 300</v>
          </cell>
          <cell r="G38">
            <v>12</v>
          </cell>
          <cell r="H38">
            <v>507</v>
          </cell>
          <cell r="I38">
            <v>1218</v>
          </cell>
          <cell r="J38">
            <v>2541</v>
          </cell>
          <cell r="K38">
            <v>3223</v>
          </cell>
          <cell r="L38">
            <v>3787</v>
          </cell>
          <cell r="M38">
            <v>4802</v>
          </cell>
          <cell r="N38">
            <v>5817</v>
          </cell>
          <cell r="O38">
            <v>5554</v>
          </cell>
          <cell r="P38">
            <v>7499</v>
          </cell>
          <cell r="Q38">
            <v>7407.25</v>
          </cell>
          <cell r="R38">
            <v>7660.75</v>
          </cell>
          <cell r="S38">
            <v>8389.5</v>
          </cell>
          <cell r="T38">
            <v>58405.5</v>
          </cell>
          <cell r="U38">
            <v>4867.125</v>
          </cell>
          <cell r="V38" t="str">
            <v>1K to 5K</v>
          </cell>
        </row>
        <row r="39">
          <cell r="E39">
            <v>27792</v>
          </cell>
          <cell r="F39" t="str">
            <v>&gt; 300</v>
          </cell>
          <cell r="G39">
            <v>11</v>
          </cell>
          <cell r="H39"/>
          <cell r="I39">
            <v>838</v>
          </cell>
          <cell r="J39">
            <v>5728.25</v>
          </cell>
          <cell r="K39">
            <v>6589.75</v>
          </cell>
          <cell r="L39">
            <v>6032</v>
          </cell>
          <cell r="M39">
            <v>4333</v>
          </cell>
          <cell r="N39">
            <v>4804.5</v>
          </cell>
          <cell r="O39">
            <v>4130</v>
          </cell>
          <cell r="P39">
            <v>7231</v>
          </cell>
          <cell r="Q39">
            <v>6794.25</v>
          </cell>
          <cell r="R39">
            <v>5958</v>
          </cell>
          <cell r="S39">
            <v>5945</v>
          </cell>
          <cell r="T39">
            <v>58383.75</v>
          </cell>
          <cell r="U39">
            <v>5307.613636363636</v>
          </cell>
          <cell r="V39" t="str">
            <v>5K to 10K</v>
          </cell>
        </row>
        <row r="40">
          <cell r="E40">
            <v>23433</v>
          </cell>
          <cell r="F40" t="str">
            <v>&gt; 300</v>
          </cell>
          <cell r="G40">
            <v>12</v>
          </cell>
          <cell r="H40">
            <v>5428.5</v>
          </cell>
          <cell r="I40">
            <v>5198</v>
          </cell>
          <cell r="J40">
            <v>5168</v>
          </cell>
          <cell r="K40">
            <v>3731</v>
          </cell>
          <cell r="L40">
            <v>3424</v>
          </cell>
          <cell r="M40">
            <v>3662</v>
          </cell>
          <cell r="N40">
            <v>2871.5</v>
          </cell>
          <cell r="O40">
            <v>3279.25</v>
          </cell>
          <cell r="P40">
            <v>3846.75</v>
          </cell>
          <cell r="Q40">
            <v>6127</v>
          </cell>
          <cell r="R40">
            <v>5441</v>
          </cell>
          <cell r="S40">
            <v>5249</v>
          </cell>
          <cell r="T40">
            <v>53426</v>
          </cell>
          <cell r="U40">
            <v>4452.166666666667</v>
          </cell>
          <cell r="V40" t="str">
            <v>1K to 5K</v>
          </cell>
        </row>
        <row r="41">
          <cell r="E41">
            <v>24495</v>
          </cell>
          <cell r="F41" t="str">
            <v>&gt; 300</v>
          </cell>
          <cell r="G41">
            <v>12</v>
          </cell>
          <cell r="H41">
            <v>2725.75</v>
          </cell>
          <cell r="I41">
            <v>3839.75</v>
          </cell>
          <cell r="J41">
            <v>3870</v>
          </cell>
          <cell r="K41">
            <v>4452.75</v>
          </cell>
          <cell r="L41">
            <v>3741</v>
          </cell>
          <cell r="M41">
            <v>4292</v>
          </cell>
          <cell r="N41">
            <v>4704.25</v>
          </cell>
          <cell r="O41">
            <v>3840.75</v>
          </cell>
          <cell r="P41">
            <v>4472.25</v>
          </cell>
          <cell r="Q41">
            <v>4223</v>
          </cell>
          <cell r="R41">
            <v>4950</v>
          </cell>
          <cell r="S41">
            <v>4332.75</v>
          </cell>
          <cell r="T41">
            <v>49444.25</v>
          </cell>
          <cell r="U41">
            <v>4120.354166666667</v>
          </cell>
          <cell r="V41" t="str">
            <v>1K to 5K</v>
          </cell>
        </row>
        <row r="42">
          <cell r="E42">
            <v>26595</v>
          </cell>
          <cell r="F42" t="str">
            <v>&gt; 300</v>
          </cell>
          <cell r="G42">
            <v>12</v>
          </cell>
          <cell r="H42">
            <v>24</v>
          </cell>
          <cell r="I42">
            <v>318</v>
          </cell>
          <cell r="J42">
            <v>549</v>
          </cell>
          <cell r="K42">
            <v>2421</v>
          </cell>
          <cell r="L42">
            <v>1444</v>
          </cell>
          <cell r="M42">
            <v>1152</v>
          </cell>
          <cell r="N42">
            <v>2721</v>
          </cell>
          <cell r="O42">
            <v>6414.25</v>
          </cell>
          <cell r="P42">
            <v>6011.75</v>
          </cell>
          <cell r="Q42">
            <v>9317.5</v>
          </cell>
          <cell r="R42">
            <v>8902.75</v>
          </cell>
          <cell r="S42">
            <v>10013.75</v>
          </cell>
          <cell r="T42">
            <v>49289</v>
          </cell>
          <cell r="U42">
            <v>4107.416666666667</v>
          </cell>
          <cell r="V42" t="str">
            <v>1K to 5K</v>
          </cell>
        </row>
        <row r="43">
          <cell r="E43">
            <v>21091</v>
          </cell>
          <cell r="F43" t="str">
            <v>&gt; 150</v>
          </cell>
          <cell r="G43">
            <v>12</v>
          </cell>
          <cell r="H43">
            <v>2798</v>
          </cell>
          <cell r="I43">
            <v>4972.75</v>
          </cell>
          <cell r="J43">
            <v>4487</v>
          </cell>
          <cell r="K43">
            <v>5114</v>
          </cell>
          <cell r="L43">
            <v>3025</v>
          </cell>
          <cell r="M43">
            <v>2490</v>
          </cell>
          <cell r="N43">
            <v>1647</v>
          </cell>
          <cell r="O43">
            <v>1774</v>
          </cell>
          <cell r="P43">
            <v>2439.5</v>
          </cell>
          <cell r="Q43">
            <v>3684</v>
          </cell>
          <cell r="R43">
            <v>8999.25</v>
          </cell>
          <cell r="S43">
            <v>4923</v>
          </cell>
          <cell r="T43">
            <v>46353.5</v>
          </cell>
          <cell r="U43">
            <v>3862.7916666666665</v>
          </cell>
          <cell r="V43" t="str">
            <v>1K to 5K</v>
          </cell>
        </row>
        <row r="44">
          <cell r="E44">
            <v>26810</v>
          </cell>
          <cell r="F44" t="str">
            <v>&gt; 300</v>
          </cell>
          <cell r="G44">
            <v>12</v>
          </cell>
          <cell r="H44">
            <v>3117.5</v>
          </cell>
          <cell r="I44">
            <v>4179.25</v>
          </cell>
          <cell r="J44">
            <v>4621</v>
          </cell>
          <cell r="K44">
            <v>3177</v>
          </cell>
          <cell r="L44">
            <v>4360</v>
          </cell>
          <cell r="M44">
            <v>3574</v>
          </cell>
          <cell r="N44">
            <v>3623</v>
          </cell>
          <cell r="O44">
            <v>3026.5</v>
          </cell>
          <cell r="P44">
            <v>2319.75</v>
          </cell>
          <cell r="Q44">
            <v>4097</v>
          </cell>
          <cell r="R44">
            <v>4713.5</v>
          </cell>
          <cell r="S44">
            <v>5473.75</v>
          </cell>
          <cell r="T44">
            <v>46282.25</v>
          </cell>
          <cell r="U44">
            <v>3856.8541666666665</v>
          </cell>
          <cell r="V44" t="str">
            <v>1K to 5K</v>
          </cell>
        </row>
        <row r="45">
          <cell r="E45">
            <v>22366</v>
          </cell>
          <cell r="F45" t="str">
            <v>&gt; 300</v>
          </cell>
          <cell r="G45">
            <v>12</v>
          </cell>
          <cell r="H45">
            <v>2684.5</v>
          </cell>
          <cell r="I45">
            <v>2937.5</v>
          </cell>
          <cell r="J45">
            <v>3054.5</v>
          </cell>
          <cell r="K45">
            <v>3206.25</v>
          </cell>
          <cell r="L45">
            <v>3071</v>
          </cell>
          <cell r="M45">
            <v>3165</v>
          </cell>
          <cell r="N45">
            <v>3280</v>
          </cell>
          <cell r="O45">
            <v>3571.75</v>
          </cell>
          <cell r="P45">
            <v>4012.75</v>
          </cell>
          <cell r="Q45">
            <v>3844.75</v>
          </cell>
          <cell r="R45">
            <v>4680.5</v>
          </cell>
          <cell r="S45">
            <v>4372.5</v>
          </cell>
          <cell r="T45">
            <v>41881</v>
          </cell>
          <cell r="U45">
            <v>3490.0833333333335</v>
          </cell>
          <cell r="V45" t="str">
            <v>1K to 5K</v>
          </cell>
        </row>
        <row r="46">
          <cell r="E46">
            <v>27219</v>
          </cell>
          <cell r="F46" t="str">
            <v>&gt; 300</v>
          </cell>
          <cell r="G46">
            <v>12</v>
          </cell>
          <cell r="H46">
            <v>2679.5</v>
          </cell>
          <cell r="I46">
            <v>3260.25</v>
          </cell>
          <cell r="J46">
            <v>3855.25</v>
          </cell>
          <cell r="K46">
            <v>2323.25</v>
          </cell>
          <cell r="L46">
            <v>4058</v>
          </cell>
          <cell r="M46">
            <v>3413</v>
          </cell>
          <cell r="N46">
            <v>3522.75</v>
          </cell>
          <cell r="O46">
            <v>2082.75</v>
          </cell>
          <cell r="P46">
            <v>3495.75</v>
          </cell>
          <cell r="Q46">
            <v>3732.25</v>
          </cell>
          <cell r="R46">
            <v>3630.5</v>
          </cell>
          <cell r="S46">
            <v>5486.25</v>
          </cell>
          <cell r="T46">
            <v>41539.5</v>
          </cell>
          <cell r="U46">
            <v>3461.625</v>
          </cell>
          <cell r="V46" t="str">
            <v>1K to 5K</v>
          </cell>
        </row>
        <row r="47">
          <cell r="E47">
            <v>27372</v>
          </cell>
          <cell r="F47" t="str">
            <v>&gt; 300</v>
          </cell>
          <cell r="G47">
            <v>12</v>
          </cell>
          <cell r="H47">
            <v>2522</v>
          </cell>
          <cell r="I47">
            <v>2803.5</v>
          </cell>
          <cell r="J47">
            <v>4646.75</v>
          </cell>
          <cell r="K47">
            <v>4780.25</v>
          </cell>
          <cell r="L47">
            <v>3610</v>
          </cell>
          <cell r="M47">
            <v>3158</v>
          </cell>
          <cell r="N47">
            <v>2361</v>
          </cell>
          <cell r="O47">
            <v>3234.75</v>
          </cell>
          <cell r="P47">
            <v>2871.75</v>
          </cell>
          <cell r="Q47">
            <v>3768.25</v>
          </cell>
          <cell r="R47">
            <v>3161</v>
          </cell>
          <cell r="S47">
            <v>3202</v>
          </cell>
          <cell r="T47">
            <v>40119.25</v>
          </cell>
          <cell r="U47">
            <v>3343.2708333333335</v>
          </cell>
          <cell r="V47" t="str">
            <v>1K to 5K</v>
          </cell>
        </row>
        <row r="48">
          <cell r="E48">
            <v>22452</v>
          </cell>
          <cell r="F48" t="str">
            <v>&gt; 300</v>
          </cell>
          <cell r="G48">
            <v>12</v>
          </cell>
          <cell r="H48">
            <v>2875</v>
          </cell>
          <cell r="I48">
            <v>3537</v>
          </cell>
          <cell r="J48">
            <v>2944.75</v>
          </cell>
          <cell r="K48">
            <v>3478.5</v>
          </cell>
          <cell r="L48">
            <v>2455</v>
          </cell>
          <cell r="M48">
            <v>3056</v>
          </cell>
          <cell r="N48">
            <v>3131.5</v>
          </cell>
          <cell r="O48">
            <v>3240</v>
          </cell>
          <cell r="P48">
            <v>3677</v>
          </cell>
          <cell r="Q48">
            <v>2765</v>
          </cell>
          <cell r="R48">
            <v>3930</v>
          </cell>
          <cell r="S48">
            <v>3612</v>
          </cell>
          <cell r="T48">
            <v>38701.75</v>
          </cell>
          <cell r="U48">
            <v>3225.1458333333335</v>
          </cell>
          <cell r="V48" t="str">
            <v>1K to 5K</v>
          </cell>
        </row>
        <row r="49">
          <cell r="E49">
            <v>28085</v>
          </cell>
          <cell r="F49" t="str">
            <v>&gt; 150</v>
          </cell>
          <cell r="G49">
            <v>8</v>
          </cell>
          <cell r="H49"/>
          <cell r="I49"/>
          <cell r="J49"/>
          <cell r="K49"/>
          <cell r="L49">
            <v>2364</v>
          </cell>
          <cell r="M49">
            <v>2292</v>
          </cell>
          <cell r="N49">
            <v>2576.5</v>
          </cell>
          <cell r="O49">
            <v>3725.75</v>
          </cell>
          <cell r="P49">
            <v>2431</v>
          </cell>
          <cell r="Q49">
            <v>4075.5</v>
          </cell>
          <cell r="R49">
            <v>8713</v>
          </cell>
          <cell r="S49">
            <v>6883.75</v>
          </cell>
          <cell r="T49">
            <v>33061.5</v>
          </cell>
          <cell r="U49">
            <v>4132.6875</v>
          </cell>
          <cell r="V49" t="str">
            <v>1K to 5K</v>
          </cell>
        </row>
        <row r="50">
          <cell r="E50">
            <v>22401</v>
          </cell>
          <cell r="F50" t="str">
            <v>&gt; 150</v>
          </cell>
          <cell r="G50">
            <v>12</v>
          </cell>
          <cell r="H50">
            <v>2498.5</v>
          </cell>
          <cell r="I50">
            <v>4144</v>
          </cell>
          <cell r="J50">
            <v>2277.75</v>
          </cell>
          <cell r="K50">
            <v>3091</v>
          </cell>
          <cell r="L50">
            <v>2073</v>
          </cell>
          <cell r="M50">
            <v>2653</v>
          </cell>
          <cell r="N50">
            <v>942</v>
          </cell>
          <cell r="O50">
            <v>1688.75</v>
          </cell>
          <cell r="P50">
            <v>2401</v>
          </cell>
          <cell r="Q50">
            <v>2546.5</v>
          </cell>
          <cell r="R50">
            <v>3062.25</v>
          </cell>
          <cell r="S50">
            <v>1877.75</v>
          </cell>
          <cell r="T50">
            <v>29255.5</v>
          </cell>
          <cell r="U50">
            <v>2437.9583333333335</v>
          </cell>
          <cell r="V50" t="str">
            <v>1K to 5K</v>
          </cell>
        </row>
        <row r="51">
          <cell r="E51">
            <v>28170</v>
          </cell>
          <cell r="F51" t="str">
            <v>&gt; 150</v>
          </cell>
          <cell r="G51">
            <v>8</v>
          </cell>
          <cell r="H51"/>
          <cell r="I51"/>
          <cell r="J51"/>
          <cell r="K51"/>
          <cell r="L51">
            <v>1688</v>
          </cell>
          <cell r="M51">
            <v>4376</v>
          </cell>
          <cell r="N51">
            <v>2975.5</v>
          </cell>
          <cell r="O51">
            <v>3213.5</v>
          </cell>
          <cell r="P51">
            <v>3215</v>
          </cell>
          <cell r="Q51">
            <v>3553.75</v>
          </cell>
          <cell r="R51">
            <v>5454</v>
          </cell>
          <cell r="S51">
            <v>4489</v>
          </cell>
          <cell r="T51">
            <v>28964.75</v>
          </cell>
          <cell r="U51">
            <v>3620.59375</v>
          </cell>
          <cell r="V51" t="str">
            <v>1K to 5K</v>
          </cell>
        </row>
        <row r="52">
          <cell r="E52">
            <v>28485</v>
          </cell>
          <cell r="F52" t="str">
            <v>&gt; 150</v>
          </cell>
          <cell r="G52">
            <v>6</v>
          </cell>
          <cell r="H52"/>
          <cell r="I52"/>
          <cell r="J52"/>
          <cell r="K52"/>
          <cell r="L52"/>
          <cell r="M52"/>
          <cell r="N52">
            <v>1492</v>
          </cell>
          <cell r="O52">
            <v>3567.5</v>
          </cell>
          <cell r="P52">
            <v>6387</v>
          </cell>
          <cell r="Q52">
            <v>3886.25</v>
          </cell>
          <cell r="R52">
            <v>4869.5</v>
          </cell>
          <cell r="S52">
            <v>7318.5</v>
          </cell>
          <cell r="T52">
            <v>27520.75</v>
          </cell>
          <cell r="U52">
            <v>4586.791666666667</v>
          </cell>
          <cell r="V52" t="str">
            <v>1K to 5K</v>
          </cell>
        </row>
        <row r="53">
          <cell r="E53">
            <v>20502</v>
          </cell>
          <cell r="F53" t="str">
            <v>&lt; 150</v>
          </cell>
          <cell r="G53">
            <v>12</v>
          </cell>
          <cell r="H53">
            <v>23</v>
          </cell>
          <cell r="I53">
            <v>494.75</v>
          </cell>
          <cell r="J53">
            <v>1277.5</v>
          </cell>
          <cell r="K53">
            <v>2155</v>
          </cell>
          <cell r="L53">
            <v>2643</v>
          </cell>
          <cell r="M53">
            <v>2554</v>
          </cell>
          <cell r="N53">
            <v>1513.75</v>
          </cell>
          <cell r="O53">
            <v>2514.5</v>
          </cell>
          <cell r="P53">
            <v>2114.75</v>
          </cell>
          <cell r="Q53">
            <v>5160.25</v>
          </cell>
          <cell r="R53">
            <v>3277.5</v>
          </cell>
          <cell r="S53">
            <v>2057</v>
          </cell>
          <cell r="T53">
            <v>25785</v>
          </cell>
          <cell r="U53">
            <v>2148.75</v>
          </cell>
          <cell r="V53" t="str">
            <v>1K to 5K</v>
          </cell>
        </row>
        <row r="54">
          <cell r="E54">
            <v>22400</v>
          </cell>
          <cell r="F54" t="str">
            <v>&gt; 150</v>
          </cell>
          <cell r="G54">
            <v>12</v>
          </cell>
          <cell r="H54">
            <v>3637</v>
          </cell>
          <cell r="I54">
            <v>4174.75</v>
          </cell>
          <cell r="J54">
            <v>2565</v>
          </cell>
          <cell r="K54">
            <v>2768.5</v>
          </cell>
          <cell r="L54">
            <v>2369</v>
          </cell>
          <cell r="M54">
            <v>2500</v>
          </cell>
          <cell r="N54">
            <v>1827</v>
          </cell>
          <cell r="O54">
            <v>698</v>
          </cell>
          <cell r="P54">
            <v>767</v>
          </cell>
          <cell r="Q54">
            <v>762</v>
          </cell>
          <cell r="R54">
            <v>540</v>
          </cell>
          <cell r="S54">
            <v>1059</v>
          </cell>
          <cell r="T54">
            <v>23667.25</v>
          </cell>
          <cell r="U54">
            <v>1972.2708333333333</v>
          </cell>
          <cell r="V54" t="str">
            <v>1K to 5K</v>
          </cell>
        </row>
        <row r="55">
          <cell r="E55">
            <v>23270</v>
          </cell>
          <cell r="F55" t="str">
            <v>&lt; 150</v>
          </cell>
          <cell r="G55">
            <v>12</v>
          </cell>
          <cell r="H55">
            <v>2005</v>
          </cell>
          <cell r="I55">
            <v>1770</v>
          </cell>
          <cell r="J55">
            <v>1712</v>
          </cell>
          <cell r="K55">
            <v>1597</v>
          </cell>
          <cell r="L55">
            <v>1574</v>
          </cell>
          <cell r="M55">
            <v>1504</v>
          </cell>
          <cell r="N55">
            <v>1164</v>
          </cell>
          <cell r="O55">
            <v>1528</v>
          </cell>
          <cell r="P55">
            <v>1978</v>
          </cell>
          <cell r="Q55">
            <v>2390.75</v>
          </cell>
          <cell r="R55">
            <v>3290</v>
          </cell>
          <cell r="S55">
            <v>2714</v>
          </cell>
          <cell r="T55">
            <v>23226.75</v>
          </cell>
          <cell r="U55">
            <v>1935.5625</v>
          </cell>
          <cell r="V55" t="str">
            <v>1K to 5K</v>
          </cell>
        </row>
        <row r="56">
          <cell r="E56">
            <v>28201</v>
          </cell>
          <cell r="F56" t="str">
            <v>&gt; 150</v>
          </cell>
          <cell r="G56">
            <v>8</v>
          </cell>
          <cell r="H56"/>
          <cell r="I56"/>
          <cell r="J56"/>
          <cell r="K56"/>
          <cell r="L56">
            <v>195</v>
          </cell>
          <cell r="M56">
            <v>2091</v>
          </cell>
          <cell r="N56">
            <v>2293.75</v>
          </cell>
          <cell r="O56">
            <v>3656.5</v>
          </cell>
          <cell r="P56">
            <v>3248.75</v>
          </cell>
          <cell r="Q56">
            <v>3582</v>
          </cell>
          <cell r="R56">
            <v>3561</v>
          </cell>
          <cell r="S56">
            <v>3723</v>
          </cell>
          <cell r="T56">
            <v>22351</v>
          </cell>
          <cell r="U56">
            <v>2793.875</v>
          </cell>
          <cell r="V56" t="str">
            <v>1K to 5K</v>
          </cell>
        </row>
        <row r="57">
          <cell r="E57">
            <v>24494</v>
          </cell>
          <cell r="F57" t="str">
            <v>&gt; 150</v>
          </cell>
          <cell r="G57">
            <v>12</v>
          </cell>
          <cell r="H57">
            <v>1646</v>
          </cell>
          <cell r="I57">
            <v>656</v>
          </cell>
          <cell r="J57">
            <v>1504</v>
          </cell>
          <cell r="K57">
            <v>1337</v>
          </cell>
          <cell r="L57">
            <v>856</v>
          </cell>
          <cell r="M57">
            <v>3064</v>
          </cell>
          <cell r="N57">
            <v>2328.75</v>
          </cell>
          <cell r="O57">
            <v>1120.5</v>
          </cell>
          <cell r="P57">
            <v>2214.75</v>
          </cell>
          <cell r="Q57">
            <v>1461</v>
          </cell>
          <cell r="R57">
            <v>1441.5</v>
          </cell>
          <cell r="S57">
            <v>2298.25</v>
          </cell>
          <cell r="T57">
            <v>19927.75</v>
          </cell>
          <cell r="U57">
            <v>1660.6458333333333</v>
          </cell>
          <cell r="V57" t="str">
            <v>1K to 5K</v>
          </cell>
        </row>
        <row r="58">
          <cell r="E58">
            <v>27637</v>
          </cell>
          <cell r="F58" t="str">
            <v>&gt; 150</v>
          </cell>
          <cell r="G58">
            <v>11</v>
          </cell>
          <cell r="H58">
            <v>23</v>
          </cell>
          <cell r="I58"/>
          <cell r="J58">
            <v>22</v>
          </cell>
          <cell r="K58">
            <v>1747</v>
          </cell>
          <cell r="L58">
            <v>1967</v>
          </cell>
          <cell r="M58">
            <v>2816</v>
          </cell>
          <cell r="N58">
            <v>2448.25</v>
          </cell>
          <cell r="O58">
            <v>2193</v>
          </cell>
          <cell r="P58">
            <v>2512.75</v>
          </cell>
          <cell r="Q58">
            <v>2170.75</v>
          </cell>
          <cell r="R58">
            <v>1757</v>
          </cell>
          <cell r="S58">
            <v>2092</v>
          </cell>
          <cell r="T58">
            <v>19748.75</v>
          </cell>
          <cell r="U58">
            <v>1795.340909090909</v>
          </cell>
          <cell r="V58" t="str">
            <v>1K to 5K</v>
          </cell>
        </row>
        <row r="59">
          <cell r="E59">
            <v>23431</v>
          </cell>
          <cell r="F59" t="str">
            <v>&gt; 150</v>
          </cell>
          <cell r="G59">
            <v>12</v>
          </cell>
          <cell r="H59">
            <v>1854.5</v>
          </cell>
          <cell r="I59">
            <v>1383</v>
          </cell>
          <cell r="J59">
            <v>1090</v>
          </cell>
          <cell r="K59">
            <v>1205.75</v>
          </cell>
          <cell r="L59">
            <v>1322</v>
          </cell>
          <cell r="M59">
            <v>847</v>
          </cell>
          <cell r="N59">
            <v>1679.5</v>
          </cell>
          <cell r="O59">
            <v>1008.5</v>
          </cell>
          <cell r="P59">
            <v>828.75</v>
          </cell>
          <cell r="Q59">
            <v>1315</v>
          </cell>
          <cell r="R59">
            <v>2478</v>
          </cell>
          <cell r="S59">
            <v>1155.5</v>
          </cell>
          <cell r="T59">
            <v>16167.5</v>
          </cell>
          <cell r="U59">
            <v>1347.2916666666667</v>
          </cell>
          <cell r="V59" t="str">
            <v>1K to 5K</v>
          </cell>
        </row>
        <row r="60">
          <cell r="E60">
            <v>22775</v>
          </cell>
          <cell r="F60" t="str">
            <v>&lt; 150</v>
          </cell>
          <cell r="G60">
            <v>7</v>
          </cell>
          <cell r="H60"/>
          <cell r="I60"/>
          <cell r="J60"/>
          <cell r="K60"/>
          <cell r="L60"/>
          <cell r="M60">
            <v>1900</v>
          </cell>
          <cell r="N60">
            <v>2071.25</v>
          </cell>
          <cell r="O60">
            <v>832</v>
          </cell>
          <cell r="P60">
            <v>799.75</v>
          </cell>
          <cell r="Q60">
            <v>2204</v>
          </cell>
          <cell r="R60">
            <v>5745</v>
          </cell>
          <cell r="S60">
            <v>2086.75</v>
          </cell>
          <cell r="T60">
            <v>15638.75</v>
          </cell>
          <cell r="U60">
            <v>2234.1071428571427</v>
          </cell>
          <cell r="V60" t="str">
            <v>1K to 5K</v>
          </cell>
        </row>
        <row r="61">
          <cell r="E61">
            <v>28270</v>
          </cell>
          <cell r="F61" t="str">
            <v>&gt; 150</v>
          </cell>
          <cell r="G61">
            <v>8</v>
          </cell>
          <cell r="H61"/>
          <cell r="I61"/>
          <cell r="J61"/>
          <cell r="K61"/>
          <cell r="L61">
            <v>348</v>
          </cell>
          <cell r="M61">
            <v>1328</v>
          </cell>
          <cell r="N61">
            <v>1557</v>
          </cell>
          <cell r="O61">
            <v>2053.25</v>
          </cell>
          <cell r="P61">
            <v>1745</v>
          </cell>
          <cell r="Q61">
            <v>2390.75</v>
          </cell>
          <cell r="R61">
            <v>2723</v>
          </cell>
          <cell r="S61">
            <v>3211.5</v>
          </cell>
          <cell r="T61">
            <v>15356.5</v>
          </cell>
          <cell r="U61">
            <v>1919.5625</v>
          </cell>
          <cell r="V61" t="str">
            <v>1K to 5K</v>
          </cell>
        </row>
        <row r="62">
          <cell r="E62">
            <v>28860</v>
          </cell>
          <cell r="F62" t="str">
            <v>&gt; 150</v>
          </cell>
          <cell r="G62">
            <v>4</v>
          </cell>
          <cell r="H62"/>
          <cell r="I62"/>
          <cell r="J62"/>
          <cell r="K62"/>
          <cell r="L62"/>
          <cell r="M62"/>
          <cell r="N62"/>
          <cell r="O62"/>
          <cell r="P62">
            <v>254</v>
          </cell>
          <cell r="Q62">
            <v>3817</v>
          </cell>
          <cell r="R62">
            <v>5309</v>
          </cell>
          <cell r="S62">
            <v>4788</v>
          </cell>
          <cell r="T62">
            <v>14168</v>
          </cell>
          <cell r="U62">
            <v>3542</v>
          </cell>
          <cell r="V62" t="str">
            <v>1K to 5K</v>
          </cell>
        </row>
        <row r="63">
          <cell r="E63">
            <v>25557</v>
          </cell>
          <cell r="F63" t="str">
            <v>&lt; 150</v>
          </cell>
          <cell r="G63">
            <v>12</v>
          </cell>
          <cell r="H63">
            <v>352</v>
          </cell>
          <cell r="I63">
            <v>611</v>
          </cell>
          <cell r="J63">
            <v>355</v>
          </cell>
          <cell r="K63">
            <v>352</v>
          </cell>
          <cell r="L63">
            <v>640</v>
          </cell>
          <cell r="M63">
            <v>689</v>
          </cell>
          <cell r="N63">
            <v>775</v>
          </cell>
          <cell r="O63">
            <v>906.75</v>
          </cell>
          <cell r="P63">
            <v>2365.75</v>
          </cell>
          <cell r="Q63">
            <v>2683</v>
          </cell>
          <cell r="R63">
            <v>2822</v>
          </cell>
          <cell r="S63">
            <v>1529.25</v>
          </cell>
          <cell r="T63">
            <v>14080.75</v>
          </cell>
          <cell r="U63">
            <v>1173.3958333333333</v>
          </cell>
          <cell r="V63" t="str">
            <v>1K to 5K</v>
          </cell>
        </row>
        <row r="64">
          <cell r="E64">
            <v>27732</v>
          </cell>
          <cell r="F64" t="str">
            <v>&lt; 150</v>
          </cell>
          <cell r="G64">
            <v>10</v>
          </cell>
          <cell r="H64"/>
          <cell r="I64"/>
          <cell r="J64">
            <v>168</v>
          </cell>
          <cell r="K64">
            <v>400</v>
          </cell>
          <cell r="L64">
            <v>710</v>
          </cell>
          <cell r="M64">
            <v>1079</v>
          </cell>
          <cell r="N64">
            <v>1048</v>
          </cell>
          <cell r="O64">
            <v>1239</v>
          </cell>
          <cell r="P64">
            <v>1368</v>
          </cell>
          <cell r="Q64">
            <v>2232.5</v>
          </cell>
          <cell r="R64">
            <v>2636.75</v>
          </cell>
          <cell r="S64">
            <v>2360.75</v>
          </cell>
          <cell r="T64">
            <v>13242</v>
          </cell>
          <cell r="U64">
            <v>1324.2</v>
          </cell>
          <cell r="V64" t="str">
            <v>1K to 5K</v>
          </cell>
        </row>
        <row r="65">
          <cell r="E65">
            <v>20983</v>
          </cell>
          <cell r="F65" t="str">
            <v>&gt; 300</v>
          </cell>
          <cell r="G65">
            <v>4</v>
          </cell>
          <cell r="H65">
            <v>4125</v>
          </cell>
          <cell r="I65">
            <v>3230.5</v>
          </cell>
          <cell r="J65">
            <v>4333</v>
          </cell>
          <cell r="K65">
            <v>1136.75</v>
          </cell>
          <cell r="L65"/>
          <cell r="M65"/>
          <cell r="N65"/>
          <cell r="O65"/>
          <cell r="P65"/>
          <cell r="Q65"/>
          <cell r="R65"/>
          <cell r="S65"/>
          <cell r="T65">
            <v>12825.25</v>
          </cell>
          <cell r="U65">
            <v>3206.3125</v>
          </cell>
          <cell r="V65" t="str">
            <v>1K to 5K</v>
          </cell>
        </row>
        <row r="66">
          <cell r="E66">
            <v>22402</v>
          </cell>
          <cell r="F66" t="str">
            <v>&lt; 150</v>
          </cell>
          <cell r="G66">
            <v>12</v>
          </cell>
          <cell r="H66">
            <v>1003</v>
          </cell>
          <cell r="I66">
            <v>746</v>
          </cell>
          <cell r="J66">
            <v>790</v>
          </cell>
          <cell r="K66">
            <v>1098</v>
          </cell>
          <cell r="L66">
            <v>1060</v>
          </cell>
          <cell r="M66">
            <v>1114</v>
          </cell>
          <cell r="N66">
            <v>901.5</v>
          </cell>
          <cell r="O66">
            <v>794.5</v>
          </cell>
          <cell r="P66">
            <v>849</v>
          </cell>
          <cell r="Q66">
            <v>938</v>
          </cell>
          <cell r="R66">
            <v>1012</v>
          </cell>
          <cell r="S66">
            <v>701.5</v>
          </cell>
          <cell r="T66">
            <v>11007.5</v>
          </cell>
          <cell r="U66">
            <v>917.29166666666663</v>
          </cell>
          <cell r="V66" t="str">
            <v>&lt; 1 K</v>
          </cell>
        </row>
        <row r="67">
          <cell r="E67">
            <v>22768</v>
          </cell>
          <cell r="F67" t="str">
            <v>&lt; 150</v>
          </cell>
          <cell r="G67">
            <v>12</v>
          </cell>
          <cell r="H67">
            <v>1369.25</v>
          </cell>
          <cell r="I67">
            <v>1545</v>
          </cell>
          <cell r="J67">
            <v>257</v>
          </cell>
          <cell r="K67">
            <v>1475.75</v>
          </cell>
          <cell r="L67">
            <v>339</v>
          </cell>
          <cell r="M67">
            <v>271</v>
          </cell>
          <cell r="N67">
            <v>369</v>
          </cell>
          <cell r="O67">
            <v>604.75</v>
          </cell>
          <cell r="P67">
            <v>613.75</v>
          </cell>
          <cell r="Q67">
            <v>695.25</v>
          </cell>
          <cell r="R67">
            <v>1938</v>
          </cell>
          <cell r="S67">
            <v>1528.5</v>
          </cell>
          <cell r="T67">
            <v>11006.25</v>
          </cell>
          <cell r="U67">
            <v>917.1875</v>
          </cell>
          <cell r="V67" t="str">
            <v>&lt; 1 K</v>
          </cell>
        </row>
        <row r="68">
          <cell r="E68">
            <v>22361</v>
          </cell>
          <cell r="F68" t="str">
            <v>&gt; 150</v>
          </cell>
          <cell r="G68">
            <v>5</v>
          </cell>
          <cell r="H68">
            <v>1942</v>
          </cell>
          <cell r="I68">
            <v>3446.5</v>
          </cell>
          <cell r="J68">
            <v>3333</v>
          </cell>
          <cell r="K68">
            <v>1629</v>
          </cell>
          <cell r="L68">
            <v>167</v>
          </cell>
          <cell r="M68"/>
          <cell r="N68"/>
          <cell r="O68"/>
          <cell r="P68"/>
          <cell r="Q68"/>
          <cell r="R68"/>
          <cell r="S68"/>
          <cell r="T68">
            <v>10517.5</v>
          </cell>
          <cell r="U68">
            <v>2103.5</v>
          </cell>
          <cell r="V68" t="str">
            <v>1K to 5K</v>
          </cell>
        </row>
        <row r="69">
          <cell r="E69">
            <v>21928</v>
          </cell>
          <cell r="F69" t="str">
            <v>&gt; 150</v>
          </cell>
          <cell r="G69">
            <v>4</v>
          </cell>
          <cell r="H69">
            <v>3435.75</v>
          </cell>
          <cell r="I69">
            <v>4574</v>
          </cell>
          <cell r="J69">
            <v>29</v>
          </cell>
          <cell r="K69">
            <v>48</v>
          </cell>
          <cell r="L69"/>
          <cell r="M69"/>
          <cell r="N69"/>
          <cell r="O69"/>
          <cell r="P69"/>
          <cell r="Q69"/>
          <cell r="R69"/>
          <cell r="S69"/>
          <cell r="T69">
            <v>8086.75</v>
          </cell>
          <cell r="U69">
            <v>2021.6875</v>
          </cell>
          <cell r="V69" t="str">
            <v>1K to 5K</v>
          </cell>
        </row>
        <row r="70">
          <cell r="E70">
            <v>28075</v>
          </cell>
          <cell r="F70" t="str">
            <v>&lt; 150</v>
          </cell>
          <cell r="G70">
            <v>8</v>
          </cell>
          <cell r="H70"/>
          <cell r="I70"/>
          <cell r="J70"/>
          <cell r="K70"/>
          <cell r="L70">
            <v>537</v>
          </cell>
          <cell r="M70">
            <v>674</v>
          </cell>
          <cell r="N70">
            <v>355</v>
          </cell>
          <cell r="O70">
            <v>371</v>
          </cell>
          <cell r="P70">
            <v>1063</v>
          </cell>
          <cell r="Q70">
            <v>1375.75</v>
          </cell>
          <cell r="R70">
            <v>1105</v>
          </cell>
          <cell r="S70">
            <v>1570.25</v>
          </cell>
          <cell r="T70">
            <v>7051</v>
          </cell>
          <cell r="U70">
            <v>881.375</v>
          </cell>
          <cell r="V70" t="str">
            <v>&lt; 1 K</v>
          </cell>
        </row>
        <row r="71">
          <cell r="E71">
            <v>28083</v>
          </cell>
          <cell r="F71" t="str">
            <v>&lt; 150</v>
          </cell>
          <cell r="G71">
            <v>8</v>
          </cell>
          <cell r="H71"/>
          <cell r="I71"/>
          <cell r="J71"/>
          <cell r="K71"/>
          <cell r="L71">
            <v>468</v>
          </cell>
          <cell r="M71">
            <v>685</v>
          </cell>
          <cell r="N71">
            <v>662</v>
          </cell>
          <cell r="O71">
            <v>810</v>
          </cell>
          <cell r="P71">
            <v>904</v>
          </cell>
          <cell r="Q71">
            <v>1161</v>
          </cell>
          <cell r="R71">
            <v>884</v>
          </cell>
          <cell r="S71">
            <v>956</v>
          </cell>
          <cell r="T71">
            <v>6530</v>
          </cell>
          <cell r="U71">
            <v>816.25</v>
          </cell>
          <cell r="V71" t="str">
            <v>&lt; 1 K</v>
          </cell>
        </row>
        <row r="72">
          <cell r="E72">
            <v>27249</v>
          </cell>
          <cell r="F72" t="str">
            <v>&lt; 150</v>
          </cell>
          <cell r="G72">
            <v>12</v>
          </cell>
          <cell r="H72">
            <v>351</v>
          </cell>
          <cell r="I72">
            <v>582.5</v>
          </cell>
          <cell r="J72">
            <v>604.5</v>
          </cell>
          <cell r="K72">
            <v>465</v>
          </cell>
          <cell r="L72">
            <v>491</v>
          </cell>
          <cell r="M72">
            <v>609</v>
          </cell>
          <cell r="N72">
            <v>383.75</v>
          </cell>
          <cell r="O72">
            <v>365</v>
          </cell>
          <cell r="P72">
            <v>595.75</v>
          </cell>
          <cell r="Q72">
            <v>906.5</v>
          </cell>
          <cell r="R72">
            <v>571</v>
          </cell>
          <cell r="S72">
            <v>515</v>
          </cell>
          <cell r="T72">
            <v>6440</v>
          </cell>
          <cell r="U72">
            <v>536.66666666666663</v>
          </cell>
          <cell r="V72" t="str">
            <v>&lt; 1 K</v>
          </cell>
        </row>
        <row r="73">
          <cell r="E73">
            <v>28692</v>
          </cell>
          <cell r="F73" t="str">
            <v>&lt; 150</v>
          </cell>
          <cell r="G73">
            <v>5</v>
          </cell>
          <cell r="H73"/>
          <cell r="I73"/>
          <cell r="J73"/>
          <cell r="K73"/>
          <cell r="L73"/>
          <cell r="M73"/>
          <cell r="N73"/>
          <cell r="O73">
            <v>678.25</v>
          </cell>
          <cell r="P73">
            <v>1337</v>
          </cell>
          <cell r="Q73">
            <v>1669.5</v>
          </cell>
          <cell r="R73">
            <v>1530</v>
          </cell>
          <cell r="S73">
            <v>1171</v>
          </cell>
          <cell r="T73">
            <v>6385.75</v>
          </cell>
          <cell r="U73">
            <v>1277.1500000000001</v>
          </cell>
          <cell r="V73" t="str">
            <v>1K to 5K</v>
          </cell>
        </row>
        <row r="74">
          <cell r="E74">
            <v>26530</v>
          </cell>
          <cell r="F74" t="str">
            <v>&lt; 150</v>
          </cell>
          <cell r="G74">
            <v>12</v>
          </cell>
          <cell r="H74">
            <v>342</v>
          </cell>
          <cell r="I74">
            <v>539.5</v>
          </cell>
          <cell r="J74">
            <v>549</v>
          </cell>
          <cell r="K74">
            <v>747</v>
          </cell>
          <cell r="L74">
            <v>1332</v>
          </cell>
          <cell r="M74">
            <v>532</v>
          </cell>
          <cell r="N74">
            <v>399</v>
          </cell>
          <cell r="O74">
            <v>334</v>
          </cell>
          <cell r="P74">
            <v>188</v>
          </cell>
          <cell r="Q74">
            <v>544</v>
          </cell>
          <cell r="R74">
            <v>263</v>
          </cell>
          <cell r="S74">
            <v>298</v>
          </cell>
          <cell r="T74">
            <v>6067.5</v>
          </cell>
          <cell r="U74">
            <v>505.625</v>
          </cell>
          <cell r="V74" t="str">
            <v>&lt; 1 K</v>
          </cell>
        </row>
        <row r="75">
          <cell r="E75">
            <v>23214</v>
          </cell>
          <cell r="F75" t="str">
            <v>&lt; 150</v>
          </cell>
          <cell r="G75">
            <v>12</v>
          </cell>
          <cell r="H75">
            <v>626.5</v>
          </cell>
          <cell r="I75">
            <v>356</v>
          </cell>
          <cell r="J75">
            <v>10</v>
          </cell>
          <cell r="K75">
            <v>631</v>
          </cell>
          <cell r="L75">
            <v>537</v>
          </cell>
          <cell r="M75">
            <v>197</v>
          </cell>
          <cell r="N75">
            <v>355</v>
          </cell>
          <cell r="O75">
            <v>275</v>
          </cell>
          <cell r="P75">
            <v>536</v>
          </cell>
          <cell r="Q75">
            <v>533</v>
          </cell>
          <cell r="R75">
            <v>1031</v>
          </cell>
          <cell r="S75">
            <v>421</v>
          </cell>
          <cell r="T75">
            <v>5508.5</v>
          </cell>
          <cell r="U75">
            <v>459.04166666666669</v>
          </cell>
          <cell r="V75" t="str">
            <v>&lt; 1 K</v>
          </cell>
        </row>
        <row r="76">
          <cell r="E76">
            <v>22453</v>
          </cell>
          <cell r="F76" t="str">
            <v>&lt; 150</v>
          </cell>
          <cell r="G76">
            <v>11</v>
          </cell>
          <cell r="H76">
            <v>402</v>
          </cell>
          <cell r="I76">
            <v>521</v>
          </cell>
          <cell r="J76">
            <v>832</v>
          </cell>
          <cell r="K76">
            <v>126</v>
          </cell>
          <cell r="L76">
            <v>301</v>
          </cell>
          <cell r="M76"/>
          <cell r="N76">
            <v>256</v>
          </cell>
          <cell r="O76">
            <v>388</v>
          </cell>
          <cell r="P76">
            <v>283</v>
          </cell>
          <cell r="Q76">
            <v>620</v>
          </cell>
          <cell r="R76">
            <v>398</v>
          </cell>
          <cell r="S76">
            <v>481.75</v>
          </cell>
          <cell r="T76">
            <v>4608.75</v>
          </cell>
          <cell r="U76">
            <v>418.97727272727275</v>
          </cell>
          <cell r="V76" t="str">
            <v>&lt; 1 K</v>
          </cell>
        </row>
        <row r="77">
          <cell r="E77">
            <v>27437</v>
          </cell>
          <cell r="F77" t="str">
            <v>&lt; 150</v>
          </cell>
          <cell r="G77">
            <v>12</v>
          </cell>
          <cell r="H77">
            <v>428</v>
          </cell>
          <cell r="I77">
            <v>340.5</v>
          </cell>
          <cell r="J77">
            <v>111</v>
          </cell>
          <cell r="K77">
            <v>261</v>
          </cell>
          <cell r="L77">
            <v>1024</v>
          </cell>
          <cell r="M77">
            <v>272</v>
          </cell>
          <cell r="N77">
            <v>312.5</v>
          </cell>
          <cell r="O77">
            <v>615</v>
          </cell>
          <cell r="P77">
            <v>94.75</v>
          </cell>
          <cell r="Q77">
            <v>403.75</v>
          </cell>
          <cell r="R77">
            <v>398</v>
          </cell>
          <cell r="S77">
            <v>174</v>
          </cell>
          <cell r="T77">
            <v>4434.5</v>
          </cell>
          <cell r="U77">
            <v>369.54166666666669</v>
          </cell>
          <cell r="V77" t="str">
            <v>&lt; 1 K</v>
          </cell>
        </row>
        <row r="78">
          <cell r="E78">
            <v>26507</v>
          </cell>
          <cell r="F78" t="str">
            <v>&lt; 150</v>
          </cell>
          <cell r="G78">
            <v>6</v>
          </cell>
          <cell r="H78">
            <v>38</v>
          </cell>
          <cell r="I78">
            <v>901</v>
          </cell>
          <cell r="J78">
            <v>855</v>
          </cell>
          <cell r="K78">
            <v>558</v>
          </cell>
          <cell r="L78">
            <v>829</v>
          </cell>
          <cell r="M78"/>
          <cell r="N78">
            <v>12</v>
          </cell>
          <cell r="O78"/>
          <cell r="P78"/>
          <cell r="Q78"/>
          <cell r="R78"/>
          <cell r="S78"/>
          <cell r="T78">
            <v>3193</v>
          </cell>
          <cell r="U78">
            <v>532.16666666666663</v>
          </cell>
          <cell r="V78" t="str">
            <v>&lt; 1 K</v>
          </cell>
        </row>
        <row r="79">
          <cell r="E79">
            <v>27731</v>
          </cell>
          <cell r="F79" t="str">
            <v>&lt; 150</v>
          </cell>
          <cell r="G79">
            <v>10</v>
          </cell>
          <cell r="H79"/>
          <cell r="I79"/>
          <cell r="J79">
            <v>191</v>
          </cell>
          <cell r="K79">
            <v>56</v>
          </cell>
          <cell r="L79">
            <v>380</v>
          </cell>
          <cell r="M79">
            <v>350</v>
          </cell>
          <cell r="N79">
            <v>242</v>
          </cell>
          <cell r="O79">
            <v>399</v>
          </cell>
          <cell r="P79">
            <v>662</v>
          </cell>
          <cell r="Q79">
            <v>236</v>
          </cell>
          <cell r="R79">
            <v>438</v>
          </cell>
          <cell r="S79">
            <v>209</v>
          </cell>
          <cell r="T79">
            <v>3163</v>
          </cell>
          <cell r="U79">
            <v>316.3</v>
          </cell>
          <cell r="V79" t="str">
            <v>&lt; 1 K</v>
          </cell>
        </row>
        <row r="80">
          <cell r="E80">
            <v>20503</v>
          </cell>
          <cell r="F80" t="str">
            <v>&lt; 150</v>
          </cell>
          <cell r="G80">
            <v>11</v>
          </cell>
          <cell r="H80">
            <v>219.25</v>
          </cell>
          <cell r="I80">
            <v>133</v>
          </cell>
          <cell r="J80">
            <v>85</v>
          </cell>
          <cell r="K80">
            <v>627.75</v>
          </cell>
          <cell r="L80">
            <v>532</v>
          </cell>
          <cell r="M80">
            <v>462</v>
          </cell>
          <cell r="N80">
            <v>204.75</v>
          </cell>
          <cell r="O80">
            <v>156</v>
          </cell>
          <cell r="P80">
            <v>92</v>
          </cell>
          <cell r="Q80">
            <v>334.25</v>
          </cell>
          <cell r="R80">
            <v>124.75</v>
          </cell>
          <cell r="S80"/>
          <cell r="T80">
            <v>2970.75</v>
          </cell>
          <cell r="U80">
            <v>270.06818181818181</v>
          </cell>
          <cell r="V80" t="str">
            <v>&lt; 1 K</v>
          </cell>
        </row>
        <row r="81">
          <cell r="E81">
            <v>27252</v>
          </cell>
          <cell r="F81" t="str">
            <v>&lt; 150</v>
          </cell>
          <cell r="G81">
            <v>11</v>
          </cell>
          <cell r="H81">
            <v>16</v>
          </cell>
          <cell r="I81">
            <v>33</v>
          </cell>
          <cell r="J81">
            <v>42</v>
          </cell>
          <cell r="K81">
            <v>267</v>
          </cell>
          <cell r="L81">
            <v>171</v>
          </cell>
          <cell r="M81">
            <v>787</v>
          </cell>
          <cell r="N81">
            <v>226</v>
          </cell>
          <cell r="O81">
            <v>62</v>
          </cell>
          <cell r="P81">
            <v>319</v>
          </cell>
          <cell r="Q81">
            <v>184</v>
          </cell>
          <cell r="R81">
            <v>2</v>
          </cell>
          <cell r="S81"/>
          <cell r="T81">
            <v>2109</v>
          </cell>
          <cell r="U81">
            <v>191.72727272727272</v>
          </cell>
          <cell r="V81" t="str">
            <v>&lt; 1 K</v>
          </cell>
        </row>
        <row r="82">
          <cell r="E82">
            <v>28305</v>
          </cell>
          <cell r="F82" t="str">
            <v>&lt; 150</v>
          </cell>
          <cell r="G82">
            <v>4</v>
          </cell>
          <cell r="H82"/>
          <cell r="I82"/>
          <cell r="J82"/>
          <cell r="K82"/>
          <cell r="L82"/>
          <cell r="M82"/>
          <cell r="N82"/>
          <cell r="O82">
            <v>762</v>
          </cell>
          <cell r="P82">
            <v>294</v>
          </cell>
          <cell r="Q82">
            <v>494</v>
          </cell>
          <cell r="R82"/>
          <cell r="S82">
            <v>290</v>
          </cell>
          <cell r="T82">
            <v>1840</v>
          </cell>
          <cell r="U82">
            <v>460</v>
          </cell>
          <cell r="V82" t="str">
            <v>&lt; 1 K</v>
          </cell>
        </row>
        <row r="83">
          <cell r="E83">
            <v>24527</v>
          </cell>
          <cell r="F83" t="str">
            <v>&lt; 150</v>
          </cell>
          <cell r="G83">
            <v>4</v>
          </cell>
          <cell r="H83">
            <v>736.75</v>
          </cell>
          <cell r="I83">
            <v>546</v>
          </cell>
          <cell r="J83">
            <v>65</v>
          </cell>
          <cell r="K83">
            <v>70</v>
          </cell>
          <cell r="L83"/>
          <cell r="M83"/>
          <cell r="N83"/>
          <cell r="O83"/>
          <cell r="P83"/>
          <cell r="Q83"/>
          <cell r="R83"/>
          <cell r="S83"/>
          <cell r="T83">
            <v>1417.75</v>
          </cell>
          <cell r="U83">
            <v>354.4375</v>
          </cell>
          <cell r="V83" t="str">
            <v>&lt; 1 K</v>
          </cell>
        </row>
        <row r="84">
          <cell r="E84">
            <v>28482</v>
          </cell>
          <cell r="F84" t="str">
            <v>&lt; 150</v>
          </cell>
          <cell r="G84">
            <v>6</v>
          </cell>
          <cell r="H84"/>
          <cell r="I84"/>
          <cell r="J84"/>
          <cell r="K84"/>
          <cell r="L84"/>
          <cell r="M84"/>
          <cell r="N84">
            <v>29</v>
          </cell>
          <cell r="O84">
            <v>133.5</v>
          </cell>
          <cell r="P84">
            <v>134</v>
          </cell>
          <cell r="Q84">
            <v>179</v>
          </cell>
          <cell r="R84">
            <v>472</v>
          </cell>
          <cell r="S84">
            <v>176</v>
          </cell>
          <cell r="T84">
            <v>1123.5</v>
          </cell>
          <cell r="U84">
            <v>187.25</v>
          </cell>
          <cell r="V84" t="str">
            <v>&lt; 1 K</v>
          </cell>
        </row>
        <row r="85">
          <cell r="E85">
            <v>21925</v>
          </cell>
          <cell r="F85" t="str">
            <v>&lt; 150</v>
          </cell>
          <cell r="G85">
            <v>9</v>
          </cell>
          <cell r="H85">
            <v>47</v>
          </cell>
          <cell r="I85"/>
          <cell r="J85">
            <v>71</v>
          </cell>
          <cell r="K85">
            <v>123</v>
          </cell>
          <cell r="L85">
            <v>1</v>
          </cell>
          <cell r="M85">
            <v>34</v>
          </cell>
          <cell r="N85">
            <v>31</v>
          </cell>
          <cell r="O85">
            <v>96.75</v>
          </cell>
          <cell r="P85">
            <v>158</v>
          </cell>
          <cell r="Q85">
            <v>173.25</v>
          </cell>
          <cell r="R85"/>
          <cell r="S85"/>
          <cell r="T85">
            <v>735</v>
          </cell>
          <cell r="U85">
            <v>81.666666666666671</v>
          </cell>
          <cell r="V85" t="str">
            <v>&lt; 1 K</v>
          </cell>
        </row>
        <row r="86">
          <cell r="E86">
            <v>28483</v>
          </cell>
          <cell r="F86" t="str">
            <v>&lt; 150</v>
          </cell>
          <cell r="G86">
            <v>4</v>
          </cell>
          <cell r="H86"/>
          <cell r="I86"/>
          <cell r="J86"/>
          <cell r="K86"/>
          <cell r="L86"/>
          <cell r="M86"/>
          <cell r="N86"/>
          <cell r="O86">
            <v>174</v>
          </cell>
          <cell r="P86"/>
          <cell r="Q86">
            <v>183</v>
          </cell>
          <cell r="R86">
            <v>36</v>
          </cell>
          <cell r="S86">
            <v>328.5</v>
          </cell>
          <cell r="T86">
            <v>721.5</v>
          </cell>
          <cell r="U86">
            <v>180.375</v>
          </cell>
          <cell r="V86" t="str">
            <v>&lt; 1 K</v>
          </cell>
        </row>
        <row r="87">
          <cell r="E87">
            <v>23147</v>
          </cell>
          <cell r="F87" t="str">
            <v>&lt; 150</v>
          </cell>
          <cell r="G87">
            <v>1</v>
          </cell>
          <cell r="H87">
            <v>516</v>
          </cell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>
            <v>516</v>
          </cell>
          <cell r="U87">
            <v>516</v>
          </cell>
          <cell r="V87" t="str">
            <v>&lt; 1 K</v>
          </cell>
        </row>
        <row r="88">
          <cell r="E88">
            <v>27631</v>
          </cell>
          <cell r="F88" t="str">
            <v>&lt; 150</v>
          </cell>
          <cell r="G88">
            <v>2</v>
          </cell>
          <cell r="H88">
            <v>2</v>
          </cell>
          <cell r="I88">
            <v>264</v>
          </cell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>
            <v>266</v>
          </cell>
          <cell r="U88">
            <v>133</v>
          </cell>
          <cell r="V88" t="str">
            <v>&lt; 1 K</v>
          </cell>
        </row>
        <row r="89">
          <cell r="E89">
            <v>22771</v>
          </cell>
          <cell r="F89" t="str">
            <v>&lt; 150</v>
          </cell>
          <cell r="G89">
            <v>5</v>
          </cell>
          <cell r="H89">
            <v>79</v>
          </cell>
          <cell r="I89">
            <v>111</v>
          </cell>
          <cell r="J89"/>
          <cell r="K89">
            <v>20</v>
          </cell>
          <cell r="L89">
            <v>25</v>
          </cell>
          <cell r="M89"/>
          <cell r="N89">
            <v>25</v>
          </cell>
          <cell r="O89"/>
          <cell r="P89"/>
          <cell r="Q89"/>
          <cell r="R89"/>
          <cell r="S89"/>
          <cell r="T89">
            <v>260</v>
          </cell>
          <cell r="U89">
            <v>52</v>
          </cell>
          <cell r="V89" t="str">
            <v>&lt; 1 K</v>
          </cell>
        </row>
        <row r="90">
          <cell r="E90">
            <v>29052</v>
          </cell>
          <cell r="F90" t="str">
            <v>&lt; 150</v>
          </cell>
          <cell r="G90">
            <v>1</v>
          </cell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>
            <v>112</v>
          </cell>
          <cell r="T90">
            <v>112</v>
          </cell>
          <cell r="U90">
            <v>112</v>
          </cell>
          <cell r="V90" t="str">
            <v>&lt; 1 K</v>
          </cell>
        </row>
        <row r="91">
          <cell r="E91">
            <v>21929</v>
          </cell>
          <cell r="F91" t="str">
            <v>&lt; 150</v>
          </cell>
          <cell r="G91">
            <v>3</v>
          </cell>
          <cell r="H91">
            <v>84</v>
          </cell>
          <cell r="I91">
            <v>4</v>
          </cell>
          <cell r="J91">
            <v>24</v>
          </cell>
          <cell r="K91"/>
          <cell r="L91"/>
          <cell r="M91"/>
          <cell r="N91"/>
          <cell r="O91"/>
          <cell r="P91"/>
          <cell r="Q91"/>
          <cell r="R91"/>
          <cell r="S91"/>
          <cell r="T91">
            <v>112</v>
          </cell>
          <cell r="U91">
            <v>37.333333333333336</v>
          </cell>
          <cell r="V91" t="str">
            <v>&lt; 1 K</v>
          </cell>
        </row>
        <row r="92">
          <cell r="E92">
            <v>26881</v>
          </cell>
          <cell r="F92" t="str">
            <v>&lt; 150</v>
          </cell>
          <cell r="G92">
            <v>2</v>
          </cell>
          <cell r="H92"/>
          <cell r="I92">
            <v>67</v>
          </cell>
          <cell r="J92">
            <v>42</v>
          </cell>
          <cell r="K92"/>
          <cell r="L92"/>
          <cell r="M92"/>
          <cell r="N92"/>
          <cell r="O92"/>
          <cell r="P92"/>
          <cell r="Q92"/>
          <cell r="R92"/>
          <cell r="S92"/>
          <cell r="T92">
            <v>109</v>
          </cell>
          <cell r="U92">
            <v>54.5</v>
          </cell>
          <cell r="V92" t="str">
            <v>&lt; 1 K</v>
          </cell>
        </row>
        <row r="93">
          <cell r="E93">
            <v>29069</v>
          </cell>
          <cell r="F93" t="str">
            <v>Nill</v>
          </cell>
          <cell r="G93">
            <v>1</v>
          </cell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>
            <v>34</v>
          </cell>
          <cell r="T93">
            <v>34</v>
          </cell>
          <cell r="U93">
            <v>34</v>
          </cell>
          <cell r="V93" t="str">
            <v>&lt; 1 K</v>
          </cell>
        </row>
        <row r="94">
          <cell r="E94">
            <v>28825</v>
          </cell>
          <cell r="F94" t="str">
            <v>Nill</v>
          </cell>
          <cell r="G94">
            <v>1</v>
          </cell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>
            <v>31</v>
          </cell>
          <cell r="T94">
            <v>31</v>
          </cell>
          <cell r="U94">
            <v>31</v>
          </cell>
          <cell r="V94" t="str">
            <v>&lt; 1 K</v>
          </cell>
        </row>
        <row r="95">
          <cell r="E95">
            <v>28601</v>
          </cell>
          <cell r="F95" t="str">
            <v>&lt; 150</v>
          </cell>
          <cell r="G95">
            <v>2</v>
          </cell>
          <cell r="H95"/>
          <cell r="I95"/>
          <cell r="J95"/>
          <cell r="K95"/>
          <cell r="L95"/>
          <cell r="M95"/>
          <cell r="N95"/>
          <cell r="O95">
            <v>1</v>
          </cell>
          <cell r="P95"/>
          <cell r="Q95"/>
          <cell r="R95">
            <v>3</v>
          </cell>
          <cell r="S95"/>
          <cell r="T95">
            <v>4</v>
          </cell>
          <cell r="U95">
            <v>2</v>
          </cell>
          <cell r="V95" t="str">
            <v>&lt; 1 K</v>
          </cell>
        </row>
        <row r="96">
          <cell r="E96">
            <v>27632</v>
          </cell>
          <cell r="F96" t="str">
            <v>Nill</v>
          </cell>
          <cell r="G96">
            <v>0</v>
          </cell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>
            <v>0</v>
          </cell>
          <cell r="U96">
            <v>0</v>
          </cell>
          <cell r="V96" t="str">
            <v>&lt; 1 K</v>
          </cell>
        </row>
        <row r="97">
          <cell r="E97">
            <v>29089</v>
          </cell>
          <cell r="F97" t="str">
            <v>&lt; 150</v>
          </cell>
          <cell r="G97">
            <v>0</v>
          </cell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>
            <v>0</v>
          </cell>
          <cell r="U97" t="e">
            <v>#DIV/0!</v>
          </cell>
          <cell r="V97" t="e">
            <v>#DIV/0!</v>
          </cell>
        </row>
        <row r="98">
          <cell r="E98">
            <v>28484</v>
          </cell>
          <cell r="F98" t="str">
            <v>Nill</v>
          </cell>
          <cell r="G98">
            <v>0</v>
          </cell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>
            <v>0</v>
          </cell>
          <cell r="U98">
            <v>0</v>
          </cell>
          <cell r="V98" t="str">
            <v>&lt; 1 K</v>
          </cell>
        </row>
        <row r="99">
          <cell r="T99"/>
        </row>
      </sheetData>
      <sheetData sheetId="20"/>
      <sheetData sheetId="21">
        <row r="1">
          <cell r="E1" t="str">
            <v>Code</v>
          </cell>
          <cell r="F1" t="str">
            <v>Month</v>
          </cell>
          <cell r="G1">
            <v>45748</v>
          </cell>
          <cell r="H1">
            <v>45778</v>
          </cell>
          <cell r="I1">
            <v>45809</v>
          </cell>
          <cell r="J1">
            <v>45839</v>
          </cell>
          <cell r="K1">
            <v>45870</v>
          </cell>
          <cell r="L1">
            <v>45901</v>
          </cell>
          <cell r="M1">
            <v>45931</v>
          </cell>
          <cell r="N1">
            <v>45962</v>
          </cell>
          <cell r="O1">
            <v>45992</v>
          </cell>
          <cell r="P1">
            <v>46023</v>
          </cell>
          <cell r="Q1">
            <v>46054</v>
          </cell>
          <cell r="R1">
            <v>46082</v>
          </cell>
          <cell r="S1" t="str">
            <v>Total TXN</v>
          </cell>
          <cell r="T1" t="str">
            <v>Average</v>
          </cell>
          <cell r="U1" t="str">
            <v>Category</v>
          </cell>
        </row>
        <row r="2">
          <cell r="E2">
            <v>20509</v>
          </cell>
          <cell r="F2">
            <v>12</v>
          </cell>
          <cell r="G2">
            <v>825</v>
          </cell>
          <cell r="H2">
            <v>839</v>
          </cell>
          <cell r="I2">
            <v>696</v>
          </cell>
          <cell r="J2">
            <v>729</v>
          </cell>
          <cell r="K2">
            <v>657</v>
          </cell>
          <cell r="L2">
            <v>845</v>
          </cell>
          <cell r="M2">
            <v>531</v>
          </cell>
          <cell r="N2">
            <v>880</v>
          </cell>
          <cell r="O2">
            <v>797</v>
          </cell>
          <cell r="P2">
            <v>930</v>
          </cell>
          <cell r="Q2">
            <v>924</v>
          </cell>
          <cell r="R2">
            <v>580</v>
          </cell>
          <cell r="S2">
            <v>9233</v>
          </cell>
          <cell r="T2">
            <v>769.41666666666663</v>
          </cell>
          <cell r="U2" t="str">
            <v>&gt; 600</v>
          </cell>
        </row>
        <row r="3">
          <cell r="E3">
            <v>21926</v>
          </cell>
          <cell r="F3">
            <v>12</v>
          </cell>
          <cell r="G3">
            <v>217</v>
          </cell>
          <cell r="H3">
            <v>315</v>
          </cell>
          <cell r="I3">
            <v>311</v>
          </cell>
          <cell r="J3">
            <v>250</v>
          </cell>
          <cell r="K3">
            <v>335</v>
          </cell>
          <cell r="L3">
            <v>384</v>
          </cell>
          <cell r="M3">
            <v>384</v>
          </cell>
          <cell r="N3">
            <v>329</v>
          </cell>
          <cell r="O3">
            <v>243</v>
          </cell>
          <cell r="P3">
            <v>350</v>
          </cell>
          <cell r="Q3">
            <v>263</v>
          </cell>
          <cell r="R3">
            <v>157</v>
          </cell>
          <cell r="S3">
            <v>3538</v>
          </cell>
          <cell r="T3">
            <v>294.83333333333331</v>
          </cell>
          <cell r="U3" t="str">
            <v>&gt; 150</v>
          </cell>
        </row>
        <row r="4">
          <cell r="E4">
            <v>28860</v>
          </cell>
          <cell r="F4">
            <v>4</v>
          </cell>
          <cell r="G4"/>
          <cell r="H4"/>
          <cell r="I4"/>
          <cell r="J4"/>
          <cell r="K4"/>
          <cell r="L4"/>
          <cell r="M4"/>
          <cell r="N4"/>
          <cell r="O4">
            <v>24</v>
          </cell>
          <cell r="P4">
            <v>360</v>
          </cell>
          <cell r="Q4">
            <v>404</v>
          </cell>
          <cell r="R4">
            <v>273</v>
          </cell>
          <cell r="S4">
            <v>1061</v>
          </cell>
          <cell r="T4">
            <v>265.25</v>
          </cell>
          <cell r="U4" t="str">
            <v>&gt; 150</v>
          </cell>
        </row>
        <row r="5">
          <cell r="E5">
            <v>21928</v>
          </cell>
          <cell r="F5">
            <v>4</v>
          </cell>
          <cell r="G5">
            <v>295</v>
          </cell>
          <cell r="H5">
            <v>416</v>
          </cell>
          <cell r="I5">
            <v>4</v>
          </cell>
          <cell r="J5">
            <v>3</v>
          </cell>
          <cell r="K5"/>
          <cell r="L5"/>
          <cell r="M5"/>
          <cell r="N5"/>
          <cell r="O5"/>
          <cell r="P5"/>
          <cell r="Q5"/>
          <cell r="R5"/>
          <cell r="S5">
            <v>718</v>
          </cell>
          <cell r="T5">
            <v>179.5</v>
          </cell>
          <cell r="U5" t="str">
            <v>&gt; 150</v>
          </cell>
        </row>
        <row r="6">
          <cell r="E6">
            <v>27220</v>
          </cell>
          <cell r="F6">
            <v>12</v>
          </cell>
          <cell r="G6">
            <v>382</v>
          </cell>
          <cell r="H6">
            <v>482</v>
          </cell>
          <cell r="I6">
            <v>502</v>
          </cell>
          <cell r="J6">
            <v>507</v>
          </cell>
          <cell r="K6">
            <v>609</v>
          </cell>
          <cell r="L6">
            <v>556</v>
          </cell>
          <cell r="M6">
            <v>588</v>
          </cell>
          <cell r="N6">
            <v>498</v>
          </cell>
          <cell r="O6">
            <v>402</v>
          </cell>
          <cell r="P6">
            <v>419</v>
          </cell>
          <cell r="Q6">
            <v>501</v>
          </cell>
          <cell r="R6">
            <v>257</v>
          </cell>
          <cell r="S6">
            <v>5703</v>
          </cell>
          <cell r="T6">
            <v>475.25</v>
          </cell>
          <cell r="U6" t="str">
            <v>&gt; 450</v>
          </cell>
        </row>
        <row r="7">
          <cell r="E7">
            <v>26810</v>
          </cell>
          <cell r="F7">
            <v>12</v>
          </cell>
          <cell r="G7">
            <v>392</v>
          </cell>
          <cell r="H7">
            <v>453</v>
          </cell>
          <cell r="I7">
            <v>505</v>
          </cell>
          <cell r="J7">
            <v>359</v>
          </cell>
          <cell r="K7">
            <v>445</v>
          </cell>
          <cell r="L7">
            <v>421</v>
          </cell>
          <cell r="M7">
            <v>407</v>
          </cell>
          <cell r="N7">
            <v>397</v>
          </cell>
          <cell r="O7">
            <v>267</v>
          </cell>
          <cell r="P7">
            <v>433</v>
          </cell>
          <cell r="Q7">
            <v>409</v>
          </cell>
          <cell r="R7">
            <v>202</v>
          </cell>
          <cell r="S7">
            <v>4690</v>
          </cell>
          <cell r="T7">
            <v>390.83333333333331</v>
          </cell>
          <cell r="U7" t="str">
            <v>&gt; 300</v>
          </cell>
        </row>
        <row r="8">
          <cell r="E8">
            <v>27219</v>
          </cell>
          <cell r="F8">
            <v>12</v>
          </cell>
          <cell r="G8">
            <v>263</v>
          </cell>
          <cell r="H8">
            <v>344</v>
          </cell>
          <cell r="I8">
            <v>380</v>
          </cell>
          <cell r="J8">
            <v>223</v>
          </cell>
          <cell r="K8">
            <v>413</v>
          </cell>
          <cell r="L8">
            <v>370</v>
          </cell>
          <cell r="M8">
            <v>418</v>
          </cell>
          <cell r="N8">
            <v>245</v>
          </cell>
          <cell r="O8">
            <v>350</v>
          </cell>
          <cell r="P8">
            <v>319</v>
          </cell>
          <cell r="Q8">
            <v>340</v>
          </cell>
          <cell r="R8">
            <v>187</v>
          </cell>
          <cell r="S8">
            <v>3852</v>
          </cell>
          <cell r="T8">
            <v>321</v>
          </cell>
          <cell r="U8" t="str">
            <v>&gt; 300</v>
          </cell>
        </row>
        <row r="9">
          <cell r="E9">
            <v>28305</v>
          </cell>
          <cell r="F9">
            <v>4</v>
          </cell>
          <cell r="G9"/>
          <cell r="H9"/>
          <cell r="I9"/>
          <cell r="J9"/>
          <cell r="K9"/>
          <cell r="L9"/>
          <cell r="M9"/>
          <cell r="N9">
            <v>41</v>
          </cell>
          <cell r="O9">
            <v>15</v>
          </cell>
          <cell r="P9">
            <v>16</v>
          </cell>
          <cell r="Q9"/>
          <cell r="R9">
            <v>4</v>
          </cell>
          <cell r="S9">
            <v>76</v>
          </cell>
          <cell r="T9">
            <v>19</v>
          </cell>
          <cell r="U9" t="str">
            <v>&lt; 150</v>
          </cell>
        </row>
        <row r="10">
          <cell r="E10">
            <v>28601</v>
          </cell>
          <cell r="F10">
            <v>2</v>
          </cell>
          <cell r="G10"/>
          <cell r="H10"/>
          <cell r="I10"/>
          <cell r="J10"/>
          <cell r="K10"/>
          <cell r="L10"/>
          <cell r="M10"/>
          <cell r="N10">
            <v>2</v>
          </cell>
          <cell r="O10"/>
          <cell r="P10"/>
          <cell r="Q10">
            <v>1</v>
          </cell>
          <cell r="R10"/>
          <cell r="S10">
            <v>3</v>
          </cell>
          <cell r="T10">
            <v>1.5</v>
          </cell>
          <cell r="U10" t="str">
            <v>&lt; 150</v>
          </cell>
        </row>
        <row r="11">
          <cell r="E11">
            <v>29069</v>
          </cell>
          <cell r="F11">
            <v>0</v>
          </cell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>
            <v>0</v>
          </cell>
          <cell r="T11">
            <v>0</v>
          </cell>
          <cell r="U11" t="str">
            <v>Nill</v>
          </cell>
        </row>
        <row r="12">
          <cell r="E12">
            <v>27632</v>
          </cell>
          <cell r="F12">
            <v>0</v>
          </cell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>
            <v>0</v>
          </cell>
          <cell r="T12">
            <v>0</v>
          </cell>
          <cell r="U12" t="str">
            <v>Nill</v>
          </cell>
        </row>
        <row r="13">
          <cell r="E13">
            <v>28270</v>
          </cell>
          <cell r="F13">
            <v>8</v>
          </cell>
          <cell r="G13"/>
          <cell r="H13"/>
          <cell r="I13"/>
          <cell r="J13"/>
          <cell r="K13">
            <v>31</v>
          </cell>
          <cell r="L13">
            <v>173</v>
          </cell>
          <cell r="M13">
            <v>179</v>
          </cell>
          <cell r="N13">
            <v>234</v>
          </cell>
          <cell r="O13">
            <v>226</v>
          </cell>
          <cell r="P13">
            <v>263</v>
          </cell>
          <cell r="Q13">
            <v>222</v>
          </cell>
          <cell r="R13">
            <v>180</v>
          </cell>
          <cell r="S13">
            <v>1508</v>
          </cell>
          <cell r="T13">
            <v>188.5</v>
          </cell>
          <cell r="U13" t="str">
            <v>&gt; 150</v>
          </cell>
        </row>
        <row r="14">
          <cell r="E14">
            <v>21091</v>
          </cell>
          <cell r="F14">
            <v>12</v>
          </cell>
          <cell r="G14">
            <v>205</v>
          </cell>
          <cell r="H14">
            <v>283</v>
          </cell>
          <cell r="I14">
            <v>238</v>
          </cell>
          <cell r="J14">
            <v>210</v>
          </cell>
          <cell r="K14">
            <v>131</v>
          </cell>
          <cell r="L14">
            <v>148</v>
          </cell>
          <cell r="M14">
            <v>107</v>
          </cell>
          <cell r="N14">
            <v>109</v>
          </cell>
          <cell r="O14">
            <v>160</v>
          </cell>
          <cell r="P14">
            <v>195</v>
          </cell>
          <cell r="Q14">
            <v>286</v>
          </cell>
          <cell r="R14">
            <v>108</v>
          </cell>
          <cell r="S14">
            <v>2180</v>
          </cell>
          <cell r="T14">
            <v>181.66666666666666</v>
          </cell>
          <cell r="U14" t="str">
            <v>&gt; 150</v>
          </cell>
        </row>
        <row r="15">
          <cell r="E15">
            <v>28692</v>
          </cell>
          <cell r="F15">
            <v>5</v>
          </cell>
          <cell r="G15"/>
          <cell r="H15"/>
          <cell r="I15"/>
          <cell r="J15"/>
          <cell r="K15"/>
          <cell r="L15"/>
          <cell r="M15"/>
          <cell r="N15">
            <v>38</v>
          </cell>
          <cell r="O15">
            <v>91</v>
          </cell>
          <cell r="P15">
            <v>102</v>
          </cell>
          <cell r="Q15">
            <v>82</v>
          </cell>
          <cell r="R15">
            <v>56</v>
          </cell>
          <cell r="S15">
            <v>369</v>
          </cell>
          <cell r="T15">
            <v>73.8</v>
          </cell>
          <cell r="U15" t="str">
            <v>&lt; 150</v>
          </cell>
        </row>
        <row r="16">
          <cell r="E16">
            <v>20503</v>
          </cell>
          <cell r="F16">
            <v>11</v>
          </cell>
          <cell r="G16">
            <v>7</v>
          </cell>
          <cell r="H16">
            <v>7</v>
          </cell>
          <cell r="I16">
            <v>5</v>
          </cell>
          <cell r="J16">
            <v>33</v>
          </cell>
          <cell r="K16">
            <v>22</v>
          </cell>
          <cell r="L16">
            <v>31</v>
          </cell>
          <cell r="M16">
            <v>11</v>
          </cell>
          <cell r="N16">
            <v>11</v>
          </cell>
          <cell r="O16">
            <v>6</v>
          </cell>
          <cell r="P16">
            <v>12</v>
          </cell>
          <cell r="Q16">
            <v>6</v>
          </cell>
          <cell r="R16"/>
          <cell r="S16">
            <v>151</v>
          </cell>
          <cell r="T16">
            <v>13.727272727272727</v>
          </cell>
          <cell r="U16" t="str">
            <v>&lt; 150</v>
          </cell>
        </row>
        <row r="17">
          <cell r="E17">
            <v>21929</v>
          </cell>
          <cell r="F17">
            <v>3</v>
          </cell>
          <cell r="G17">
            <v>5</v>
          </cell>
          <cell r="H17">
            <v>1</v>
          </cell>
          <cell r="I17">
            <v>13</v>
          </cell>
          <cell r="J17"/>
          <cell r="K17"/>
          <cell r="L17"/>
          <cell r="M17"/>
          <cell r="N17"/>
          <cell r="O17"/>
          <cell r="P17"/>
          <cell r="Q17"/>
          <cell r="R17"/>
          <cell r="S17">
            <v>19</v>
          </cell>
          <cell r="T17">
            <v>6.333333333333333</v>
          </cell>
          <cell r="U17" t="str">
            <v>&lt; 150</v>
          </cell>
        </row>
        <row r="18">
          <cell r="E18">
            <v>28825</v>
          </cell>
          <cell r="F18">
            <v>0</v>
          </cell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>
            <v>0</v>
          </cell>
          <cell r="T18">
            <v>0</v>
          </cell>
          <cell r="U18" t="str">
            <v>Nill</v>
          </cell>
        </row>
        <row r="19">
          <cell r="E19">
            <v>23270</v>
          </cell>
          <cell r="F19">
            <v>12</v>
          </cell>
          <cell r="G19">
            <v>178</v>
          </cell>
          <cell r="H19">
            <v>144</v>
          </cell>
          <cell r="I19">
            <v>151</v>
          </cell>
          <cell r="J19">
            <v>120</v>
          </cell>
          <cell r="K19">
            <v>117</v>
          </cell>
          <cell r="L19">
            <v>111</v>
          </cell>
          <cell r="M19">
            <v>82</v>
          </cell>
          <cell r="N19">
            <v>116</v>
          </cell>
          <cell r="O19">
            <v>154</v>
          </cell>
          <cell r="P19">
            <v>189</v>
          </cell>
          <cell r="Q19">
            <v>238</v>
          </cell>
          <cell r="R19">
            <v>131</v>
          </cell>
          <cell r="S19">
            <v>1731</v>
          </cell>
          <cell r="T19">
            <v>144.25</v>
          </cell>
          <cell r="U19" t="str">
            <v>&lt; 150</v>
          </cell>
        </row>
        <row r="20">
          <cell r="E20">
            <v>25557</v>
          </cell>
          <cell r="F20">
            <v>12</v>
          </cell>
          <cell r="G20">
            <v>28</v>
          </cell>
          <cell r="H20">
            <v>52</v>
          </cell>
          <cell r="I20">
            <v>25</v>
          </cell>
          <cell r="J20">
            <v>29</v>
          </cell>
          <cell r="K20">
            <v>58</v>
          </cell>
          <cell r="L20">
            <v>30</v>
          </cell>
          <cell r="M20">
            <v>60</v>
          </cell>
          <cell r="N20">
            <v>68</v>
          </cell>
          <cell r="O20">
            <v>178</v>
          </cell>
          <cell r="P20">
            <v>186</v>
          </cell>
          <cell r="Q20">
            <v>158</v>
          </cell>
          <cell r="R20">
            <v>50</v>
          </cell>
          <cell r="S20">
            <v>922</v>
          </cell>
          <cell r="T20">
            <v>76.833333333333329</v>
          </cell>
          <cell r="U20" t="str">
            <v>&lt; 150</v>
          </cell>
        </row>
        <row r="21">
          <cell r="E21">
            <v>27154</v>
          </cell>
          <cell r="F21">
            <v>12</v>
          </cell>
          <cell r="G21">
            <v>474</v>
          </cell>
          <cell r="H21">
            <v>675</v>
          </cell>
          <cell r="I21">
            <v>529</v>
          </cell>
          <cell r="J21">
            <v>541</v>
          </cell>
          <cell r="K21">
            <v>724</v>
          </cell>
          <cell r="L21">
            <v>919</v>
          </cell>
          <cell r="M21">
            <v>928</v>
          </cell>
          <cell r="N21">
            <v>663</v>
          </cell>
          <cell r="O21">
            <v>827</v>
          </cell>
          <cell r="P21">
            <v>830</v>
          </cell>
          <cell r="Q21">
            <v>934</v>
          </cell>
          <cell r="R21">
            <v>420</v>
          </cell>
          <cell r="S21">
            <v>8464</v>
          </cell>
          <cell r="T21">
            <v>705.33333333333337</v>
          </cell>
          <cell r="U21" t="str">
            <v>&gt; 600</v>
          </cell>
        </row>
        <row r="22">
          <cell r="E22">
            <v>28176</v>
          </cell>
          <cell r="F22">
            <v>7</v>
          </cell>
          <cell r="G22"/>
          <cell r="H22"/>
          <cell r="I22"/>
          <cell r="J22"/>
          <cell r="K22"/>
          <cell r="L22">
            <v>477</v>
          </cell>
          <cell r="M22">
            <v>449</v>
          </cell>
          <cell r="N22">
            <v>499</v>
          </cell>
          <cell r="O22">
            <v>519</v>
          </cell>
          <cell r="P22">
            <v>443</v>
          </cell>
          <cell r="Q22">
            <v>427</v>
          </cell>
          <cell r="R22">
            <v>424</v>
          </cell>
          <cell r="S22">
            <v>3238</v>
          </cell>
          <cell r="T22">
            <v>462.57142857142856</v>
          </cell>
          <cell r="U22" t="str">
            <v>&gt; 450</v>
          </cell>
        </row>
        <row r="23">
          <cell r="E23">
            <v>28170</v>
          </cell>
          <cell r="F23">
            <v>8</v>
          </cell>
          <cell r="G23"/>
          <cell r="H23"/>
          <cell r="I23"/>
          <cell r="J23"/>
          <cell r="K23">
            <v>95</v>
          </cell>
          <cell r="L23">
            <v>312</v>
          </cell>
          <cell r="M23">
            <v>268</v>
          </cell>
          <cell r="N23">
            <v>323</v>
          </cell>
          <cell r="O23">
            <v>245</v>
          </cell>
          <cell r="P23">
            <v>277</v>
          </cell>
          <cell r="Q23">
            <v>407</v>
          </cell>
          <cell r="R23">
            <v>176</v>
          </cell>
          <cell r="S23">
            <v>2103</v>
          </cell>
          <cell r="T23">
            <v>262.875</v>
          </cell>
          <cell r="U23" t="str">
            <v>&gt; 150</v>
          </cell>
        </row>
        <row r="24">
          <cell r="E24">
            <v>21583</v>
          </cell>
          <cell r="F24">
            <v>12</v>
          </cell>
          <cell r="G24">
            <v>852</v>
          </cell>
          <cell r="H24">
            <v>1112</v>
          </cell>
          <cell r="I24">
            <v>1075</v>
          </cell>
          <cell r="J24">
            <v>1005</v>
          </cell>
          <cell r="K24">
            <v>1109</v>
          </cell>
          <cell r="L24">
            <v>1073</v>
          </cell>
          <cell r="M24">
            <v>1266</v>
          </cell>
          <cell r="N24">
            <v>1288</v>
          </cell>
          <cell r="O24">
            <v>1700</v>
          </cell>
          <cell r="P24">
            <v>1489</v>
          </cell>
          <cell r="Q24">
            <v>1229</v>
          </cell>
          <cell r="R24">
            <v>837</v>
          </cell>
          <cell r="S24">
            <v>14035</v>
          </cell>
          <cell r="T24">
            <v>1169.5833333333333</v>
          </cell>
          <cell r="U24" t="str">
            <v>&gt; 900</v>
          </cell>
        </row>
        <row r="25">
          <cell r="E25">
            <v>23178</v>
          </cell>
          <cell r="F25">
            <v>12</v>
          </cell>
          <cell r="G25">
            <v>806</v>
          </cell>
          <cell r="H25">
            <v>961</v>
          </cell>
          <cell r="I25">
            <v>771</v>
          </cell>
          <cell r="J25">
            <v>912</v>
          </cell>
          <cell r="K25">
            <v>913</v>
          </cell>
          <cell r="L25">
            <v>1008</v>
          </cell>
          <cell r="M25">
            <v>647</v>
          </cell>
          <cell r="N25">
            <v>785</v>
          </cell>
          <cell r="O25">
            <v>802</v>
          </cell>
          <cell r="P25">
            <v>984</v>
          </cell>
          <cell r="Q25">
            <v>645</v>
          </cell>
          <cell r="R25">
            <v>451</v>
          </cell>
          <cell r="S25">
            <v>9685</v>
          </cell>
          <cell r="T25">
            <v>807.08333333333337</v>
          </cell>
          <cell r="U25" t="str">
            <v>&gt; 600</v>
          </cell>
        </row>
        <row r="26">
          <cell r="E26">
            <v>27372</v>
          </cell>
          <cell r="F26">
            <v>12</v>
          </cell>
          <cell r="G26">
            <v>297</v>
          </cell>
          <cell r="H26">
            <v>319</v>
          </cell>
          <cell r="I26">
            <v>386</v>
          </cell>
          <cell r="J26">
            <v>370</v>
          </cell>
          <cell r="K26">
            <v>426</v>
          </cell>
          <cell r="L26">
            <v>323</v>
          </cell>
          <cell r="M26">
            <v>305</v>
          </cell>
          <cell r="N26">
            <v>367</v>
          </cell>
          <cell r="O26">
            <v>337</v>
          </cell>
          <cell r="P26">
            <v>424</v>
          </cell>
          <cell r="Q26">
            <v>351</v>
          </cell>
          <cell r="R26">
            <v>188</v>
          </cell>
          <cell r="S26">
            <v>4093</v>
          </cell>
          <cell r="T26">
            <v>341.08333333333331</v>
          </cell>
          <cell r="U26" t="str">
            <v>&gt; 300</v>
          </cell>
        </row>
        <row r="27">
          <cell r="E27">
            <v>22404</v>
          </cell>
          <cell r="F27">
            <v>12</v>
          </cell>
          <cell r="G27">
            <v>515</v>
          </cell>
          <cell r="H27">
            <v>756</v>
          </cell>
          <cell r="I27">
            <v>820</v>
          </cell>
          <cell r="J27">
            <v>819</v>
          </cell>
          <cell r="K27">
            <v>603</v>
          </cell>
          <cell r="L27">
            <v>770</v>
          </cell>
          <cell r="M27">
            <v>741</v>
          </cell>
          <cell r="N27">
            <v>632</v>
          </cell>
          <cell r="O27">
            <v>667</v>
          </cell>
          <cell r="P27">
            <v>662</v>
          </cell>
          <cell r="Q27">
            <v>618</v>
          </cell>
          <cell r="R27">
            <v>451</v>
          </cell>
          <cell r="S27">
            <v>8054</v>
          </cell>
          <cell r="T27">
            <v>671.16666666666663</v>
          </cell>
          <cell r="U27" t="str">
            <v>&gt; 600</v>
          </cell>
        </row>
        <row r="28">
          <cell r="E28">
            <v>27637</v>
          </cell>
          <cell r="F28">
            <v>11</v>
          </cell>
          <cell r="G28">
            <v>4</v>
          </cell>
          <cell r="H28"/>
          <cell r="I28">
            <v>1</v>
          </cell>
          <cell r="J28">
            <v>199</v>
          </cell>
          <cell r="K28">
            <v>203</v>
          </cell>
          <cell r="L28">
            <v>294</v>
          </cell>
          <cell r="M28">
            <v>285</v>
          </cell>
          <cell r="N28">
            <v>339</v>
          </cell>
          <cell r="O28">
            <v>286</v>
          </cell>
          <cell r="P28">
            <v>239</v>
          </cell>
          <cell r="Q28">
            <v>182</v>
          </cell>
          <cell r="R28">
            <v>118</v>
          </cell>
          <cell r="S28">
            <v>2150</v>
          </cell>
          <cell r="T28">
            <v>195.45454545454547</v>
          </cell>
          <cell r="U28" t="str">
            <v>&gt; 150</v>
          </cell>
        </row>
        <row r="29">
          <cell r="E29">
            <v>22402</v>
          </cell>
          <cell r="F29">
            <v>12</v>
          </cell>
          <cell r="G29">
            <v>85</v>
          </cell>
          <cell r="H29">
            <v>59</v>
          </cell>
          <cell r="I29">
            <v>76</v>
          </cell>
          <cell r="J29">
            <v>124</v>
          </cell>
          <cell r="K29">
            <v>97</v>
          </cell>
          <cell r="L29">
            <v>91</v>
          </cell>
          <cell r="M29">
            <v>70</v>
          </cell>
          <cell r="N29">
            <v>67</v>
          </cell>
          <cell r="O29">
            <v>63</v>
          </cell>
          <cell r="P29">
            <v>64</v>
          </cell>
          <cell r="Q29">
            <v>56</v>
          </cell>
          <cell r="R29">
            <v>22</v>
          </cell>
          <cell r="S29">
            <v>874</v>
          </cell>
          <cell r="T29">
            <v>72.833333333333329</v>
          </cell>
          <cell r="U29" t="str">
            <v>&lt; 150</v>
          </cell>
        </row>
        <row r="30">
          <cell r="E30">
            <v>26530</v>
          </cell>
          <cell r="F30">
            <v>12</v>
          </cell>
          <cell r="G30">
            <v>38</v>
          </cell>
          <cell r="H30">
            <v>77</v>
          </cell>
          <cell r="I30">
            <v>75</v>
          </cell>
          <cell r="J30">
            <v>104</v>
          </cell>
          <cell r="K30">
            <v>135</v>
          </cell>
          <cell r="L30">
            <v>54</v>
          </cell>
          <cell r="M30">
            <v>68</v>
          </cell>
          <cell r="N30">
            <v>60</v>
          </cell>
          <cell r="O30">
            <v>41</v>
          </cell>
          <cell r="P30">
            <v>87</v>
          </cell>
          <cell r="Q30">
            <v>48</v>
          </cell>
          <cell r="R30">
            <v>28</v>
          </cell>
          <cell r="S30">
            <v>815</v>
          </cell>
          <cell r="T30">
            <v>67.916666666666671</v>
          </cell>
          <cell r="U30" t="str">
            <v>&lt; 150</v>
          </cell>
        </row>
        <row r="31">
          <cell r="E31">
            <v>26507</v>
          </cell>
          <cell r="F31">
            <v>6</v>
          </cell>
          <cell r="G31">
            <v>2</v>
          </cell>
          <cell r="H31">
            <v>93</v>
          </cell>
          <cell r="I31">
            <v>89</v>
          </cell>
          <cell r="J31">
            <v>56</v>
          </cell>
          <cell r="K31">
            <v>87</v>
          </cell>
          <cell r="L31"/>
          <cell r="M31">
            <v>1</v>
          </cell>
          <cell r="N31"/>
          <cell r="O31"/>
          <cell r="P31"/>
          <cell r="Q31"/>
          <cell r="R31"/>
          <cell r="S31">
            <v>328</v>
          </cell>
          <cell r="T31">
            <v>54.666666666666664</v>
          </cell>
          <cell r="U31" t="str">
            <v>&lt; 150</v>
          </cell>
        </row>
        <row r="32">
          <cell r="E32">
            <v>27249</v>
          </cell>
          <cell r="F32">
            <v>12</v>
          </cell>
          <cell r="G32">
            <v>35</v>
          </cell>
          <cell r="H32">
            <v>55</v>
          </cell>
          <cell r="I32">
            <v>46</v>
          </cell>
          <cell r="J32">
            <v>48</v>
          </cell>
          <cell r="K32">
            <v>49</v>
          </cell>
          <cell r="L32">
            <v>48</v>
          </cell>
          <cell r="M32">
            <v>39</v>
          </cell>
          <cell r="N32">
            <v>36</v>
          </cell>
          <cell r="O32">
            <v>51</v>
          </cell>
          <cell r="P32">
            <v>67</v>
          </cell>
          <cell r="Q32">
            <v>43</v>
          </cell>
          <cell r="R32">
            <v>8</v>
          </cell>
          <cell r="S32">
            <v>525</v>
          </cell>
          <cell r="T32">
            <v>43.75</v>
          </cell>
          <cell r="U32" t="str">
            <v>&lt; 150</v>
          </cell>
        </row>
        <row r="33">
          <cell r="E33">
            <v>27252</v>
          </cell>
          <cell r="F33">
            <v>11</v>
          </cell>
          <cell r="G33">
            <v>4</v>
          </cell>
          <cell r="H33">
            <v>4</v>
          </cell>
          <cell r="I33">
            <v>9</v>
          </cell>
          <cell r="J33">
            <v>27</v>
          </cell>
          <cell r="K33">
            <v>16</v>
          </cell>
          <cell r="L33">
            <v>86</v>
          </cell>
          <cell r="M33">
            <v>36</v>
          </cell>
          <cell r="N33">
            <v>3</v>
          </cell>
          <cell r="O33">
            <v>38</v>
          </cell>
          <cell r="P33">
            <v>21</v>
          </cell>
          <cell r="Q33">
            <v>1</v>
          </cell>
          <cell r="R33"/>
          <cell r="S33">
            <v>245</v>
          </cell>
          <cell r="T33">
            <v>22.272727272727273</v>
          </cell>
          <cell r="U33" t="str">
            <v>&lt; 150</v>
          </cell>
        </row>
        <row r="34">
          <cell r="E34">
            <v>20322</v>
          </cell>
          <cell r="F34">
            <v>12</v>
          </cell>
          <cell r="G34">
            <v>549</v>
          </cell>
          <cell r="H34">
            <v>675</v>
          </cell>
          <cell r="I34">
            <v>662</v>
          </cell>
          <cell r="J34">
            <v>465</v>
          </cell>
          <cell r="K34">
            <v>540</v>
          </cell>
          <cell r="L34">
            <v>648</v>
          </cell>
          <cell r="M34">
            <v>185</v>
          </cell>
          <cell r="N34">
            <v>493</v>
          </cell>
          <cell r="O34">
            <v>603</v>
          </cell>
          <cell r="P34">
            <v>485</v>
          </cell>
          <cell r="Q34">
            <v>659</v>
          </cell>
          <cell r="R34">
            <v>324</v>
          </cell>
          <cell r="S34">
            <v>6288</v>
          </cell>
          <cell r="T34">
            <v>524</v>
          </cell>
          <cell r="U34" t="str">
            <v>&gt; 450</v>
          </cell>
        </row>
        <row r="35">
          <cell r="E35">
            <v>20502</v>
          </cell>
          <cell r="F35">
            <v>12</v>
          </cell>
          <cell r="G35">
            <v>1</v>
          </cell>
          <cell r="H35">
            <v>29</v>
          </cell>
          <cell r="I35">
            <v>86</v>
          </cell>
          <cell r="J35">
            <v>130</v>
          </cell>
          <cell r="K35">
            <v>185</v>
          </cell>
          <cell r="L35">
            <v>179</v>
          </cell>
          <cell r="M35">
            <v>122</v>
          </cell>
          <cell r="N35">
            <v>191</v>
          </cell>
          <cell r="O35">
            <v>163</v>
          </cell>
          <cell r="P35">
            <v>277</v>
          </cell>
          <cell r="Q35">
            <v>218</v>
          </cell>
          <cell r="R35">
            <v>67</v>
          </cell>
          <cell r="S35">
            <v>1648</v>
          </cell>
          <cell r="T35">
            <v>137.33333333333334</v>
          </cell>
          <cell r="U35" t="str">
            <v>&lt; 150</v>
          </cell>
        </row>
        <row r="36">
          <cell r="E36">
            <v>22768</v>
          </cell>
          <cell r="F36">
            <v>12</v>
          </cell>
          <cell r="G36">
            <v>179</v>
          </cell>
          <cell r="H36">
            <v>173</v>
          </cell>
          <cell r="I36">
            <v>19</v>
          </cell>
          <cell r="J36">
            <v>129</v>
          </cell>
          <cell r="K36">
            <v>15</v>
          </cell>
          <cell r="L36">
            <v>1</v>
          </cell>
          <cell r="M36">
            <v>24</v>
          </cell>
          <cell r="N36">
            <v>81</v>
          </cell>
          <cell r="O36">
            <v>69</v>
          </cell>
          <cell r="P36">
            <v>55</v>
          </cell>
          <cell r="Q36">
            <v>116</v>
          </cell>
          <cell r="R36">
            <v>80</v>
          </cell>
          <cell r="S36">
            <v>941</v>
          </cell>
          <cell r="T36">
            <v>78.416666666666671</v>
          </cell>
          <cell r="U36" t="str">
            <v>&lt; 150</v>
          </cell>
        </row>
        <row r="37">
          <cell r="E37">
            <v>22789</v>
          </cell>
          <cell r="F37">
            <v>12</v>
          </cell>
          <cell r="G37">
            <v>2568</v>
          </cell>
          <cell r="H37">
            <v>3184</v>
          </cell>
          <cell r="I37">
            <v>2661</v>
          </cell>
          <cell r="J37">
            <v>2308</v>
          </cell>
          <cell r="K37">
            <v>1835</v>
          </cell>
          <cell r="L37">
            <v>2620</v>
          </cell>
          <cell r="M37">
            <v>2668</v>
          </cell>
          <cell r="N37">
            <v>2995</v>
          </cell>
          <cell r="O37">
            <v>2651</v>
          </cell>
          <cell r="P37">
            <v>3013</v>
          </cell>
          <cell r="Q37">
            <v>2799</v>
          </cell>
          <cell r="R37">
            <v>1784</v>
          </cell>
          <cell r="S37">
            <v>31086</v>
          </cell>
          <cell r="T37">
            <v>2590.5</v>
          </cell>
          <cell r="U37" t="str">
            <v>&gt; 2000</v>
          </cell>
        </row>
        <row r="38">
          <cell r="E38">
            <v>22126</v>
          </cell>
          <cell r="F38">
            <v>12</v>
          </cell>
          <cell r="G38">
            <v>1951</v>
          </cell>
          <cell r="H38">
            <v>2233</v>
          </cell>
          <cell r="I38">
            <v>1906</v>
          </cell>
          <cell r="J38">
            <v>2146</v>
          </cell>
          <cell r="K38">
            <v>2051</v>
          </cell>
          <cell r="L38">
            <v>2205</v>
          </cell>
          <cell r="M38">
            <v>2483</v>
          </cell>
          <cell r="N38">
            <v>1808</v>
          </cell>
          <cell r="O38">
            <v>2348</v>
          </cell>
          <cell r="P38">
            <v>2662</v>
          </cell>
          <cell r="Q38">
            <v>2515</v>
          </cell>
          <cell r="R38">
            <v>1402</v>
          </cell>
          <cell r="S38">
            <v>25710</v>
          </cell>
          <cell r="T38">
            <v>2142.5</v>
          </cell>
          <cell r="U38" t="str">
            <v>&gt; 2000</v>
          </cell>
        </row>
        <row r="39">
          <cell r="E39">
            <v>22346</v>
          </cell>
          <cell r="F39">
            <v>12</v>
          </cell>
          <cell r="G39">
            <v>1367</v>
          </cell>
          <cell r="H39">
            <v>1398</v>
          </cell>
          <cell r="I39">
            <v>1255</v>
          </cell>
          <cell r="J39">
            <v>1241</v>
          </cell>
          <cell r="K39">
            <v>1284</v>
          </cell>
          <cell r="L39">
            <v>1680</v>
          </cell>
          <cell r="M39">
            <v>2221</v>
          </cell>
          <cell r="N39">
            <v>2272</v>
          </cell>
          <cell r="O39">
            <v>2192</v>
          </cell>
          <cell r="P39">
            <v>2238</v>
          </cell>
          <cell r="Q39">
            <v>2099</v>
          </cell>
          <cell r="R39">
            <v>1461</v>
          </cell>
          <cell r="S39">
            <v>20708</v>
          </cell>
          <cell r="T39">
            <v>1725.6666666666667</v>
          </cell>
          <cell r="U39" t="str">
            <v>&gt; 1500</v>
          </cell>
        </row>
        <row r="40">
          <cell r="E40">
            <v>22131</v>
          </cell>
          <cell r="F40">
            <v>12</v>
          </cell>
          <cell r="G40">
            <v>2083</v>
          </cell>
          <cell r="H40">
            <v>1934</v>
          </cell>
          <cell r="I40">
            <v>1588</v>
          </cell>
          <cell r="J40">
            <v>1930</v>
          </cell>
          <cell r="K40">
            <v>1851</v>
          </cell>
          <cell r="L40">
            <v>1841</v>
          </cell>
          <cell r="M40">
            <v>1337</v>
          </cell>
          <cell r="N40">
            <v>1088</v>
          </cell>
          <cell r="O40">
            <v>787</v>
          </cell>
          <cell r="P40">
            <v>1182</v>
          </cell>
          <cell r="Q40">
            <v>1523</v>
          </cell>
          <cell r="R40">
            <v>812</v>
          </cell>
          <cell r="S40">
            <v>17956</v>
          </cell>
          <cell r="T40">
            <v>1496.3333333333333</v>
          </cell>
          <cell r="U40" t="str">
            <v>&gt; 900</v>
          </cell>
        </row>
        <row r="41">
          <cell r="E41">
            <v>22073</v>
          </cell>
          <cell r="F41">
            <v>12</v>
          </cell>
          <cell r="G41">
            <v>2187</v>
          </cell>
          <cell r="H41">
            <v>2195</v>
          </cell>
          <cell r="I41">
            <v>1557</v>
          </cell>
          <cell r="J41">
            <v>1344</v>
          </cell>
          <cell r="K41">
            <v>1113</v>
          </cell>
          <cell r="L41">
            <v>1449</v>
          </cell>
          <cell r="M41">
            <v>1390</v>
          </cell>
          <cell r="N41">
            <v>1408</v>
          </cell>
          <cell r="O41">
            <v>1191</v>
          </cell>
          <cell r="P41">
            <v>1183</v>
          </cell>
          <cell r="Q41">
            <v>1310</v>
          </cell>
          <cell r="R41">
            <v>714</v>
          </cell>
          <cell r="S41">
            <v>17041</v>
          </cell>
          <cell r="T41">
            <v>1420.0833333333333</v>
          </cell>
          <cell r="U41" t="str">
            <v>&gt; 900</v>
          </cell>
        </row>
        <row r="42">
          <cell r="E42">
            <v>26399</v>
          </cell>
          <cell r="F42">
            <v>12</v>
          </cell>
          <cell r="G42">
            <v>903</v>
          </cell>
          <cell r="H42">
            <v>798</v>
          </cell>
          <cell r="I42">
            <v>821</v>
          </cell>
          <cell r="J42">
            <v>973</v>
          </cell>
          <cell r="K42">
            <v>951</v>
          </cell>
          <cell r="L42">
            <v>1141</v>
          </cell>
          <cell r="M42">
            <v>1166</v>
          </cell>
          <cell r="N42">
            <v>1229</v>
          </cell>
          <cell r="O42">
            <v>1217</v>
          </cell>
          <cell r="P42">
            <v>1395</v>
          </cell>
          <cell r="Q42">
            <v>1298</v>
          </cell>
          <cell r="R42">
            <v>792</v>
          </cell>
          <cell r="S42">
            <v>12684</v>
          </cell>
          <cell r="T42">
            <v>1057</v>
          </cell>
          <cell r="U42" t="str">
            <v>&gt; 900</v>
          </cell>
        </row>
        <row r="43">
          <cell r="E43">
            <v>23429</v>
          </cell>
          <cell r="F43">
            <v>12</v>
          </cell>
          <cell r="G43">
            <v>895</v>
          </cell>
          <cell r="H43">
            <v>1038</v>
          </cell>
          <cell r="I43">
            <v>1042</v>
          </cell>
          <cell r="J43">
            <v>1056</v>
          </cell>
          <cell r="K43">
            <v>921</v>
          </cell>
          <cell r="L43">
            <v>970</v>
          </cell>
          <cell r="M43">
            <v>1095</v>
          </cell>
          <cell r="N43">
            <v>953</v>
          </cell>
          <cell r="O43">
            <v>995</v>
          </cell>
          <cell r="P43">
            <v>1175</v>
          </cell>
          <cell r="Q43">
            <v>1224</v>
          </cell>
          <cell r="R43">
            <v>522</v>
          </cell>
          <cell r="S43">
            <v>11886</v>
          </cell>
          <cell r="T43">
            <v>990.5</v>
          </cell>
          <cell r="U43" t="str">
            <v>&gt; 900</v>
          </cell>
        </row>
        <row r="44">
          <cell r="E44">
            <v>23669</v>
          </cell>
          <cell r="F44">
            <v>12</v>
          </cell>
          <cell r="G44">
            <v>743</v>
          </cell>
          <cell r="H44">
            <v>785</v>
          </cell>
          <cell r="I44">
            <v>700</v>
          </cell>
          <cell r="J44">
            <v>725</v>
          </cell>
          <cell r="K44">
            <v>831</v>
          </cell>
          <cell r="L44">
            <v>910</v>
          </cell>
          <cell r="M44">
            <v>849</v>
          </cell>
          <cell r="N44">
            <v>800</v>
          </cell>
          <cell r="O44">
            <v>817</v>
          </cell>
          <cell r="P44">
            <v>838</v>
          </cell>
          <cell r="Q44">
            <v>833</v>
          </cell>
          <cell r="R44">
            <v>480</v>
          </cell>
          <cell r="S44">
            <v>9311</v>
          </cell>
          <cell r="T44">
            <v>775.91666666666663</v>
          </cell>
          <cell r="U44" t="str">
            <v>&gt; 600</v>
          </cell>
        </row>
        <row r="45">
          <cell r="E45">
            <v>24153</v>
          </cell>
          <cell r="F45">
            <v>12</v>
          </cell>
          <cell r="G45">
            <v>731</v>
          </cell>
          <cell r="H45">
            <v>754</v>
          </cell>
          <cell r="I45">
            <v>747</v>
          </cell>
          <cell r="J45">
            <v>547</v>
          </cell>
          <cell r="K45">
            <v>827</v>
          </cell>
          <cell r="L45">
            <v>804</v>
          </cell>
          <cell r="M45">
            <v>370</v>
          </cell>
          <cell r="N45">
            <v>736</v>
          </cell>
          <cell r="O45">
            <v>804</v>
          </cell>
          <cell r="P45">
            <v>914</v>
          </cell>
          <cell r="Q45">
            <v>1011</v>
          </cell>
          <cell r="R45">
            <v>565</v>
          </cell>
          <cell r="S45">
            <v>8810</v>
          </cell>
          <cell r="T45">
            <v>734.16666666666663</v>
          </cell>
          <cell r="U45" t="str">
            <v>&gt; 600</v>
          </cell>
        </row>
        <row r="46">
          <cell r="E46">
            <v>23432</v>
          </cell>
          <cell r="F46">
            <v>12</v>
          </cell>
          <cell r="G46">
            <v>575</v>
          </cell>
          <cell r="H46">
            <v>581</v>
          </cell>
          <cell r="I46">
            <v>605</v>
          </cell>
          <cell r="J46">
            <v>674</v>
          </cell>
          <cell r="K46">
            <v>480</v>
          </cell>
          <cell r="L46">
            <v>659</v>
          </cell>
          <cell r="M46">
            <v>572</v>
          </cell>
          <cell r="N46">
            <v>588</v>
          </cell>
          <cell r="O46">
            <v>563</v>
          </cell>
          <cell r="P46">
            <v>647</v>
          </cell>
          <cell r="Q46">
            <v>614</v>
          </cell>
          <cell r="R46">
            <v>416</v>
          </cell>
          <cell r="S46">
            <v>6974</v>
          </cell>
          <cell r="T46">
            <v>581.16666666666663</v>
          </cell>
          <cell r="U46" t="str">
            <v>&gt; 450</v>
          </cell>
        </row>
        <row r="47">
          <cell r="E47">
            <v>23969</v>
          </cell>
          <cell r="F47">
            <v>12</v>
          </cell>
          <cell r="G47">
            <v>485</v>
          </cell>
          <cell r="H47">
            <v>600</v>
          </cell>
          <cell r="I47">
            <v>569</v>
          </cell>
          <cell r="J47">
            <v>599</v>
          </cell>
          <cell r="K47">
            <v>521</v>
          </cell>
          <cell r="L47">
            <v>544</v>
          </cell>
          <cell r="M47">
            <v>606</v>
          </cell>
          <cell r="N47">
            <v>666</v>
          </cell>
          <cell r="O47">
            <v>568</v>
          </cell>
          <cell r="P47">
            <v>622</v>
          </cell>
          <cell r="Q47">
            <v>683</v>
          </cell>
          <cell r="R47">
            <v>437</v>
          </cell>
          <cell r="S47">
            <v>6900</v>
          </cell>
          <cell r="T47">
            <v>575</v>
          </cell>
          <cell r="U47" t="str">
            <v>&gt; 450</v>
          </cell>
        </row>
        <row r="48">
          <cell r="E48">
            <v>23142</v>
          </cell>
          <cell r="F48">
            <v>12</v>
          </cell>
          <cell r="G48">
            <v>545</v>
          </cell>
          <cell r="H48">
            <v>619</v>
          </cell>
          <cell r="I48">
            <v>763</v>
          </cell>
          <cell r="J48">
            <v>702</v>
          </cell>
          <cell r="K48">
            <v>549</v>
          </cell>
          <cell r="L48">
            <v>522</v>
          </cell>
          <cell r="M48">
            <v>531</v>
          </cell>
          <cell r="N48">
            <v>332</v>
          </cell>
          <cell r="O48">
            <v>501</v>
          </cell>
          <cell r="P48">
            <v>611</v>
          </cell>
          <cell r="Q48">
            <v>627</v>
          </cell>
          <cell r="R48">
            <v>330</v>
          </cell>
          <cell r="S48">
            <v>6632</v>
          </cell>
          <cell r="T48">
            <v>552.66666666666663</v>
          </cell>
          <cell r="U48" t="str">
            <v>&gt; 450</v>
          </cell>
        </row>
        <row r="49">
          <cell r="E49">
            <v>22773</v>
          </cell>
          <cell r="F49">
            <v>12</v>
          </cell>
          <cell r="G49">
            <v>524</v>
          </cell>
          <cell r="H49">
            <v>520</v>
          </cell>
          <cell r="I49">
            <v>502</v>
          </cell>
          <cell r="J49">
            <v>451</v>
          </cell>
          <cell r="K49">
            <v>390</v>
          </cell>
          <cell r="L49">
            <v>458</v>
          </cell>
          <cell r="M49">
            <v>406</v>
          </cell>
          <cell r="N49">
            <v>664</v>
          </cell>
          <cell r="O49">
            <v>777</v>
          </cell>
          <cell r="P49">
            <v>771</v>
          </cell>
          <cell r="Q49">
            <v>619</v>
          </cell>
          <cell r="R49">
            <v>319</v>
          </cell>
          <cell r="S49">
            <v>6401</v>
          </cell>
          <cell r="T49">
            <v>533.41666666666663</v>
          </cell>
          <cell r="U49" t="str">
            <v>&gt; 450</v>
          </cell>
        </row>
        <row r="50">
          <cell r="E50">
            <v>22128</v>
          </cell>
          <cell r="F50">
            <v>12</v>
          </cell>
          <cell r="G50">
            <v>445</v>
          </cell>
          <cell r="H50">
            <v>516</v>
          </cell>
          <cell r="I50">
            <v>483</v>
          </cell>
          <cell r="J50">
            <v>496</v>
          </cell>
          <cell r="K50">
            <v>532</v>
          </cell>
          <cell r="L50">
            <v>385</v>
          </cell>
          <cell r="M50">
            <v>522</v>
          </cell>
          <cell r="N50">
            <v>482</v>
          </cell>
          <cell r="O50">
            <v>617</v>
          </cell>
          <cell r="P50">
            <v>883</v>
          </cell>
          <cell r="Q50">
            <v>694</v>
          </cell>
          <cell r="R50">
            <v>311</v>
          </cell>
          <cell r="S50">
            <v>6366</v>
          </cell>
          <cell r="T50">
            <v>530.5</v>
          </cell>
          <cell r="U50" t="str">
            <v>&gt; 450</v>
          </cell>
        </row>
        <row r="51">
          <cell r="E51">
            <v>26501</v>
          </cell>
          <cell r="F51">
            <v>12</v>
          </cell>
          <cell r="G51">
            <v>722</v>
          </cell>
          <cell r="H51">
            <v>650</v>
          </cell>
          <cell r="I51">
            <v>434</v>
          </cell>
          <cell r="J51">
            <v>500</v>
          </cell>
          <cell r="K51">
            <v>464</v>
          </cell>
          <cell r="L51">
            <v>184</v>
          </cell>
          <cell r="M51">
            <v>308</v>
          </cell>
          <cell r="N51">
            <v>490</v>
          </cell>
          <cell r="O51">
            <v>615</v>
          </cell>
          <cell r="P51">
            <v>812</v>
          </cell>
          <cell r="Q51">
            <v>795</v>
          </cell>
          <cell r="R51">
            <v>374</v>
          </cell>
          <cell r="S51">
            <v>6348</v>
          </cell>
          <cell r="T51">
            <v>529</v>
          </cell>
          <cell r="U51" t="str">
            <v>&gt; 450</v>
          </cell>
        </row>
        <row r="52">
          <cell r="E52">
            <v>26084</v>
          </cell>
          <cell r="F52">
            <v>12</v>
          </cell>
          <cell r="G52">
            <v>289</v>
          </cell>
          <cell r="H52">
            <v>381</v>
          </cell>
          <cell r="I52">
            <v>377</v>
          </cell>
          <cell r="J52">
            <v>438</v>
          </cell>
          <cell r="K52">
            <v>382</v>
          </cell>
          <cell r="L52">
            <v>502</v>
          </cell>
          <cell r="M52">
            <v>379</v>
          </cell>
          <cell r="N52">
            <v>471</v>
          </cell>
          <cell r="O52">
            <v>510</v>
          </cell>
          <cell r="P52">
            <v>628</v>
          </cell>
          <cell r="Q52">
            <v>795</v>
          </cell>
          <cell r="R52">
            <v>437</v>
          </cell>
          <cell r="S52">
            <v>5589</v>
          </cell>
          <cell r="T52">
            <v>465.75</v>
          </cell>
          <cell r="U52" t="str">
            <v>&gt; 450</v>
          </cell>
        </row>
        <row r="53">
          <cell r="E53">
            <v>26015</v>
          </cell>
          <cell r="F53">
            <v>12</v>
          </cell>
          <cell r="G53">
            <v>411</v>
          </cell>
          <cell r="H53">
            <v>442</v>
          </cell>
          <cell r="I53">
            <v>402</v>
          </cell>
          <cell r="J53">
            <v>453</v>
          </cell>
          <cell r="K53">
            <v>435</v>
          </cell>
          <cell r="L53">
            <v>526</v>
          </cell>
          <cell r="M53">
            <v>468</v>
          </cell>
          <cell r="N53">
            <v>496</v>
          </cell>
          <cell r="O53">
            <v>494</v>
          </cell>
          <cell r="P53">
            <v>452</v>
          </cell>
          <cell r="Q53">
            <v>478</v>
          </cell>
          <cell r="R53">
            <v>275</v>
          </cell>
          <cell r="S53">
            <v>5332</v>
          </cell>
          <cell r="T53">
            <v>444.33333333333331</v>
          </cell>
          <cell r="U53" t="str">
            <v>&gt; 300</v>
          </cell>
        </row>
        <row r="54">
          <cell r="E54">
            <v>23560</v>
          </cell>
          <cell r="F54">
            <v>12</v>
          </cell>
          <cell r="G54">
            <v>457</v>
          </cell>
          <cell r="H54">
            <v>565</v>
          </cell>
          <cell r="I54">
            <v>471</v>
          </cell>
          <cell r="J54">
            <v>496</v>
          </cell>
          <cell r="K54">
            <v>477</v>
          </cell>
          <cell r="L54">
            <v>338</v>
          </cell>
          <cell r="M54">
            <v>283</v>
          </cell>
          <cell r="N54">
            <v>341</v>
          </cell>
          <cell r="O54">
            <v>412</v>
          </cell>
          <cell r="P54">
            <v>441</v>
          </cell>
          <cell r="Q54">
            <v>548</v>
          </cell>
          <cell r="R54">
            <v>383</v>
          </cell>
          <cell r="S54">
            <v>5212</v>
          </cell>
          <cell r="T54">
            <v>434.33333333333331</v>
          </cell>
          <cell r="U54" t="str">
            <v>&gt; 300</v>
          </cell>
        </row>
        <row r="55">
          <cell r="E55">
            <v>26403</v>
          </cell>
          <cell r="F55">
            <v>12</v>
          </cell>
          <cell r="G55">
            <v>398</v>
          </cell>
          <cell r="H55">
            <v>550</v>
          </cell>
          <cell r="I55">
            <v>453</v>
          </cell>
          <cell r="J55">
            <v>453</v>
          </cell>
          <cell r="K55">
            <v>469</v>
          </cell>
          <cell r="L55">
            <v>379</v>
          </cell>
          <cell r="M55">
            <v>462</v>
          </cell>
          <cell r="N55">
            <v>424</v>
          </cell>
          <cell r="O55">
            <v>401</v>
          </cell>
          <cell r="P55">
            <v>371</v>
          </cell>
          <cell r="Q55">
            <v>445</v>
          </cell>
          <cell r="R55">
            <v>141</v>
          </cell>
          <cell r="S55">
            <v>4946</v>
          </cell>
          <cell r="T55">
            <v>412.16666666666669</v>
          </cell>
          <cell r="U55" t="str">
            <v>&gt; 300</v>
          </cell>
        </row>
        <row r="56">
          <cell r="E56">
            <v>22130</v>
          </cell>
          <cell r="F56">
            <v>12</v>
          </cell>
          <cell r="G56">
            <v>277</v>
          </cell>
          <cell r="H56">
            <v>426</v>
          </cell>
          <cell r="I56">
            <v>419</v>
          </cell>
          <cell r="J56">
            <v>142</v>
          </cell>
          <cell r="K56">
            <v>208</v>
          </cell>
          <cell r="L56">
            <v>329</v>
          </cell>
          <cell r="M56">
            <v>263</v>
          </cell>
          <cell r="N56">
            <v>185</v>
          </cell>
          <cell r="O56">
            <v>558</v>
          </cell>
          <cell r="P56">
            <v>476</v>
          </cell>
          <cell r="Q56">
            <v>818</v>
          </cell>
          <cell r="R56">
            <v>296</v>
          </cell>
          <cell r="S56">
            <v>4397</v>
          </cell>
          <cell r="T56">
            <v>366.41666666666669</v>
          </cell>
          <cell r="U56" t="str">
            <v>&gt; 300</v>
          </cell>
        </row>
        <row r="57">
          <cell r="E57">
            <v>23433</v>
          </cell>
          <cell r="F57">
            <v>12</v>
          </cell>
          <cell r="G57">
            <v>449</v>
          </cell>
          <cell r="H57">
            <v>460</v>
          </cell>
          <cell r="I57">
            <v>424</v>
          </cell>
          <cell r="J57">
            <v>288</v>
          </cell>
          <cell r="K57">
            <v>294</v>
          </cell>
          <cell r="L57">
            <v>328</v>
          </cell>
          <cell r="M57">
            <v>283</v>
          </cell>
          <cell r="N57">
            <v>286</v>
          </cell>
          <cell r="O57">
            <v>285</v>
          </cell>
          <cell r="P57">
            <v>469</v>
          </cell>
          <cell r="Q57">
            <v>397</v>
          </cell>
          <cell r="R57">
            <v>253</v>
          </cell>
          <cell r="S57">
            <v>4216</v>
          </cell>
          <cell r="T57">
            <v>351.33333333333331</v>
          </cell>
          <cell r="U57" t="str">
            <v>&gt; 300</v>
          </cell>
        </row>
        <row r="58">
          <cell r="E58">
            <v>27629</v>
          </cell>
          <cell r="F58">
            <v>12</v>
          </cell>
          <cell r="G58">
            <v>37</v>
          </cell>
          <cell r="H58">
            <v>98</v>
          </cell>
          <cell r="I58">
            <v>173</v>
          </cell>
          <cell r="J58">
            <v>226</v>
          </cell>
          <cell r="K58">
            <v>296</v>
          </cell>
          <cell r="L58">
            <v>372</v>
          </cell>
          <cell r="M58">
            <v>465</v>
          </cell>
          <cell r="N58">
            <v>434</v>
          </cell>
          <cell r="O58">
            <v>563</v>
          </cell>
          <cell r="P58">
            <v>585</v>
          </cell>
          <cell r="Q58">
            <v>582</v>
          </cell>
          <cell r="R58">
            <v>268</v>
          </cell>
          <cell r="S58">
            <v>4099</v>
          </cell>
          <cell r="T58">
            <v>341.58333333333331</v>
          </cell>
          <cell r="U58" t="str">
            <v>&gt; 300</v>
          </cell>
        </row>
        <row r="59">
          <cell r="E59">
            <v>22452</v>
          </cell>
          <cell r="F59">
            <v>12</v>
          </cell>
          <cell r="G59">
            <v>291</v>
          </cell>
          <cell r="H59">
            <v>357</v>
          </cell>
          <cell r="I59">
            <v>276</v>
          </cell>
          <cell r="J59">
            <v>359</v>
          </cell>
          <cell r="K59">
            <v>274</v>
          </cell>
          <cell r="L59">
            <v>316</v>
          </cell>
          <cell r="M59">
            <v>303</v>
          </cell>
          <cell r="N59">
            <v>329</v>
          </cell>
          <cell r="O59">
            <v>361</v>
          </cell>
          <cell r="P59">
            <v>309</v>
          </cell>
          <cell r="Q59">
            <v>336</v>
          </cell>
          <cell r="R59">
            <v>192</v>
          </cell>
          <cell r="S59">
            <v>3703</v>
          </cell>
          <cell r="T59">
            <v>308.58333333333331</v>
          </cell>
          <cell r="U59" t="str">
            <v>&gt; 300</v>
          </cell>
        </row>
        <row r="60">
          <cell r="E60">
            <v>24495</v>
          </cell>
          <cell r="F60">
            <v>12</v>
          </cell>
          <cell r="G60">
            <v>186</v>
          </cell>
          <cell r="H60">
            <v>283</v>
          </cell>
          <cell r="I60">
            <v>281</v>
          </cell>
          <cell r="J60">
            <v>318</v>
          </cell>
          <cell r="K60">
            <v>280</v>
          </cell>
          <cell r="L60">
            <v>314</v>
          </cell>
          <cell r="M60">
            <v>404</v>
          </cell>
          <cell r="N60">
            <v>272</v>
          </cell>
          <cell r="O60">
            <v>343</v>
          </cell>
          <cell r="P60">
            <v>355</v>
          </cell>
          <cell r="Q60">
            <v>407</v>
          </cell>
          <cell r="R60">
            <v>226</v>
          </cell>
          <cell r="S60">
            <v>3669</v>
          </cell>
          <cell r="T60">
            <v>305.75</v>
          </cell>
          <cell r="U60" t="str">
            <v>&gt; 300</v>
          </cell>
        </row>
        <row r="61">
          <cell r="E61">
            <v>23565</v>
          </cell>
          <cell r="F61">
            <v>12</v>
          </cell>
          <cell r="G61">
            <v>184</v>
          </cell>
          <cell r="H61">
            <v>203</v>
          </cell>
          <cell r="I61">
            <v>129</v>
          </cell>
          <cell r="J61">
            <v>195</v>
          </cell>
          <cell r="K61">
            <v>200</v>
          </cell>
          <cell r="L61">
            <v>232</v>
          </cell>
          <cell r="M61">
            <v>242</v>
          </cell>
          <cell r="N61">
            <v>241</v>
          </cell>
          <cell r="O61">
            <v>237</v>
          </cell>
          <cell r="P61">
            <v>324</v>
          </cell>
          <cell r="Q61">
            <v>264</v>
          </cell>
          <cell r="R61">
            <v>143</v>
          </cell>
          <cell r="S61">
            <v>2594</v>
          </cell>
          <cell r="T61">
            <v>216.16666666666666</v>
          </cell>
          <cell r="U61" t="str">
            <v>&gt; 150</v>
          </cell>
        </row>
        <row r="62">
          <cell r="E62">
            <v>22401</v>
          </cell>
          <cell r="F62">
            <v>12</v>
          </cell>
          <cell r="G62">
            <v>267</v>
          </cell>
          <cell r="H62">
            <v>380</v>
          </cell>
          <cell r="I62">
            <v>238</v>
          </cell>
          <cell r="J62">
            <v>289</v>
          </cell>
          <cell r="K62">
            <v>194</v>
          </cell>
          <cell r="L62">
            <v>254</v>
          </cell>
          <cell r="M62">
            <v>102</v>
          </cell>
          <cell r="N62">
            <v>168</v>
          </cell>
          <cell r="O62">
            <v>201</v>
          </cell>
          <cell r="P62">
            <v>204</v>
          </cell>
          <cell r="Q62">
            <v>197</v>
          </cell>
          <cell r="R62">
            <v>67</v>
          </cell>
          <cell r="S62">
            <v>2561</v>
          </cell>
          <cell r="T62">
            <v>213.41666666666666</v>
          </cell>
          <cell r="U62" t="str">
            <v>&gt; 150</v>
          </cell>
        </row>
        <row r="63">
          <cell r="E63">
            <v>24494</v>
          </cell>
          <cell r="F63">
            <v>12</v>
          </cell>
          <cell r="G63">
            <v>185</v>
          </cell>
          <cell r="H63">
            <v>89</v>
          </cell>
          <cell r="I63">
            <v>173</v>
          </cell>
          <cell r="J63">
            <v>171</v>
          </cell>
          <cell r="K63">
            <v>126</v>
          </cell>
          <cell r="L63">
            <v>308</v>
          </cell>
          <cell r="M63">
            <v>267</v>
          </cell>
          <cell r="N63">
            <v>172</v>
          </cell>
          <cell r="O63">
            <v>223</v>
          </cell>
          <cell r="P63">
            <v>182</v>
          </cell>
          <cell r="Q63">
            <v>149</v>
          </cell>
          <cell r="R63">
            <v>149</v>
          </cell>
          <cell r="S63">
            <v>2194</v>
          </cell>
          <cell r="T63">
            <v>182.83333333333334</v>
          </cell>
          <cell r="U63" t="str">
            <v>&gt; 150</v>
          </cell>
        </row>
        <row r="64">
          <cell r="E64">
            <v>22400</v>
          </cell>
          <cell r="F64">
            <v>12</v>
          </cell>
          <cell r="G64">
            <v>383</v>
          </cell>
          <cell r="H64">
            <v>442</v>
          </cell>
          <cell r="I64">
            <v>287</v>
          </cell>
          <cell r="J64">
            <v>242</v>
          </cell>
          <cell r="K64">
            <v>210</v>
          </cell>
          <cell r="L64">
            <v>214</v>
          </cell>
          <cell r="M64">
            <v>166</v>
          </cell>
          <cell r="N64">
            <v>57</v>
          </cell>
          <cell r="O64">
            <v>59</v>
          </cell>
          <cell r="P64">
            <v>49</v>
          </cell>
          <cell r="Q64">
            <v>32</v>
          </cell>
          <cell r="R64">
            <v>36</v>
          </cell>
          <cell r="S64">
            <v>2177</v>
          </cell>
          <cell r="T64">
            <v>181.41666666666666</v>
          </cell>
          <cell r="U64" t="str">
            <v>&gt; 150</v>
          </cell>
        </row>
        <row r="65">
          <cell r="E65">
            <v>28201</v>
          </cell>
          <cell r="F65">
            <v>8</v>
          </cell>
          <cell r="G65"/>
          <cell r="H65"/>
          <cell r="I65"/>
          <cell r="J65"/>
          <cell r="K65">
            <v>14</v>
          </cell>
          <cell r="L65">
            <v>152</v>
          </cell>
          <cell r="M65">
            <v>153</v>
          </cell>
          <cell r="N65">
            <v>251</v>
          </cell>
          <cell r="O65">
            <v>235</v>
          </cell>
          <cell r="P65">
            <v>254</v>
          </cell>
          <cell r="Q65">
            <v>235</v>
          </cell>
          <cell r="R65">
            <v>120</v>
          </cell>
          <cell r="S65">
            <v>1414</v>
          </cell>
          <cell r="T65">
            <v>176.75</v>
          </cell>
          <cell r="U65" t="str">
            <v>&gt; 150</v>
          </cell>
        </row>
        <row r="66">
          <cell r="E66">
            <v>23431</v>
          </cell>
          <cell r="F66">
            <v>12</v>
          </cell>
          <cell r="G66">
            <v>205</v>
          </cell>
          <cell r="H66">
            <v>168</v>
          </cell>
          <cell r="I66">
            <v>136</v>
          </cell>
          <cell r="J66">
            <v>151</v>
          </cell>
          <cell r="K66">
            <v>189</v>
          </cell>
          <cell r="L66">
            <v>132</v>
          </cell>
          <cell r="M66">
            <v>212</v>
          </cell>
          <cell r="N66">
            <v>129</v>
          </cell>
          <cell r="O66">
            <v>111</v>
          </cell>
          <cell r="P66">
            <v>164</v>
          </cell>
          <cell r="Q66">
            <v>268</v>
          </cell>
          <cell r="R66">
            <v>60</v>
          </cell>
          <cell r="S66">
            <v>1925</v>
          </cell>
          <cell r="T66">
            <v>160.41666666666666</v>
          </cell>
          <cell r="U66" t="str">
            <v>&gt; 150</v>
          </cell>
        </row>
        <row r="67">
          <cell r="E67">
            <v>23147</v>
          </cell>
          <cell r="F67">
            <v>1</v>
          </cell>
          <cell r="G67">
            <v>57</v>
          </cell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>
            <v>57</v>
          </cell>
          <cell r="T67">
            <v>57</v>
          </cell>
          <cell r="U67" t="str">
            <v>&lt; 150</v>
          </cell>
        </row>
        <row r="68">
          <cell r="E68">
            <v>22453</v>
          </cell>
          <cell r="F68">
            <v>11</v>
          </cell>
          <cell r="G68">
            <v>42</v>
          </cell>
          <cell r="H68">
            <v>47</v>
          </cell>
          <cell r="I68">
            <v>69</v>
          </cell>
          <cell r="J68">
            <v>14</v>
          </cell>
          <cell r="K68">
            <v>28</v>
          </cell>
          <cell r="L68"/>
          <cell r="M68">
            <v>31</v>
          </cell>
          <cell r="N68">
            <v>35</v>
          </cell>
          <cell r="O68">
            <v>32</v>
          </cell>
          <cell r="P68">
            <v>58</v>
          </cell>
          <cell r="Q68">
            <v>43</v>
          </cell>
          <cell r="R68">
            <v>19</v>
          </cell>
          <cell r="S68">
            <v>418</v>
          </cell>
          <cell r="T68">
            <v>38</v>
          </cell>
          <cell r="U68" t="str">
            <v>&lt; 150</v>
          </cell>
        </row>
        <row r="69">
          <cell r="E69">
            <v>23214</v>
          </cell>
          <cell r="F69">
            <v>12</v>
          </cell>
          <cell r="G69">
            <v>40</v>
          </cell>
          <cell r="H69">
            <v>41</v>
          </cell>
          <cell r="I69">
            <v>2</v>
          </cell>
          <cell r="J69">
            <v>36</v>
          </cell>
          <cell r="K69">
            <v>40</v>
          </cell>
          <cell r="L69">
            <v>18</v>
          </cell>
          <cell r="M69">
            <v>24</v>
          </cell>
          <cell r="N69">
            <v>19</v>
          </cell>
          <cell r="O69">
            <v>38</v>
          </cell>
          <cell r="P69">
            <v>40</v>
          </cell>
          <cell r="Q69">
            <v>48</v>
          </cell>
          <cell r="R69">
            <v>16</v>
          </cell>
          <cell r="S69">
            <v>362</v>
          </cell>
          <cell r="T69">
            <v>30.166666666666668</v>
          </cell>
          <cell r="U69" t="str">
            <v>&lt; 150</v>
          </cell>
        </row>
        <row r="70">
          <cell r="E70">
            <v>24527</v>
          </cell>
          <cell r="F70">
            <v>4</v>
          </cell>
          <cell r="G70">
            <v>50</v>
          </cell>
          <cell r="H70">
            <v>44</v>
          </cell>
          <cell r="I70">
            <v>6</v>
          </cell>
          <cell r="J70">
            <v>4</v>
          </cell>
          <cell r="K70"/>
          <cell r="L70"/>
          <cell r="M70"/>
          <cell r="N70"/>
          <cell r="O70"/>
          <cell r="P70"/>
          <cell r="Q70"/>
          <cell r="R70"/>
          <cell r="S70">
            <v>104</v>
          </cell>
          <cell r="T70">
            <v>26</v>
          </cell>
          <cell r="U70" t="str">
            <v>&lt; 150</v>
          </cell>
        </row>
        <row r="71">
          <cell r="E71">
            <v>27631</v>
          </cell>
          <cell r="F71">
            <v>2</v>
          </cell>
          <cell r="G71">
            <v>1</v>
          </cell>
          <cell r="H71">
            <v>47</v>
          </cell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>
            <v>48</v>
          </cell>
          <cell r="T71">
            <v>24</v>
          </cell>
          <cell r="U71" t="str">
            <v>&lt; 150</v>
          </cell>
        </row>
        <row r="72">
          <cell r="E72">
            <v>22775</v>
          </cell>
          <cell r="F72">
            <v>7</v>
          </cell>
          <cell r="G72"/>
          <cell r="H72"/>
          <cell r="I72"/>
          <cell r="J72"/>
          <cell r="K72"/>
          <cell r="L72">
            <v>2</v>
          </cell>
          <cell r="M72">
            <v>19</v>
          </cell>
          <cell r="N72">
            <v>7</v>
          </cell>
          <cell r="O72">
            <v>15</v>
          </cell>
          <cell r="P72">
            <v>9</v>
          </cell>
          <cell r="Q72">
            <v>34</v>
          </cell>
          <cell r="R72">
            <v>4</v>
          </cell>
          <cell r="S72">
            <v>90</v>
          </cell>
          <cell r="T72">
            <v>12.857142857142858</v>
          </cell>
          <cell r="U72" t="str">
            <v>&lt; 150</v>
          </cell>
        </row>
        <row r="73">
          <cell r="E73">
            <v>21925</v>
          </cell>
          <cell r="F73">
            <v>9</v>
          </cell>
          <cell r="G73">
            <v>5</v>
          </cell>
          <cell r="H73"/>
          <cell r="I73">
            <v>8</v>
          </cell>
          <cell r="J73">
            <v>6</v>
          </cell>
          <cell r="K73">
            <v>3</v>
          </cell>
          <cell r="L73">
            <v>6</v>
          </cell>
          <cell r="M73">
            <v>2</v>
          </cell>
          <cell r="N73">
            <v>6</v>
          </cell>
          <cell r="O73">
            <v>6</v>
          </cell>
          <cell r="P73">
            <v>5</v>
          </cell>
          <cell r="Q73"/>
          <cell r="R73"/>
          <cell r="S73">
            <v>47</v>
          </cell>
          <cell r="T73">
            <v>5.2222222222222223</v>
          </cell>
          <cell r="U73" t="str">
            <v>&lt; 150</v>
          </cell>
        </row>
        <row r="74">
          <cell r="E74">
            <v>22771</v>
          </cell>
          <cell r="F74">
            <v>5</v>
          </cell>
          <cell r="G74">
            <v>4</v>
          </cell>
          <cell r="H74">
            <v>4</v>
          </cell>
          <cell r="I74"/>
          <cell r="J74">
            <v>1</v>
          </cell>
          <cell r="K74">
            <v>2</v>
          </cell>
          <cell r="L74"/>
          <cell r="M74">
            <v>2</v>
          </cell>
          <cell r="N74"/>
          <cell r="O74"/>
          <cell r="P74"/>
          <cell r="Q74"/>
          <cell r="R74"/>
          <cell r="S74">
            <v>13</v>
          </cell>
          <cell r="T74">
            <v>2.6</v>
          </cell>
          <cell r="U74" t="str">
            <v>&lt; 150</v>
          </cell>
        </row>
        <row r="75">
          <cell r="E75">
            <v>21999</v>
          </cell>
          <cell r="F75">
            <v>12</v>
          </cell>
          <cell r="G75">
            <v>1589</v>
          </cell>
          <cell r="H75">
            <v>1477</v>
          </cell>
          <cell r="I75">
            <v>1557</v>
          </cell>
          <cell r="J75">
            <v>1490</v>
          </cell>
          <cell r="K75">
            <v>1387</v>
          </cell>
          <cell r="L75">
            <v>1538</v>
          </cell>
          <cell r="M75">
            <v>1616</v>
          </cell>
          <cell r="N75">
            <v>1593</v>
          </cell>
          <cell r="O75">
            <v>1800</v>
          </cell>
          <cell r="P75">
            <v>1859</v>
          </cell>
          <cell r="Q75">
            <v>1686</v>
          </cell>
          <cell r="R75">
            <v>1071</v>
          </cell>
          <cell r="S75">
            <v>18663</v>
          </cell>
          <cell r="T75">
            <v>1555.25</v>
          </cell>
          <cell r="U75" t="str">
            <v>&gt; 1500</v>
          </cell>
        </row>
        <row r="76">
          <cell r="E76">
            <v>21998</v>
          </cell>
          <cell r="F76">
            <v>12</v>
          </cell>
          <cell r="G76">
            <v>1350</v>
          </cell>
          <cell r="H76">
            <v>1402</v>
          </cell>
          <cell r="I76">
            <v>1363</v>
          </cell>
          <cell r="J76">
            <v>1517</v>
          </cell>
          <cell r="K76">
            <v>1482</v>
          </cell>
          <cell r="L76">
            <v>1489</v>
          </cell>
          <cell r="M76">
            <v>1597</v>
          </cell>
          <cell r="N76">
            <v>1808</v>
          </cell>
          <cell r="O76">
            <v>1476</v>
          </cell>
          <cell r="P76">
            <v>1609</v>
          </cell>
          <cell r="Q76">
            <v>1489</v>
          </cell>
          <cell r="R76">
            <v>930</v>
          </cell>
          <cell r="S76">
            <v>17512</v>
          </cell>
          <cell r="T76">
            <v>1459.3333333333333</v>
          </cell>
          <cell r="U76" t="str">
            <v>&gt; 900</v>
          </cell>
        </row>
        <row r="77">
          <cell r="E77">
            <v>22365</v>
          </cell>
          <cell r="F77">
            <v>12</v>
          </cell>
          <cell r="G77">
            <v>408</v>
          </cell>
          <cell r="H77">
            <v>448</v>
          </cell>
          <cell r="I77">
            <v>693</v>
          </cell>
          <cell r="J77">
            <v>506</v>
          </cell>
          <cell r="K77">
            <v>598</v>
          </cell>
          <cell r="L77">
            <v>523</v>
          </cell>
          <cell r="M77">
            <v>666</v>
          </cell>
          <cell r="N77">
            <v>662</v>
          </cell>
          <cell r="O77">
            <v>634</v>
          </cell>
          <cell r="P77">
            <v>734</v>
          </cell>
          <cell r="Q77">
            <v>521</v>
          </cell>
          <cell r="R77">
            <v>416</v>
          </cell>
          <cell r="S77">
            <v>6809</v>
          </cell>
          <cell r="T77">
            <v>567.41666666666663</v>
          </cell>
          <cell r="U77" t="str">
            <v>&gt; 450</v>
          </cell>
        </row>
        <row r="78">
          <cell r="E78">
            <v>27792</v>
          </cell>
          <cell r="F78">
            <v>11</v>
          </cell>
          <cell r="G78"/>
          <cell r="H78">
            <v>66</v>
          </cell>
          <cell r="I78">
            <v>430</v>
          </cell>
          <cell r="J78">
            <v>483</v>
          </cell>
          <cell r="K78">
            <v>489</v>
          </cell>
          <cell r="L78">
            <v>418</v>
          </cell>
          <cell r="M78">
            <v>464</v>
          </cell>
          <cell r="N78">
            <v>413</v>
          </cell>
          <cell r="O78">
            <v>639</v>
          </cell>
          <cell r="P78">
            <v>579</v>
          </cell>
          <cell r="Q78">
            <v>504</v>
          </cell>
          <cell r="R78">
            <v>364</v>
          </cell>
          <cell r="S78">
            <v>4849</v>
          </cell>
          <cell r="T78">
            <v>440.81818181818181</v>
          </cell>
          <cell r="U78" t="str">
            <v>&gt; 300</v>
          </cell>
        </row>
        <row r="79">
          <cell r="E79">
            <v>27028</v>
          </cell>
          <cell r="F79">
            <v>12</v>
          </cell>
          <cell r="G79">
            <v>193</v>
          </cell>
          <cell r="H79">
            <v>208</v>
          </cell>
          <cell r="I79">
            <v>196</v>
          </cell>
          <cell r="J79">
            <v>227</v>
          </cell>
          <cell r="K79">
            <v>306</v>
          </cell>
          <cell r="L79">
            <v>420</v>
          </cell>
          <cell r="M79">
            <v>427</v>
          </cell>
          <cell r="N79">
            <v>457</v>
          </cell>
          <cell r="O79">
            <v>690</v>
          </cell>
          <cell r="P79">
            <v>802</v>
          </cell>
          <cell r="Q79">
            <v>625</v>
          </cell>
          <cell r="R79">
            <v>328</v>
          </cell>
          <cell r="S79">
            <v>4879</v>
          </cell>
          <cell r="T79">
            <v>406.58333333333331</v>
          </cell>
          <cell r="U79" t="str">
            <v>&gt; 300</v>
          </cell>
        </row>
        <row r="80">
          <cell r="E80">
            <v>22366</v>
          </cell>
          <cell r="F80">
            <v>12</v>
          </cell>
          <cell r="G80">
            <v>320</v>
          </cell>
          <cell r="H80">
            <v>318</v>
          </cell>
          <cell r="I80">
            <v>304</v>
          </cell>
          <cell r="J80">
            <v>335</v>
          </cell>
          <cell r="K80">
            <v>326</v>
          </cell>
          <cell r="L80">
            <v>329</v>
          </cell>
          <cell r="M80">
            <v>315</v>
          </cell>
          <cell r="N80">
            <v>354</v>
          </cell>
          <cell r="O80">
            <v>382</v>
          </cell>
          <cell r="P80">
            <v>368</v>
          </cell>
          <cell r="Q80">
            <v>415</v>
          </cell>
          <cell r="R80">
            <v>251</v>
          </cell>
          <cell r="S80">
            <v>4017</v>
          </cell>
          <cell r="T80">
            <v>334.75</v>
          </cell>
          <cell r="U80" t="str">
            <v>&gt; 300</v>
          </cell>
        </row>
        <row r="81">
          <cell r="E81">
            <v>20983</v>
          </cell>
          <cell r="F81">
            <v>4</v>
          </cell>
          <cell r="G81">
            <v>408</v>
          </cell>
          <cell r="H81">
            <v>349</v>
          </cell>
          <cell r="I81">
            <v>408</v>
          </cell>
          <cell r="J81">
            <v>124</v>
          </cell>
          <cell r="K81"/>
          <cell r="L81"/>
          <cell r="M81"/>
          <cell r="N81"/>
          <cell r="O81"/>
          <cell r="P81"/>
          <cell r="Q81"/>
          <cell r="R81"/>
          <cell r="S81">
            <v>1289</v>
          </cell>
          <cell r="T81">
            <v>322.25</v>
          </cell>
          <cell r="U81" t="str">
            <v>&gt; 300</v>
          </cell>
        </row>
        <row r="82">
          <cell r="E82">
            <v>22361</v>
          </cell>
          <cell r="F82">
            <v>5</v>
          </cell>
          <cell r="G82">
            <v>149</v>
          </cell>
          <cell r="H82">
            <v>234</v>
          </cell>
          <cell r="I82">
            <v>261</v>
          </cell>
          <cell r="J82">
            <v>146</v>
          </cell>
          <cell r="K82">
            <v>13</v>
          </cell>
          <cell r="L82"/>
          <cell r="M82"/>
          <cell r="N82"/>
          <cell r="O82"/>
          <cell r="P82"/>
          <cell r="Q82"/>
          <cell r="R82"/>
          <cell r="S82">
            <v>803</v>
          </cell>
          <cell r="T82">
            <v>160.6</v>
          </cell>
          <cell r="U82" t="str">
            <v>&gt; 150</v>
          </cell>
        </row>
        <row r="83">
          <cell r="E83">
            <v>27437</v>
          </cell>
          <cell r="F83">
            <v>12</v>
          </cell>
          <cell r="G83">
            <v>37</v>
          </cell>
          <cell r="H83">
            <v>14</v>
          </cell>
          <cell r="I83">
            <v>11</v>
          </cell>
          <cell r="J83">
            <v>13</v>
          </cell>
          <cell r="K83">
            <v>46</v>
          </cell>
          <cell r="L83">
            <v>25</v>
          </cell>
          <cell r="M83">
            <v>14</v>
          </cell>
          <cell r="N83">
            <v>6</v>
          </cell>
          <cell r="O83">
            <v>1</v>
          </cell>
          <cell r="P83">
            <v>11</v>
          </cell>
          <cell r="Q83">
            <v>13</v>
          </cell>
          <cell r="R83">
            <v>7</v>
          </cell>
          <cell r="S83">
            <v>198</v>
          </cell>
          <cell r="T83">
            <v>16.5</v>
          </cell>
          <cell r="U83" t="str">
            <v>&lt; 150</v>
          </cell>
        </row>
        <row r="84">
          <cell r="E84">
            <v>27630</v>
          </cell>
          <cell r="F84">
            <v>12</v>
          </cell>
          <cell r="G84">
            <v>1</v>
          </cell>
          <cell r="H84">
            <v>400</v>
          </cell>
          <cell r="I84">
            <v>506</v>
          </cell>
          <cell r="J84">
            <v>497</v>
          </cell>
          <cell r="K84">
            <v>511</v>
          </cell>
          <cell r="L84">
            <v>508</v>
          </cell>
          <cell r="M84">
            <v>585</v>
          </cell>
          <cell r="N84">
            <v>642</v>
          </cell>
          <cell r="O84">
            <v>674</v>
          </cell>
          <cell r="P84">
            <v>840</v>
          </cell>
          <cell r="Q84">
            <v>749</v>
          </cell>
          <cell r="R84">
            <v>525</v>
          </cell>
          <cell r="S84">
            <v>6438</v>
          </cell>
          <cell r="T84">
            <v>536.5</v>
          </cell>
          <cell r="U84" t="str">
            <v>&gt; 450</v>
          </cell>
        </row>
        <row r="85">
          <cell r="E85">
            <v>26588</v>
          </cell>
          <cell r="F85">
            <v>12</v>
          </cell>
          <cell r="G85">
            <v>172</v>
          </cell>
          <cell r="H85">
            <v>204</v>
          </cell>
          <cell r="I85">
            <v>290</v>
          </cell>
          <cell r="J85">
            <v>324</v>
          </cell>
          <cell r="K85">
            <v>304</v>
          </cell>
          <cell r="L85">
            <v>390</v>
          </cell>
          <cell r="M85">
            <v>512</v>
          </cell>
          <cell r="N85">
            <v>438</v>
          </cell>
          <cell r="O85">
            <v>438</v>
          </cell>
          <cell r="P85">
            <v>370</v>
          </cell>
          <cell r="Q85">
            <v>425</v>
          </cell>
          <cell r="R85">
            <v>216</v>
          </cell>
          <cell r="S85">
            <v>4083</v>
          </cell>
          <cell r="T85">
            <v>340.25</v>
          </cell>
          <cell r="U85" t="str">
            <v>&gt; 300</v>
          </cell>
        </row>
        <row r="86">
          <cell r="E86">
            <v>26595</v>
          </cell>
          <cell r="F86">
            <v>12</v>
          </cell>
          <cell r="G86">
            <v>4</v>
          </cell>
          <cell r="H86">
            <v>27</v>
          </cell>
          <cell r="I86">
            <v>34</v>
          </cell>
          <cell r="J86">
            <v>218</v>
          </cell>
          <cell r="K86">
            <v>130</v>
          </cell>
          <cell r="L86">
            <v>71</v>
          </cell>
          <cell r="M86">
            <v>216</v>
          </cell>
          <cell r="N86">
            <v>549</v>
          </cell>
          <cell r="O86">
            <v>534</v>
          </cell>
          <cell r="P86">
            <v>734</v>
          </cell>
          <cell r="Q86">
            <v>728</v>
          </cell>
          <cell r="R86">
            <v>435</v>
          </cell>
          <cell r="S86">
            <v>3680</v>
          </cell>
          <cell r="T86">
            <v>306.66666666666669</v>
          </cell>
          <cell r="U86" t="str">
            <v>&gt; 300</v>
          </cell>
        </row>
        <row r="87">
          <cell r="E87">
            <v>28485</v>
          </cell>
          <cell r="F87">
            <v>6</v>
          </cell>
          <cell r="G87"/>
          <cell r="H87"/>
          <cell r="I87"/>
          <cell r="J87"/>
          <cell r="K87"/>
          <cell r="L87"/>
          <cell r="M87">
            <v>131</v>
          </cell>
          <cell r="N87">
            <v>275</v>
          </cell>
          <cell r="O87">
            <v>458</v>
          </cell>
          <cell r="P87">
            <v>338</v>
          </cell>
          <cell r="Q87">
            <v>362</v>
          </cell>
          <cell r="R87">
            <v>187</v>
          </cell>
          <cell r="S87">
            <v>1751</v>
          </cell>
          <cell r="T87">
            <v>291.83333333333331</v>
          </cell>
          <cell r="U87" t="str">
            <v>&gt; 150</v>
          </cell>
        </row>
        <row r="88">
          <cell r="E88">
            <v>28085</v>
          </cell>
          <cell r="F88">
            <v>8</v>
          </cell>
          <cell r="G88"/>
          <cell r="H88"/>
          <cell r="I88"/>
          <cell r="J88"/>
          <cell r="K88">
            <v>215</v>
          </cell>
          <cell r="L88">
            <v>206</v>
          </cell>
          <cell r="M88">
            <v>219</v>
          </cell>
          <cell r="N88">
            <v>295</v>
          </cell>
          <cell r="O88">
            <v>192</v>
          </cell>
          <cell r="P88">
            <v>354</v>
          </cell>
          <cell r="Q88">
            <v>354</v>
          </cell>
          <cell r="R88">
            <v>218</v>
          </cell>
          <cell r="S88">
            <v>2053</v>
          </cell>
          <cell r="T88">
            <v>256.625</v>
          </cell>
          <cell r="U88" t="str">
            <v>&gt; 150</v>
          </cell>
        </row>
        <row r="89">
          <cell r="E89">
            <v>27732</v>
          </cell>
          <cell r="F89">
            <v>10</v>
          </cell>
          <cell r="G89"/>
          <cell r="H89"/>
          <cell r="I89">
            <v>21</v>
          </cell>
          <cell r="J89">
            <v>42</v>
          </cell>
          <cell r="K89">
            <v>82</v>
          </cell>
          <cell r="L89">
            <v>136</v>
          </cell>
          <cell r="M89">
            <v>134</v>
          </cell>
          <cell r="N89">
            <v>168</v>
          </cell>
          <cell r="O89">
            <v>183</v>
          </cell>
          <cell r="P89">
            <v>262</v>
          </cell>
          <cell r="Q89">
            <v>272</v>
          </cell>
          <cell r="R89">
            <v>150</v>
          </cell>
          <cell r="S89">
            <v>1450</v>
          </cell>
          <cell r="T89">
            <v>145</v>
          </cell>
          <cell r="U89" t="str">
            <v>&lt; 150</v>
          </cell>
        </row>
        <row r="90">
          <cell r="E90">
            <v>28083</v>
          </cell>
          <cell r="F90">
            <v>8</v>
          </cell>
          <cell r="G90"/>
          <cell r="H90"/>
          <cell r="I90"/>
          <cell r="J90"/>
          <cell r="K90">
            <v>78</v>
          </cell>
          <cell r="L90">
            <v>97</v>
          </cell>
          <cell r="M90">
            <v>97</v>
          </cell>
          <cell r="N90">
            <v>134</v>
          </cell>
          <cell r="O90">
            <v>147</v>
          </cell>
          <cell r="P90">
            <v>189</v>
          </cell>
          <cell r="Q90">
            <v>134</v>
          </cell>
          <cell r="R90">
            <v>94</v>
          </cell>
          <cell r="S90">
            <v>970</v>
          </cell>
          <cell r="T90">
            <v>121.25</v>
          </cell>
          <cell r="U90" t="str">
            <v>&lt; 150</v>
          </cell>
        </row>
        <row r="91">
          <cell r="E91">
            <v>28075</v>
          </cell>
          <cell r="F91">
            <v>8</v>
          </cell>
          <cell r="G91"/>
          <cell r="H91"/>
          <cell r="I91"/>
          <cell r="J91"/>
          <cell r="K91">
            <v>40</v>
          </cell>
          <cell r="L91">
            <v>43</v>
          </cell>
          <cell r="M91">
            <v>47</v>
          </cell>
          <cell r="N91">
            <v>54</v>
          </cell>
          <cell r="O91">
            <v>98</v>
          </cell>
          <cell r="P91">
            <v>102</v>
          </cell>
          <cell r="Q91">
            <v>95</v>
          </cell>
          <cell r="R91">
            <v>54</v>
          </cell>
          <cell r="S91">
            <v>533</v>
          </cell>
          <cell r="T91">
            <v>66.625</v>
          </cell>
          <cell r="U91" t="str">
            <v>&lt; 150</v>
          </cell>
        </row>
        <row r="92">
          <cell r="E92">
            <v>27731</v>
          </cell>
          <cell r="F92">
            <v>10</v>
          </cell>
          <cell r="G92"/>
          <cell r="H92"/>
          <cell r="I92">
            <v>33</v>
          </cell>
          <cell r="J92">
            <v>13</v>
          </cell>
          <cell r="K92">
            <v>53</v>
          </cell>
          <cell r="L92">
            <v>62</v>
          </cell>
          <cell r="M92">
            <v>37</v>
          </cell>
          <cell r="N92">
            <v>50</v>
          </cell>
          <cell r="O92">
            <v>104</v>
          </cell>
          <cell r="P92">
            <v>32</v>
          </cell>
          <cell r="Q92">
            <v>35</v>
          </cell>
          <cell r="R92">
            <v>9</v>
          </cell>
          <cell r="S92">
            <v>428</v>
          </cell>
          <cell r="T92">
            <v>42.8</v>
          </cell>
          <cell r="U92" t="str">
            <v>&lt; 150</v>
          </cell>
        </row>
        <row r="93">
          <cell r="E93">
            <v>28482</v>
          </cell>
          <cell r="F93">
            <v>6</v>
          </cell>
          <cell r="G93"/>
          <cell r="H93"/>
          <cell r="I93"/>
          <cell r="J93"/>
          <cell r="K93"/>
          <cell r="L93"/>
          <cell r="M93">
            <v>2</v>
          </cell>
          <cell r="N93">
            <v>9</v>
          </cell>
          <cell r="O93">
            <v>7</v>
          </cell>
          <cell r="P93">
            <v>21</v>
          </cell>
          <cell r="Q93">
            <v>23</v>
          </cell>
          <cell r="R93">
            <v>13</v>
          </cell>
          <cell r="S93">
            <v>75</v>
          </cell>
          <cell r="T93">
            <v>12.5</v>
          </cell>
          <cell r="U93" t="str">
            <v>&lt; 150</v>
          </cell>
        </row>
        <row r="94">
          <cell r="E94">
            <v>28483</v>
          </cell>
          <cell r="F94">
            <v>4</v>
          </cell>
          <cell r="G94"/>
          <cell r="H94"/>
          <cell r="I94"/>
          <cell r="J94"/>
          <cell r="K94"/>
          <cell r="L94"/>
          <cell r="M94"/>
          <cell r="N94">
            <v>8</v>
          </cell>
          <cell r="O94"/>
          <cell r="P94">
            <v>16</v>
          </cell>
          <cell r="Q94">
            <v>5</v>
          </cell>
          <cell r="R94">
            <v>7</v>
          </cell>
          <cell r="S94">
            <v>36</v>
          </cell>
          <cell r="T94">
            <v>9</v>
          </cell>
          <cell r="U94" t="str">
            <v>&lt; 150</v>
          </cell>
        </row>
        <row r="95">
          <cell r="E95">
            <v>26881</v>
          </cell>
          <cell r="F95">
            <v>2</v>
          </cell>
          <cell r="G95"/>
          <cell r="H95">
            <v>4</v>
          </cell>
          <cell r="I95">
            <v>3</v>
          </cell>
          <cell r="J95"/>
          <cell r="K95"/>
          <cell r="L95"/>
          <cell r="M95"/>
          <cell r="N95"/>
          <cell r="O95"/>
          <cell r="P95"/>
          <cell r="Q95"/>
          <cell r="R95"/>
          <cell r="S95">
            <v>7</v>
          </cell>
          <cell r="T95">
            <v>3.5</v>
          </cell>
          <cell r="U95" t="str">
            <v>&lt; 150</v>
          </cell>
        </row>
        <row r="96">
          <cell r="E96">
            <v>29052</v>
          </cell>
          <cell r="F96">
            <v>1</v>
          </cell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>
            <v>2</v>
          </cell>
          <cell r="S96">
            <v>2</v>
          </cell>
          <cell r="T96">
            <v>2</v>
          </cell>
          <cell r="U96" t="str">
            <v>&lt; 150</v>
          </cell>
        </row>
        <row r="97">
          <cell r="E97">
            <v>29089</v>
          </cell>
          <cell r="F97">
            <v>1</v>
          </cell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>
            <v>1</v>
          </cell>
          <cell r="S97">
            <v>1</v>
          </cell>
          <cell r="T97">
            <v>1</v>
          </cell>
          <cell r="U97" t="str">
            <v>&lt; 150</v>
          </cell>
        </row>
        <row r="98">
          <cell r="E98">
            <v>28484</v>
          </cell>
          <cell r="F98">
            <v>0</v>
          </cell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>
            <v>0</v>
          </cell>
          <cell r="T98">
            <v>0</v>
          </cell>
          <cell r="U98" t="str">
            <v>Nill</v>
          </cell>
        </row>
        <row r="99">
          <cell r="S99"/>
        </row>
      </sheetData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AC"/>
      <sheetName val="APY SP"/>
      <sheetName val="APY"/>
      <sheetName val="JJBY SP"/>
      <sheetName val="JJBY"/>
      <sheetName val="sby sp"/>
      <sheetName val="SBY"/>
      <sheetName val="Comm SP"/>
      <sheetName val="Comm"/>
      <sheetName val="Txn Pivot"/>
      <sheetName val="FI txn"/>
      <sheetName val="Log"/>
    </sheetNames>
    <sheetDataSet>
      <sheetData sheetId="0"/>
      <sheetData sheetId="1">
        <row r="1">
          <cell r="G1" t="str">
            <v>KO Code</v>
          </cell>
          <cell r="H1" t="str">
            <v>Month</v>
          </cell>
          <cell r="I1" t="str">
            <v>Target</v>
          </cell>
          <cell r="J1">
            <v>45383</v>
          </cell>
          <cell r="K1">
            <v>45413</v>
          </cell>
          <cell r="L1">
            <v>45444</v>
          </cell>
          <cell r="M1">
            <v>45474</v>
          </cell>
          <cell r="N1">
            <v>45505</v>
          </cell>
          <cell r="O1">
            <v>45536</v>
          </cell>
          <cell r="P1">
            <v>45566</v>
          </cell>
          <cell r="Q1">
            <v>45597</v>
          </cell>
          <cell r="R1">
            <v>45627</v>
          </cell>
          <cell r="S1">
            <v>45658</v>
          </cell>
          <cell r="T1">
            <v>45689</v>
          </cell>
          <cell r="U1">
            <v>45717</v>
          </cell>
          <cell r="V1" t="str">
            <v>Total Comm</v>
          </cell>
          <cell r="W1" t="str">
            <v>Average</v>
          </cell>
        </row>
        <row r="2">
          <cell r="G2">
            <v>21926</v>
          </cell>
          <cell r="H2">
            <v>12</v>
          </cell>
          <cell r="I2">
            <v>360</v>
          </cell>
          <cell r="J2">
            <v>39</v>
          </cell>
          <cell r="K2">
            <v>35</v>
          </cell>
          <cell r="L2">
            <v>50</v>
          </cell>
          <cell r="M2">
            <v>39</v>
          </cell>
          <cell r="N2">
            <v>25</v>
          </cell>
          <cell r="O2">
            <v>18</v>
          </cell>
          <cell r="P2">
            <v>24</v>
          </cell>
          <cell r="Q2">
            <v>31</v>
          </cell>
          <cell r="R2">
            <v>46</v>
          </cell>
          <cell r="S2">
            <v>34</v>
          </cell>
          <cell r="T2">
            <v>39</v>
          </cell>
          <cell r="U2">
            <v>50</v>
          </cell>
          <cell r="V2">
            <v>430</v>
          </cell>
          <cell r="W2">
            <v>35.833333333333336</v>
          </cell>
        </row>
        <row r="3">
          <cell r="G3">
            <v>21091</v>
          </cell>
          <cell r="H3">
            <v>12</v>
          </cell>
          <cell r="I3">
            <v>360</v>
          </cell>
          <cell r="J3">
            <v>13</v>
          </cell>
          <cell r="K3">
            <v>21</v>
          </cell>
          <cell r="L3">
            <v>18</v>
          </cell>
          <cell r="M3">
            <v>19</v>
          </cell>
          <cell r="N3">
            <v>24</v>
          </cell>
          <cell r="O3">
            <v>29</v>
          </cell>
          <cell r="P3">
            <v>12</v>
          </cell>
          <cell r="Q3">
            <v>39</v>
          </cell>
          <cell r="R3">
            <v>79</v>
          </cell>
          <cell r="S3">
            <v>56</v>
          </cell>
          <cell r="T3">
            <v>22</v>
          </cell>
          <cell r="U3">
            <v>63</v>
          </cell>
          <cell r="V3">
            <v>395</v>
          </cell>
          <cell r="W3">
            <v>32.916666666666664</v>
          </cell>
        </row>
        <row r="4">
          <cell r="G4">
            <v>21999</v>
          </cell>
          <cell r="H4">
            <v>12</v>
          </cell>
          <cell r="I4">
            <v>360</v>
          </cell>
          <cell r="J4">
            <v>22</v>
          </cell>
          <cell r="K4">
            <v>22</v>
          </cell>
          <cell r="L4">
            <v>37</v>
          </cell>
          <cell r="M4">
            <v>43</v>
          </cell>
          <cell r="N4">
            <v>38</v>
          </cell>
          <cell r="O4">
            <v>13</v>
          </cell>
          <cell r="P4">
            <v>25</v>
          </cell>
          <cell r="Q4">
            <v>18</v>
          </cell>
          <cell r="R4">
            <v>49</v>
          </cell>
          <cell r="S4">
            <v>53</v>
          </cell>
          <cell r="T4">
            <v>16</v>
          </cell>
          <cell r="U4">
            <v>36</v>
          </cell>
          <cell r="V4">
            <v>372</v>
          </cell>
          <cell r="W4">
            <v>31</v>
          </cell>
        </row>
        <row r="5">
          <cell r="G5">
            <v>27220</v>
          </cell>
          <cell r="H5">
            <v>3</v>
          </cell>
          <cell r="I5">
            <v>90</v>
          </cell>
          <cell r="J5"/>
          <cell r="K5"/>
          <cell r="L5"/>
          <cell r="M5"/>
          <cell r="N5"/>
          <cell r="O5"/>
          <cell r="P5"/>
          <cell r="Q5"/>
          <cell r="R5"/>
          <cell r="S5">
            <v>142</v>
          </cell>
          <cell r="T5">
            <v>193</v>
          </cell>
          <cell r="U5">
            <v>37</v>
          </cell>
          <cell r="V5">
            <v>372</v>
          </cell>
          <cell r="W5">
            <v>124</v>
          </cell>
        </row>
        <row r="6">
          <cell r="G6">
            <v>22346</v>
          </cell>
          <cell r="H6">
            <v>12</v>
          </cell>
          <cell r="I6">
            <v>360</v>
          </cell>
          <cell r="J6">
            <v>29</v>
          </cell>
          <cell r="K6">
            <v>19</v>
          </cell>
          <cell r="L6">
            <v>36</v>
          </cell>
          <cell r="M6">
            <v>41</v>
          </cell>
          <cell r="N6">
            <v>33</v>
          </cell>
          <cell r="O6">
            <v>15</v>
          </cell>
          <cell r="P6">
            <v>28</v>
          </cell>
          <cell r="Q6">
            <v>13</v>
          </cell>
          <cell r="R6">
            <v>43</v>
          </cell>
          <cell r="S6">
            <v>37</v>
          </cell>
          <cell r="T6">
            <v>24</v>
          </cell>
          <cell r="U6">
            <v>23</v>
          </cell>
          <cell r="V6">
            <v>341</v>
          </cell>
          <cell r="W6">
            <v>28.416666666666668</v>
          </cell>
        </row>
        <row r="7">
          <cell r="G7">
            <v>25557</v>
          </cell>
          <cell r="H7">
            <v>12</v>
          </cell>
          <cell r="I7">
            <v>360</v>
          </cell>
          <cell r="J7">
            <v>23</v>
          </cell>
          <cell r="K7">
            <v>21</v>
          </cell>
          <cell r="L7">
            <v>19</v>
          </cell>
          <cell r="M7">
            <v>22</v>
          </cell>
          <cell r="N7">
            <v>29</v>
          </cell>
          <cell r="O7">
            <v>17</v>
          </cell>
          <cell r="P7">
            <v>24</v>
          </cell>
          <cell r="Q7">
            <v>28</v>
          </cell>
          <cell r="R7">
            <v>55</v>
          </cell>
          <cell r="S7">
            <v>45</v>
          </cell>
          <cell r="T7">
            <v>26</v>
          </cell>
          <cell r="U7">
            <v>21</v>
          </cell>
          <cell r="V7">
            <v>330</v>
          </cell>
          <cell r="W7">
            <v>27.5</v>
          </cell>
        </row>
        <row r="8">
          <cell r="G8">
            <v>23178</v>
          </cell>
          <cell r="H8">
            <v>12</v>
          </cell>
          <cell r="I8">
            <v>360</v>
          </cell>
          <cell r="J8">
            <v>16</v>
          </cell>
          <cell r="K8">
            <v>28</v>
          </cell>
          <cell r="L8">
            <v>23</v>
          </cell>
          <cell r="M8">
            <v>33</v>
          </cell>
          <cell r="N8">
            <v>26</v>
          </cell>
          <cell r="O8">
            <v>17</v>
          </cell>
          <cell r="P8">
            <v>21</v>
          </cell>
          <cell r="Q8">
            <v>24</v>
          </cell>
          <cell r="R8">
            <v>31</v>
          </cell>
          <cell r="S8">
            <v>41</v>
          </cell>
          <cell r="T8">
            <v>26</v>
          </cell>
          <cell r="U8">
            <v>24</v>
          </cell>
          <cell r="V8">
            <v>310</v>
          </cell>
          <cell r="W8">
            <v>25.833333333333332</v>
          </cell>
        </row>
        <row r="9">
          <cell r="G9">
            <v>26588</v>
          </cell>
          <cell r="H9">
            <v>7</v>
          </cell>
          <cell r="I9">
            <v>210</v>
          </cell>
          <cell r="J9"/>
          <cell r="K9"/>
          <cell r="L9"/>
          <cell r="M9"/>
          <cell r="N9"/>
          <cell r="O9"/>
          <cell r="P9">
            <v>36</v>
          </cell>
          <cell r="Q9">
            <v>38</v>
          </cell>
          <cell r="R9">
            <v>57</v>
          </cell>
          <cell r="S9">
            <v>66</v>
          </cell>
          <cell r="T9">
            <v>33</v>
          </cell>
          <cell r="U9">
            <v>50</v>
          </cell>
          <cell r="V9">
            <v>280</v>
          </cell>
          <cell r="W9">
            <v>40</v>
          </cell>
        </row>
        <row r="10">
          <cell r="G10">
            <v>21583</v>
          </cell>
          <cell r="H10">
            <v>12</v>
          </cell>
          <cell r="I10">
            <v>360</v>
          </cell>
          <cell r="J10">
            <v>17</v>
          </cell>
          <cell r="K10">
            <v>17</v>
          </cell>
          <cell r="L10">
            <v>28</v>
          </cell>
          <cell r="M10">
            <v>54</v>
          </cell>
          <cell r="N10">
            <v>30</v>
          </cell>
          <cell r="O10">
            <v>11</v>
          </cell>
          <cell r="P10">
            <v>26</v>
          </cell>
          <cell r="Q10">
            <v>14</v>
          </cell>
          <cell r="R10">
            <v>36</v>
          </cell>
          <cell r="S10">
            <v>18</v>
          </cell>
          <cell r="T10">
            <v>9</v>
          </cell>
          <cell r="U10">
            <v>9</v>
          </cell>
          <cell r="V10">
            <v>269</v>
          </cell>
          <cell r="W10">
            <v>22.416666666666668</v>
          </cell>
        </row>
        <row r="11">
          <cell r="G11">
            <v>22073</v>
          </cell>
          <cell r="H11">
            <v>12</v>
          </cell>
          <cell r="I11">
            <v>360</v>
          </cell>
          <cell r="J11">
            <v>27</v>
          </cell>
          <cell r="K11">
            <v>18</v>
          </cell>
          <cell r="L11">
            <v>19</v>
          </cell>
          <cell r="M11">
            <v>27</v>
          </cell>
          <cell r="N11">
            <v>25</v>
          </cell>
          <cell r="O11">
            <v>16</v>
          </cell>
          <cell r="P11">
            <v>7</v>
          </cell>
          <cell r="Q11">
            <v>19</v>
          </cell>
          <cell r="R11">
            <v>34</v>
          </cell>
          <cell r="S11">
            <v>14</v>
          </cell>
          <cell r="T11">
            <v>36</v>
          </cell>
          <cell r="U11">
            <v>19</v>
          </cell>
          <cell r="V11">
            <v>261</v>
          </cell>
          <cell r="W11">
            <v>21.75</v>
          </cell>
        </row>
        <row r="12">
          <cell r="G12">
            <v>22789</v>
          </cell>
          <cell r="H12">
            <v>12</v>
          </cell>
          <cell r="I12">
            <v>360</v>
          </cell>
          <cell r="J12">
            <v>8</v>
          </cell>
          <cell r="K12">
            <v>8</v>
          </cell>
          <cell r="L12">
            <v>15</v>
          </cell>
          <cell r="M12">
            <v>34</v>
          </cell>
          <cell r="N12">
            <v>20</v>
          </cell>
          <cell r="O12">
            <v>17</v>
          </cell>
          <cell r="P12">
            <v>9</v>
          </cell>
          <cell r="Q12">
            <v>9</v>
          </cell>
          <cell r="R12">
            <v>32</v>
          </cell>
          <cell r="S12">
            <v>22</v>
          </cell>
          <cell r="T12">
            <v>15</v>
          </cell>
          <cell r="U12">
            <v>23</v>
          </cell>
          <cell r="V12">
            <v>212</v>
          </cell>
          <cell r="W12">
            <v>17.666666666666668</v>
          </cell>
        </row>
        <row r="13">
          <cell r="G13">
            <v>21928</v>
          </cell>
          <cell r="H13">
            <v>10</v>
          </cell>
          <cell r="I13">
            <v>300</v>
          </cell>
          <cell r="J13">
            <v>30</v>
          </cell>
          <cell r="K13">
            <v>25</v>
          </cell>
          <cell r="L13"/>
          <cell r="M13"/>
          <cell r="N13"/>
          <cell r="O13">
            <v>6</v>
          </cell>
          <cell r="P13">
            <v>8</v>
          </cell>
          <cell r="Q13">
            <v>9</v>
          </cell>
          <cell r="R13">
            <v>31</v>
          </cell>
          <cell r="S13">
            <v>22</v>
          </cell>
          <cell r="T13">
            <v>29</v>
          </cell>
          <cell r="U13">
            <v>34</v>
          </cell>
          <cell r="V13">
            <v>194</v>
          </cell>
          <cell r="W13">
            <v>19.399999999999999</v>
          </cell>
        </row>
        <row r="14">
          <cell r="G14">
            <v>22400</v>
          </cell>
          <cell r="H14">
            <v>12</v>
          </cell>
          <cell r="I14">
            <v>360</v>
          </cell>
          <cell r="J14">
            <v>19</v>
          </cell>
          <cell r="K14">
            <v>21</v>
          </cell>
          <cell r="L14">
            <v>17</v>
          </cell>
          <cell r="M14">
            <v>24</v>
          </cell>
          <cell r="N14">
            <v>15</v>
          </cell>
          <cell r="O14">
            <v>3</v>
          </cell>
          <cell r="P14">
            <v>15</v>
          </cell>
          <cell r="Q14">
            <v>9</v>
          </cell>
          <cell r="R14">
            <v>30</v>
          </cell>
          <cell r="S14">
            <v>15</v>
          </cell>
          <cell r="T14">
            <v>7</v>
          </cell>
          <cell r="U14">
            <v>6</v>
          </cell>
          <cell r="V14">
            <v>181</v>
          </cell>
          <cell r="W14">
            <v>15.083333333333334</v>
          </cell>
        </row>
        <row r="15">
          <cell r="G15">
            <v>20322</v>
          </cell>
          <cell r="H15">
            <v>12</v>
          </cell>
          <cell r="I15">
            <v>360</v>
          </cell>
          <cell r="J15">
            <v>18</v>
          </cell>
          <cell r="K15">
            <v>12</v>
          </cell>
          <cell r="L15">
            <v>33</v>
          </cell>
          <cell r="M15">
            <v>9</v>
          </cell>
          <cell r="N15">
            <v>9</v>
          </cell>
          <cell r="O15">
            <v>12</v>
          </cell>
          <cell r="P15">
            <v>20</v>
          </cell>
          <cell r="Q15">
            <v>18</v>
          </cell>
          <cell r="R15">
            <v>17</v>
          </cell>
          <cell r="S15">
            <v>16</v>
          </cell>
          <cell r="T15">
            <v>9</v>
          </cell>
          <cell r="U15">
            <v>8</v>
          </cell>
          <cell r="V15">
            <v>181</v>
          </cell>
          <cell r="W15">
            <v>15.083333333333334</v>
          </cell>
        </row>
        <row r="16">
          <cell r="G16">
            <v>26399</v>
          </cell>
          <cell r="H16">
            <v>7</v>
          </cell>
          <cell r="I16">
            <v>210</v>
          </cell>
          <cell r="J16"/>
          <cell r="K16"/>
          <cell r="L16"/>
          <cell r="M16"/>
          <cell r="N16"/>
          <cell r="O16"/>
          <cell r="P16">
            <v>21</v>
          </cell>
          <cell r="Q16">
            <v>22</v>
          </cell>
          <cell r="R16">
            <v>49</v>
          </cell>
          <cell r="S16">
            <v>35</v>
          </cell>
          <cell r="T16">
            <v>12</v>
          </cell>
          <cell r="U16">
            <v>25</v>
          </cell>
          <cell r="V16">
            <v>164</v>
          </cell>
          <cell r="W16">
            <v>23.428571428571427</v>
          </cell>
        </row>
        <row r="17">
          <cell r="G17">
            <v>21929</v>
          </cell>
          <cell r="H17">
            <v>12</v>
          </cell>
          <cell r="I17">
            <v>360</v>
          </cell>
          <cell r="J17">
            <v>11</v>
          </cell>
          <cell r="K17">
            <v>37</v>
          </cell>
          <cell r="L17">
            <v>10</v>
          </cell>
          <cell r="M17">
            <v>10</v>
          </cell>
          <cell r="N17">
            <v>22</v>
          </cell>
          <cell r="O17">
            <v>29</v>
          </cell>
          <cell r="P17">
            <v>28</v>
          </cell>
          <cell r="Q17">
            <v>1</v>
          </cell>
          <cell r="R17">
            <v>8</v>
          </cell>
          <cell r="S17"/>
          <cell r="T17">
            <v>2</v>
          </cell>
          <cell r="U17"/>
          <cell r="V17">
            <v>158</v>
          </cell>
          <cell r="W17">
            <v>13.166666666666666</v>
          </cell>
        </row>
        <row r="18">
          <cell r="G18">
            <v>22768</v>
          </cell>
          <cell r="H18">
            <v>12</v>
          </cell>
          <cell r="I18">
            <v>360</v>
          </cell>
          <cell r="J18">
            <v>10</v>
          </cell>
          <cell r="K18">
            <v>13</v>
          </cell>
          <cell r="L18">
            <v>26</v>
          </cell>
          <cell r="M18">
            <v>22</v>
          </cell>
          <cell r="N18">
            <v>17</v>
          </cell>
          <cell r="O18">
            <v>9</v>
          </cell>
          <cell r="P18">
            <v>4</v>
          </cell>
          <cell r="Q18">
            <v>13</v>
          </cell>
          <cell r="R18">
            <v>19</v>
          </cell>
          <cell r="S18">
            <v>19</v>
          </cell>
          <cell r="T18">
            <v>4</v>
          </cell>
          <cell r="U18"/>
          <cell r="V18">
            <v>156</v>
          </cell>
          <cell r="W18">
            <v>13</v>
          </cell>
        </row>
        <row r="19">
          <cell r="G19">
            <v>22401</v>
          </cell>
          <cell r="H19">
            <v>12</v>
          </cell>
          <cell r="I19">
            <v>360</v>
          </cell>
          <cell r="J19">
            <v>11</v>
          </cell>
          <cell r="K19">
            <v>9</v>
          </cell>
          <cell r="L19">
            <v>18</v>
          </cell>
          <cell r="M19">
            <v>16</v>
          </cell>
          <cell r="N19">
            <v>12</v>
          </cell>
          <cell r="O19">
            <v>11</v>
          </cell>
          <cell r="P19">
            <v>7</v>
          </cell>
          <cell r="Q19">
            <v>8</v>
          </cell>
          <cell r="R19">
            <v>27</v>
          </cell>
          <cell r="S19">
            <v>6</v>
          </cell>
          <cell r="T19">
            <v>3</v>
          </cell>
          <cell r="U19">
            <v>23</v>
          </cell>
          <cell r="V19">
            <v>151</v>
          </cell>
          <cell r="W19">
            <v>12.583333333333334</v>
          </cell>
        </row>
        <row r="20">
          <cell r="G20">
            <v>22404</v>
          </cell>
          <cell r="H20">
            <v>12</v>
          </cell>
          <cell r="I20">
            <v>360</v>
          </cell>
          <cell r="J20">
            <v>16</v>
          </cell>
          <cell r="K20">
            <v>16</v>
          </cell>
          <cell r="L20">
            <v>16</v>
          </cell>
          <cell r="M20">
            <v>16</v>
          </cell>
          <cell r="N20">
            <v>14</v>
          </cell>
          <cell r="O20">
            <v>6</v>
          </cell>
          <cell r="P20">
            <v>4</v>
          </cell>
          <cell r="Q20">
            <v>10</v>
          </cell>
          <cell r="R20">
            <v>12</v>
          </cell>
          <cell r="S20">
            <v>12</v>
          </cell>
          <cell r="T20">
            <v>10</v>
          </cell>
          <cell r="U20">
            <v>12</v>
          </cell>
          <cell r="V20">
            <v>144</v>
          </cell>
          <cell r="W20">
            <v>12</v>
          </cell>
        </row>
        <row r="21">
          <cell r="G21">
            <v>24153</v>
          </cell>
          <cell r="H21">
            <v>12</v>
          </cell>
          <cell r="I21">
            <v>360</v>
          </cell>
          <cell r="J21">
            <v>8</v>
          </cell>
          <cell r="K21">
            <v>10</v>
          </cell>
          <cell r="L21">
            <v>12</v>
          </cell>
          <cell r="M21">
            <v>17</v>
          </cell>
          <cell r="N21">
            <v>16</v>
          </cell>
          <cell r="O21">
            <v>3</v>
          </cell>
          <cell r="P21">
            <v>6</v>
          </cell>
          <cell r="Q21">
            <v>6</v>
          </cell>
          <cell r="R21">
            <v>19</v>
          </cell>
          <cell r="S21">
            <v>19</v>
          </cell>
          <cell r="T21">
            <v>3</v>
          </cell>
          <cell r="U21">
            <v>6</v>
          </cell>
          <cell r="V21">
            <v>125</v>
          </cell>
          <cell r="W21">
            <v>10.416666666666666</v>
          </cell>
        </row>
        <row r="22">
          <cell r="G22">
            <v>23669</v>
          </cell>
          <cell r="H22">
            <v>12</v>
          </cell>
          <cell r="I22">
            <v>360</v>
          </cell>
          <cell r="J22">
            <v>15</v>
          </cell>
          <cell r="K22">
            <v>8</v>
          </cell>
          <cell r="L22">
            <v>15</v>
          </cell>
          <cell r="M22">
            <v>8</v>
          </cell>
          <cell r="N22">
            <v>7</v>
          </cell>
          <cell r="O22">
            <v>7</v>
          </cell>
          <cell r="P22">
            <v>2</v>
          </cell>
          <cell r="Q22">
            <v>7</v>
          </cell>
          <cell r="R22">
            <v>12</v>
          </cell>
          <cell r="S22">
            <v>19</v>
          </cell>
          <cell r="T22">
            <v>5</v>
          </cell>
          <cell r="U22">
            <v>9</v>
          </cell>
          <cell r="V22">
            <v>114</v>
          </cell>
          <cell r="W22">
            <v>9.5</v>
          </cell>
        </row>
        <row r="23">
          <cell r="G23">
            <v>23431</v>
          </cell>
          <cell r="H23">
            <v>12</v>
          </cell>
          <cell r="I23">
            <v>360</v>
          </cell>
          <cell r="J23">
            <v>4</v>
          </cell>
          <cell r="K23">
            <v>6</v>
          </cell>
          <cell r="L23">
            <v>7</v>
          </cell>
          <cell r="M23">
            <v>10</v>
          </cell>
          <cell r="N23">
            <v>5</v>
          </cell>
          <cell r="O23">
            <v>1</v>
          </cell>
          <cell r="P23">
            <v>6</v>
          </cell>
          <cell r="Q23">
            <v>14</v>
          </cell>
          <cell r="R23">
            <v>17</v>
          </cell>
          <cell r="S23">
            <v>17</v>
          </cell>
          <cell r="T23">
            <v>20</v>
          </cell>
          <cell r="U23">
            <v>3</v>
          </cell>
          <cell r="V23">
            <v>110</v>
          </cell>
          <cell r="W23">
            <v>9.1666666666666661</v>
          </cell>
        </row>
        <row r="24">
          <cell r="G24">
            <v>23565</v>
          </cell>
          <cell r="H24">
            <v>12</v>
          </cell>
          <cell r="I24">
            <v>360</v>
          </cell>
          <cell r="J24">
            <v>7</v>
          </cell>
          <cell r="K24">
            <v>8</v>
          </cell>
          <cell r="L24">
            <v>4</v>
          </cell>
          <cell r="M24">
            <v>13</v>
          </cell>
          <cell r="N24">
            <v>3</v>
          </cell>
          <cell r="O24">
            <v>6</v>
          </cell>
          <cell r="P24">
            <v>8</v>
          </cell>
          <cell r="Q24">
            <v>6</v>
          </cell>
          <cell r="R24">
            <v>6</v>
          </cell>
          <cell r="S24">
            <v>22</v>
          </cell>
          <cell r="T24">
            <v>10</v>
          </cell>
          <cell r="U24">
            <v>17</v>
          </cell>
          <cell r="V24">
            <v>110</v>
          </cell>
          <cell r="W24">
            <v>9.1666666666666661</v>
          </cell>
        </row>
        <row r="25">
          <cell r="G25">
            <v>22366</v>
          </cell>
          <cell r="H25">
            <v>12</v>
          </cell>
          <cell r="I25">
            <v>360</v>
          </cell>
          <cell r="J25">
            <v>2</v>
          </cell>
          <cell r="K25">
            <v>9</v>
          </cell>
          <cell r="L25">
            <v>3</v>
          </cell>
          <cell r="M25">
            <v>18</v>
          </cell>
          <cell r="N25">
            <v>12</v>
          </cell>
          <cell r="O25">
            <v>1</v>
          </cell>
          <cell r="P25">
            <v>12</v>
          </cell>
          <cell r="Q25">
            <v>3</v>
          </cell>
          <cell r="R25">
            <v>13</v>
          </cell>
          <cell r="S25">
            <v>21</v>
          </cell>
          <cell r="T25">
            <v>8</v>
          </cell>
          <cell r="U25">
            <v>7</v>
          </cell>
          <cell r="V25">
            <v>109</v>
          </cell>
          <cell r="W25">
            <v>9.0833333333333339</v>
          </cell>
        </row>
        <row r="26">
          <cell r="G26">
            <v>26015</v>
          </cell>
          <cell r="H26">
            <v>9</v>
          </cell>
          <cell r="I26">
            <v>270</v>
          </cell>
          <cell r="J26"/>
          <cell r="K26"/>
          <cell r="L26"/>
          <cell r="M26"/>
          <cell r="N26"/>
          <cell r="O26"/>
          <cell r="P26">
            <v>16</v>
          </cell>
          <cell r="Q26">
            <v>11</v>
          </cell>
          <cell r="R26">
            <v>38</v>
          </cell>
          <cell r="S26">
            <v>19</v>
          </cell>
          <cell r="T26">
            <v>5</v>
          </cell>
          <cell r="U26">
            <v>16</v>
          </cell>
          <cell r="V26">
            <v>105</v>
          </cell>
          <cell r="W26">
            <v>11.666666666666666</v>
          </cell>
        </row>
        <row r="27">
          <cell r="G27">
            <v>27372</v>
          </cell>
          <cell r="H27">
            <v>3</v>
          </cell>
          <cell r="I27">
            <v>90</v>
          </cell>
          <cell r="J27"/>
          <cell r="K27"/>
          <cell r="L27"/>
          <cell r="M27"/>
          <cell r="N27"/>
          <cell r="O27"/>
          <cell r="P27"/>
          <cell r="Q27"/>
          <cell r="R27"/>
          <cell r="S27">
            <v>10</v>
          </cell>
          <cell r="T27">
            <v>52</v>
          </cell>
          <cell r="U27">
            <v>41</v>
          </cell>
          <cell r="V27">
            <v>103</v>
          </cell>
          <cell r="W27">
            <v>34.333333333333336</v>
          </cell>
        </row>
        <row r="28">
          <cell r="G28">
            <v>26881</v>
          </cell>
          <cell r="H28">
            <v>4</v>
          </cell>
          <cell r="I28">
            <v>120</v>
          </cell>
          <cell r="J28"/>
          <cell r="K28"/>
          <cell r="L28"/>
          <cell r="M28"/>
          <cell r="N28"/>
          <cell r="O28"/>
          <cell r="P28"/>
          <cell r="Q28"/>
          <cell r="R28">
            <v>40</v>
          </cell>
          <cell r="S28">
            <v>46</v>
          </cell>
          <cell r="T28">
            <v>10</v>
          </cell>
          <cell r="U28">
            <v>1</v>
          </cell>
          <cell r="V28">
            <v>97</v>
          </cell>
          <cell r="W28">
            <v>24.25</v>
          </cell>
        </row>
        <row r="29">
          <cell r="G29">
            <v>23214</v>
          </cell>
          <cell r="H29">
            <v>12</v>
          </cell>
          <cell r="I29">
            <v>360</v>
          </cell>
          <cell r="J29">
            <v>15</v>
          </cell>
          <cell r="K29">
            <v>4</v>
          </cell>
          <cell r="L29">
            <v>3</v>
          </cell>
          <cell r="M29">
            <v>7</v>
          </cell>
          <cell r="N29">
            <v>7</v>
          </cell>
          <cell r="O29"/>
          <cell r="P29"/>
          <cell r="Q29">
            <v>6</v>
          </cell>
          <cell r="R29">
            <v>14</v>
          </cell>
          <cell r="S29">
            <v>20</v>
          </cell>
          <cell r="T29">
            <v>12</v>
          </cell>
          <cell r="U29">
            <v>9</v>
          </cell>
          <cell r="V29">
            <v>97</v>
          </cell>
          <cell r="W29">
            <v>8.0833333333333339</v>
          </cell>
        </row>
        <row r="30">
          <cell r="G30">
            <v>23270</v>
          </cell>
          <cell r="H30">
            <v>12</v>
          </cell>
          <cell r="I30">
            <v>360</v>
          </cell>
          <cell r="J30">
            <v>5</v>
          </cell>
          <cell r="K30">
            <v>7</v>
          </cell>
          <cell r="L30">
            <v>9</v>
          </cell>
          <cell r="M30">
            <v>9</v>
          </cell>
          <cell r="N30">
            <v>6</v>
          </cell>
          <cell r="O30">
            <v>13</v>
          </cell>
          <cell r="P30">
            <v>7</v>
          </cell>
          <cell r="Q30">
            <v>3</v>
          </cell>
          <cell r="R30">
            <v>3</v>
          </cell>
          <cell r="S30">
            <v>15</v>
          </cell>
          <cell r="T30">
            <v>10</v>
          </cell>
          <cell r="U30">
            <v>10</v>
          </cell>
          <cell r="V30">
            <v>97</v>
          </cell>
          <cell r="W30">
            <v>8.0833333333333339</v>
          </cell>
        </row>
        <row r="31">
          <cell r="G31">
            <v>22126</v>
          </cell>
          <cell r="H31">
            <v>12</v>
          </cell>
          <cell r="I31">
            <v>360</v>
          </cell>
          <cell r="J31">
            <v>7</v>
          </cell>
          <cell r="K31">
            <v>11</v>
          </cell>
          <cell r="L31">
            <v>14</v>
          </cell>
          <cell r="M31">
            <v>5</v>
          </cell>
          <cell r="N31">
            <v>6</v>
          </cell>
          <cell r="O31">
            <v>4</v>
          </cell>
          <cell r="P31">
            <v>3</v>
          </cell>
          <cell r="Q31">
            <v>8</v>
          </cell>
          <cell r="R31">
            <v>15</v>
          </cell>
          <cell r="S31">
            <v>16</v>
          </cell>
          <cell r="T31">
            <v>3</v>
          </cell>
          <cell r="U31">
            <v>2</v>
          </cell>
          <cell r="V31">
            <v>94</v>
          </cell>
          <cell r="W31">
            <v>7.833333333333333</v>
          </cell>
        </row>
        <row r="32">
          <cell r="G32">
            <v>20509</v>
          </cell>
          <cell r="H32">
            <v>12</v>
          </cell>
          <cell r="I32">
            <v>360</v>
          </cell>
          <cell r="J32">
            <v>7</v>
          </cell>
          <cell r="K32">
            <v>8</v>
          </cell>
          <cell r="L32">
            <v>18</v>
          </cell>
          <cell r="M32">
            <v>10</v>
          </cell>
          <cell r="N32">
            <v>5</v>
          </cell>
          <cell r="O32">
            <v>5</v>
          </cell>
          <cell r="P32">
            <v>4</v>
          </cell>
          <cell r="Q32">
            <v>9</v>
          </cell>
          <cell r="R32">
            <v>11</v>
          </cell>
          <cell r="S32">
            <v>10</v>
          </cell>
          <cell r="T32">
            <v>2</v>
          </cell>
          <cell r="U32">
            <v>5</v>
          </cell>
          <cell r="V32">
            <v>94</v>
          </cell>
          <cell r="W32">
            <v>7.833333333333333</v>
          </cell>
        </row>
        <row r="33">
          <cell r="G33">
            <v>23142</v>
          </cell>
          <cell r="H33">
            <v>12</v>
          </cell>
          <cell r="I33">
            <v>360</v>
          </cell>
          <cell r="J33">
            <v>1</v>
          </cell>
          <cell r="K33">
            <v>3</v>
          </cell>
          <cell r="L33">
            <v>12</v>
          </cell>
          <cell r="M33">
            <v>6</v>
          </cell>
          <cell r="N33">
            <v>1</v>
          </cell>
          <cell r="O33">
            <v>5</v>
          </cell>
          <cell r="P33">
            <v>3</v>
          </cell>
          <cell r="Q33">
            <v>1</v>
          </cell>
          <cell r="R33">
            <v>14</v>
          </cell>
          <cell r="S33">
            <v>12</v>
          </cell>
          <cell r="T33">
            <v>32</v>
          </cell>
          <cell r="U33">
            <v>3</v>
          </cell>
          <cell r="V33">
            <v>93</v>
          </cell>
          <cell r="W33">
            <v>7.75</v>
          </cell>
        </row>
        <row r="34">
          <cell r="G34">
            <v>26403</v>
          </cell>
          <cell r="H34">
            <v>7</v>
          </cell>
          <cell r="I34">
            <v>210</v>
          </cell>
          <cell r="J34"/>
          <cell r="K34"/>
          <cell r="L34"/>
          <cell r="M34"/>
          <cell r="N34"/>
          <cell r="O34">
            <v>3</v>
          </cell>
          <cell r="P34">
            <v>6</v>
          </cell>
          <cell r="Q34">
            <v>13</v>
          </cell>
          <cell r="R34">
            <v>31</v>
          </cell>
          <cell r="S34">
            <v>8</v>
          </cell>
          <cell r="T34">
            <v>16</v>
          </cell>
          <cell r="U34">
            <v>10</v>
          </cell>
          <cell r="V34">
            <v>87</v>
          </cell>
          <cell r="W34">
            <v>12.428571428571429</v>
          </cell>
        </row>
        <row r="35">
          <cell r="G35">
            <v>27219</v>
          </cell>
          <cell r="H35">
            <v>3</v>
          </cell>
          <cell r="I35">
            <v>90</v>
          </cell>
          <cell r="J35"/>
          <cell r="K35"/>
          <cell r="L35"/>
          <cell r="M35"/>
          <cell r="N35"/>
          <cell r="O35"/>
          <cell r="P35"/>
          <cell r="Q35"/>
          <cell r="R35"/>
          <cell r="S35">
            <v>37</v>
          </cell>
          <cell r="T35">
            <v>27</v>
          </cell>
          <cell r="U35">
            <v>21</v>
          </cell>
          <cell r="V35">
            <v>85</v>
          </cell>
          <cell r="W35">
            <v>28.333333333333332</v>
          </cell>
        </row>
        <row r="36">
          <cell r="G36">
            <v>22452</v>
          </cell>
          <cell r="H36">
            <v>6</v>
          </cell>
          <cell r="I36">
            <v>180</v>
          </cell>
          <cell r="J36"/>
          <cell r="K36"/>
          <cell r="L36"/>
          <cell r="M36"/>
          <cell r="N36"/>
          <cell r="O36"/>
          <cell r="P36"/>
          <cell r="Q36">
            <v>6</v>
          </cell>
          <cell r="R36">
            <v>11</v>
          </cell>
          <cell r="S36">
            <v>27</v>
          </cell>
          <cell r="T36">
            <v>20</v>
          </cell>
          <cell r="U36">
            <v>19</v>
          </cell>
          <cell r="V36">
            <v>83</v>
          </cell>
          <cell r="W36">
            <v>13.833333333333334</v>
          </cell>
        </row>
        <row r="37">
          <cell r="G37">
            <v>22002</v>
          </cell>
          <cell r="H37">
            <v>7</v>
          </cell>
          <cell r="I37">
            <v>210</v>
          </cell>
          <cell r="J37">
            <v>12</v>
          </cell>
          <cell r="K37">
            <v>2</v>
          </cell>
          <cell r="L37">
            <v>5</v>
          </cell>
          <cell r="M37">
            <v>20</v>
          </cell>
          <cell r="N37">
            <v>24</v>
          </cell>
          <cell r="O37">
            <v>14</v>
          </cell>
          <cell r="P37">
            <v>3</v>
          </cell>
          <cell r="Q37"/>
          <cell r="R37"/>
          <cell r="S37"/>
          <cell r="T37"/>
          <cell r="U37"/>
          <cell r="V37">
            <v>80</v>
          </cell>
          <cell r="W37">
            <v>11.428571428571429</v>
          </cell>
        </row>
        <row r="38">
          <cell r="G38">
            <v>22365</v>
          </cell>
          <cell r="H38">
            <v>12</v>
          </cell>
          <cell r="I38">
            <v>360</v>
          </cell>
          <cell r="J38">
            <v>3</v>
          </cell>
          <cell r="K38">
            <v>5</v>
          </cell>
          <cell r="L38">
            <v>3</v>
          </cell>
          <cell r="M38">
            <v>15</v>
          </cell>
          <cell r="N38">
            <v>14</v>
          </cell>
          <cell r="O38">
            <v>2</v>
          </cell>
          <cell r="P38">
            <v>2</v>
          </cell>
          <cell r="Q38">
            <v>2</v>
          </cell>
          <cell r="R38">
            <v>10</v>
          </cell>
          <cell r="S38">
            <v>12</v>
          </cell>
          <cell r="T38">
            <v>6</v>
          </cell>
          <cell r="U38">
            <v>5</v>
          </cell>
          <cell r="V38">
            <v>79</v>
          </cell>
          <cell r="W38">
            <v>6.583333333333333</v>
          </cell>
        </row>
        <row r="39">
          <cell r="G39">
            <v>23969</v>
          </cell>
          <cell r="H39">
            <v>12</v>
          </cell>
          <cell r="I39">
            <v>360</v>
          </cell>
          <cell r="J39">
            <v>5</v>
          </cell>
          <cell r="K39">
            <v>8</v>
          </cell>
          <cell r="L39">
            <v>7</v>
          </cell>
          <cell r="M39">
            <v>11</v>
          </cell>
          <cell r="N39">
            <v>4</v>
          </cell>
          <cell r="O39">
            <v>2</v>
          </cell>
          <cell r="P39">
            <v>4</v>
          </cell>
          <cell r="Q39">
            <v>2</v>
          </cell>
          <cell r="R39">
            <v>9</v>
          </cell>
          <cell r="S39">
            <v>11</v>
          </cell>
          <cell r="T39">
            <v>3</v>
          </cell>
          <cell r="U39">
            <v>13</v>
          </cell>
          <cell r="V39">
            <v>79</v>
          </cell>
          <cell r="W39">
            <v>6.583333333333333</v>
          </cell>
        </row>
        <row r="40">
          <cell r="G40">
            <v>22773</v>
          </cell>
          <cell r="H40">
            <v>12</v>
          </cell>
          <cell r="I40">
            <v>360</v>
          </cell>
          <cell r="J40">
            <v>9</v>
          </cell>
          <cell r="K40">
            <v>6</v>
          </cell>
          <cell r="L40">
            <v>5</v>
          </cell>
          <cell r="M40">
            <v>3</v>
          </cell>
          <cell r="N40">
            <v>1</v>
          </cell>
          <cell r="O40">
            <v>2</v>
          </cell>
          <cell r="P40">
            <v>4</v>
          </cell>
          <cell r="Q40">
            <v>5</v>
          </cell>
          <cell r="R40">
            <v>11</v>
          </cell>
          <cell r="S40">
            <v>14</v>
          </cell>
          <cell r="T40">
            <v>10</v>
          </cell>
          <cell r="U40">
            <v>8</v>
          </cell>
          <cell r="V40">
            <v>78</v>
          </cell>
          <cell r="W40">
            <v>6.5</v>
          </cell>
        </row>
        <row r="41">
          <cell r="G41">
            <v>22131</v>
          </cell>
          <cell r="H41">
            <v>12</v>
          </cell>
          <cell r="I41">
            <v>360</v>
          </cell>
          <cell r="J41">
            <v>6</v>
          </cell>
          <cell r="K41">
            <v>6</v>
          </cell>
          <cell r="L41">
            <v>6</v>
          </cell>
          <cell r="M41">
            <v>11</v>
          </cell>
          <cell r="N41">
            <v>10</v>
          </cell>
          <cell r="O41">
            <v>7</v>
          </cell>
          <cell r="P41">
            <v>1</v>
          </cell>
          <cell r="Q41">
            <v>3</v>
          </cell>
          <cell r="R41">
            <v>14</v>
          </cell>
          <cell r="S41">
            <v>3</v>
          </cell>
          <cell r="T41">
            <v>3</v>
          </cell>
          <cell r="U41">
            <v>7</v>
          </cell>
          <cell r="V41">
            <v>77</v>
          </cell>
          <cell r="W41">
            <v>6.416666666666667</v>
          </cell>
        </row>
        <row r="42">
          <cell r="G42">
            <v>20503</v>
          </cell>
          <cell r="H42">
            <v>12</v>
          </cell>
          <cell r="I42">
            <v>360</v>
          </cell>
          <cell r="J42">
            <v>6</v>
          </cell>
          <cell r="K42">
            <v>10</v>
          </cell>
          <cell r="L42">
            <v>8</v>
          </cell>
          <cell r="M42">
            <v>10</v>
          </cell>
          <cell r="N42">
            <v>5</v>
          </cell>
          <cell r="O42">
            <v>1</v>
          </cell>
          <cell r="P42">
            <v>8</v>
          </cell>
          <cell r="Q42">
            <v>8</v>
          </cell>
          <cell r="R42">
            <v>6</v>
          </cell>
          <cell r="S42">
            <v>3</v>
          </cell>
          <cell r="T42">
            <v>1</v>
          </cell>
          <cell r="U42">
            <v>11</v>
          </cell>
          <cell r="V42">
            <v>77</v>
          </cell>
          <cell r="W42">
            <v>6.416666666666667</v>
          </cell>
        </row>
        <row r="43">
          <cell r="G43">
            <v>21998</v>
          </cell>
          <cell r="H43">
            <v>12</v>
          </cell>
          <cell r="I43">
            <v>360</v>
          </cell>
          <cell r="J43">
            <v>3</v>
          </cell>
          <cell r="K43">
            <v>7</v>
          </cell>
          <cell r="L43">
            <v>4</v>
          </cell>
          <cell r="M43">
            <v>4</v>
          </cell>
          <cell r="N43">
            <v>8</v>
          </cell>
          <cell r="O43">
            <v>4</v>
          </cell>
          <cell r="P43">
            <v>2</v>
          </cell>
          <cell r="Q43">
            <v>9</v>
          </cell>
          <cell r="R43">
            <v>10</v>
          </cell>
          <cell r="S43">
            <v>8</v>
          </cell>
          <cell r="T43">
            <v>9</v>
          </cell>
          <cell r="U43">
            <v>5</v>
          </cell>
          <cell r="V43">
            <v>73</v>
          </cell>
          <cell r="W43">
            <v>6.083333333333333</v>
          </cell>
        </row>
        <row r="44">
          <cell r="G44">
            <v>22128</v>
          </cell>
          <cell r="H44">
            <v>12</v>
          </cell>
          <cell r="I44">
            <v>360</v>
          </cell>
          <cell r="J44">
            <v>8</v>
          </cell>
          <cell r="K44">
            <v>5</v>
          </cell>
          <cell r="L44">
            <v>5</v>
          </cell>
          <cell r="M44">
            <v>14</v>
          </cell>
          <cell r="N44">
            <v>5</v>
          </cell>
          <cell r="O44">
            <v>3</v>
          </cell>
          <cell r="P44">
            <v>8</v>
          </cell>
          <cell r="Q44">
            <v>1</v>
          </cell>
          <cell r="R44">
            <v>10</v>
          </cell>
          <cell r="S44">
            <v>5</v>
          </cell>
          <cell r="T44">
            <v>3</v>
          </cell>
          <cell r="U44">
            <v>5</v>
          </cell>
          <cell r="V44">
            <v>72</v>
          </cell>
          <cell r="W44">
            <v>6</v>
          </cell>
        </row>
        <row r="45">
          <cell r="G45">
            <v>22402</v>
          </cell>
          <cell r="H45">
            <v>12</v>
          </cell>
          <cell r="I45">
            <v>360</v>
          </cell>
          <cell r="J45">
            <v>6</v>
          </cell>
          <cell r="K45">
            <v>8</v>
          </cell>
          <cell r="L45">
            <v>7</v>
          </cell>
          <cell r="M45">
            <v>4</v>
          </cell>
          <cell r="N45">
            <v>5</v>
          </cell>
          <cell r="O45">
            <v>3</v>
          </cell>
          <cell r="P45">
            <v>11</v>
          </cell>
          <cell r="Q45">
            <v>5</v>
          </cell>
          <cell r="R45">
            <v>12</v>
          </cell>
          <cell r="S45">
            <v>6</v>
          </cell>
          <cell r="T45">
            <v>2</v>
          </cell>
          <cell r="U45">
            <v>2</v>
          </cell>
          <cell r="V45">
            <v>71</v>
          </cell>
          <cell r="W45">
            <v>5.916666666666667</v>
          </cell>
        </row>
        <row r="46">
          <cell r="G46">
            <v>26810</v>
          </cell>
          <cell r="H46">
            <v>4</v>
          </cell>
          <cell r="I46">
            <v>120</v>
          </cell>
          <cell r="J46"/>
          <cell r="K46"/>
          <cell r="L46"/>
          <cell r="M46"/>
          <cell r="N46"/>
          <cell r="O46"/>
          <cell r="P46"/>
          <cell r="Q46"/>
          <cell r="R46">
            <v>11</v>
          </cell>
          <cell r="S46">
            <v>17</v>
          </cell>
          <cell r="T46">
            <v>17</v>
          </cell>
          <cell r="U46">
            <v>24</v>
          </cell>
          <cell r="V46">
            <v>69</v>
          </cell>
          <cell r="W46">
            <v>17.25</v>
          </cell>
        </row>
        <row r="47">
          <cell r="G47">
            <v>23433</v>
          </cell>
          <cell r="H47">
            <v>12</v>
          </cell>
          <cell r="I47">
            <v>360</v>
          </cell>
          <cell r="J47">
            <v>1</v>
          </cell>
          <cell r="K47">
            <v>4</v>
          </cell>
          <cell r="L47">
            <v>11</v>
          </cell>
          <cell r="M47">
            <v>6</v>
          </cell>
          <cell r="N47">
            <v>7</v>
          </cell>
          <cell r="O47">
            <v>2</v>
          </cell>
          <cell r="P47">
            <v>4</v>
          </cell>
          <cell r="Q47">
            <v>5</v>
          </cell>
          <cell r="R47">
            <v>12</v>
          </cell>
          <cell r="S47">
            <v>6</v>
          </cell>
          <cell r="T47">
            <v>4</v>
          </cell>
          <cell r="U47"/>
          <cell r="V47">
            <v>62</v>
          </cell>
          <cell r="W47">
            <v>5.166666666666667</v>
          </cell>
        </row>
        <row r="48">
          <cell r="G48">
            <v>20983</v>
          </cell>
          <cell r="H48">
            <v>12</v>
          </cell>
          <cell r="I48">
            <v>360</v>
          </cell>
          <cell r="J48">
            <v>4</v>
          </cell>
          <cell r="K48">
            <v>1</v>
          </cell>
          <cell r="L48">
            <v>7</v>
          </cell>
          <cell r="M48">
            <v>5</v>
          </cell>
          <cell r="N48">
            <v>10</v>
          </cell>
          <cell r="O48">
            <v>6</v>
          </cell>
          <cell r="P48">
            <v>6</v>
          </cell>
          <cell r="Q48">
            <v>3</v>
          </cell>
          <cell r="R48">
            <v>7</v>
          </cell>
          <cell r="S48">
            <v>9</v>
          </cell>
          <cell r="T48">
            <v>2</v>
          </cell>
          <cell r="U48">
            <v>2</v>
          </cell>
          <cell r="V48">
            <v>62</v>
          </cell>
          <cell r="W48">
            <v>5.166666666666667</v>
          </cell>
        </row>
        <row r="49">
          <cell r="G49">
            <v>24494</v>
          </cell>
          <cell r="H49">
            <v>12</v>
          </cell>
          <cell r="I49">
            <v>360</v>
          </cell>
          <cell r="J49">
            <v>14</v>
          </cell>
          <cell r="K49">
            <v>4</v>
          </cell>
          <cell r="L49">
            <v>4</v>
          </cell>
          <cell r="M49">
            <v>4</v>
          </cell>
          <cell r="N49">
            <v>4</v>
          </cell>
          <cell r="O49">
            <v>3</v>
          </cell>
          <cell r="P49">
            <v>2</v>
          </cell>
          <cell r="Q49"/>
          <cell r="R49">
            <v>10</v>
          </cell>
          <cell r="S49">
            <v>5</v>
          </cell>
          <cell r="T49">
            <v>7</v>
          </cell>
          <cell r="U49">
            <v>2</v>
          </cell>
          <cell r="V49">
            <v>59</v>
          </cell>
          <cell r="W49">
            <v>4.916666666666667</v>
          </cell>
        </row>
        <row r="50">
          <cell r="G50">
            <v>26084</v>
          </cell>
          <cell r="H50">
            <v>9</v>
          </cell>
          <cell r="I50">
            <v>270</v>
          </cell>
          <cell r="J50"/>
          <cell r="K50"/>
          <cell r="L50"/>
          <cell r="M50">
            <v>1</v>
          </cell>
          <cell r="N50">
            <v>2</v>
          </cell>
          <cell r="O50">
            <v>6</v>
          </cell>
          <cell r="P50">
            <v>3</v>
          </cell>
          <cell r="Q50">
            <v>2</v>
          </cell>
          <cell r="R50">
            <v>22</v>
          </cell>
          <cell r="S50">
            <v>8</v>
          </cell>
          <cell r="T50">
            <v>5</v>
          </cell>
          <cell r="U50">
            <v>8</v>
          </cell>
          <cell r="V50">
            <v>57</v>
          </cell>
          <cell r="W50">
            <v>6.333333333333333</v>
          </cell>
        </row>
        <row r="51">
          <cell r="G51">
            <v>24527</v>
          </cell>
          <cell r="H51">
            <v>12</v>
          </cell>
          <cell r="I51">
            <v>360</v>
          </cell>
          <cell r="J51">
            <v>2</v>
          </cell>
          <cell r="K51">
            <v>4</v>
          </cell>
          <cell r="L51">
            <v>8</v>
          </cell>
          <cell r="M51">
            <v>5</v>
          </cell>
          <cell r="N51">
            <v>5</v>
          </cell>
          <cell r="O51">
            <v>2</v>
          </cell>
          <cell r="P51">
            <v>9</v>
          </cell>
          <cell r="Q51">
            <v>8</v>
          </cell>
          <cell r="R51">
            <v>2</v>
          </cell>
          <cell r="S51">
            <v>2</v>
          </cell>
          <cell r="T51">
            <v>3</v>
          </cell>
          <cell r="U51">
            <v>2</v>
          </cell>
          <cell r="V51">
            <v>52</v>
          </cell>
          <cell r="W51">
            <v>4.333333333333333</v>
          </cell>
        </row>
        <row r="52">
          <cell r="G52">
            <v>27154</v>
          </cell>
          <cell r="H52">
            <v>3</v>
          </cell>
          <cell r="I52">
            <v>90</v>
          </cell>
          <cell r="J52"/>
          <cell r="K52"/>
          <cell r="L52"/>
          <cell r="M52"/>
          <cell r="N52"/>
          <cell r="O52"/>
          <cell r="P52"/>
          <cell r="Q52"/>
          <cell r="R52"/>
          <cell r="S52">
            <v>7</v>
          </cell>
          <cell r="T52">
            <v>16</v>
          </cell>
          <cell r="U52">
            <v>24</v>
          </cell>
          <cell r="V52">
            <v>47</v>
          </cell>
          <cell r="W52">
            <v>15.666666666666666</v>
          </cell>
        </row>
        <row r="53">
          <cell r="G53">
            <v>23429</v>
          </cell>
          <cell r="H53">
            <v>12</v>
          </cell>
          <cell r="I53">
            <v>360</v>
          </cell>
          <cell r="J53"/>
          <cell r="K53">
            <v>3</v>
          </cell>
          <cell r="L53">
            <v>3</v>
          </cell>
          <cell r="M53">
            <v>1</v>
          </cell>
          <cell r="N53">
            <v>3</v>
          </cell>
          <cell r="O53">
            <v>1</v>
          </cell>
          <cell r="P53">
            <v>7</v>
          </cell>
          <cell r="Q53">
            <v>1</v>
          </cell>
          <cell r="R53">
            <v>6</v>
          </cell>
          <cell r="S53">
            <v>8</v>
          </cell>
          <cell r="T53">
            <v>7</v>
          </cell>
          <cell r="U53">
            <v>2</v>
          </cell>
          <cell r="V53">
            <v>42</v>
          </cell>
          <cell r="W53">
            <v>3.5</v>
          </cell>
        </row>
        <row r="54">
          <cell r="G54">
            <v>24495</v>
          </cell>
          <cell r="H54">
            <v>12</v>
          </cell>
          <cell r="I54">
            <v>360</v>
          </cell>
          <cell r="J54">
            <v>9</v>
          </cell>
          <cell r="K54">
            <v>7</v>
          </cell>
          <cell r="L54">
            <v>3</v>
          </cell>
          <cell r="M54">
            <v>3</v>
          </cell>
          <cell r="N54">
            <v>3</v>
          </cell>
          <cell r="O54"/>
          <cell r="P54">
            <v>1</v>
          </cell>
          <cell r="Q54">
            <v>7</v>
          </cell>
          <cell r="R54">
            <v>2</v>
          </cell>
          <cell r="S54">
            <v>5</v>
          </cell>
          <cell r="T54">
            <v>1</v>
          </cell>
          <cell r="U54"/>
          <cell r="V54">
            <v>41</v>
          </cell>
          <cell r="W54">
            <v>3.4166666666666665</v>
          </cell>
        </row>
        <row r="55">
          <cell r="G55">
            <v>22361</v>
          </cell>
          <cell r="H55">
            <v>12</v>
          </cell>
          <cell r="I55">
            <v>360</v>
          </cell>
          <cell r="J55">
            <v>3</v>
          </cell>
          <cell r="K55">
            <v>2</v>
          </cell>
          <cell r="L55">
            <v>9</v>
          </cell>
          <cell r="M55">
            <v>2</v>
          </cell>
          <cell r="N55"/>
          <cell r="O55"/>
          <cell r="P55">
            <v>3</v>
          </cell>
          <cell r="Q55"/>
          <cell r="R55">
            <v>7</v>
          </cell>
          <cell r="S55">
            <v>4</v>
          </cell>
          <cell r="T55">
            <v>9</v>
          </cell>
          <cell r="U55">
            <v>2</v>
          </cell>
          <cell r="V55">
            <v>41</v>
          </cell>
          <cell r="W55">
            <v>3.4166666666666665</v>
          </cell>
        </row>
        <row r="56">
          <cell r="G56">
            <v>27028</v>
          </cell>
          <cell r="H56">
            <v>4</v>
          </cell>
          <cell r="I56">
            <v>120</v>
          </cell>
          <cell r="J56"/>
          <cell r="K56"/>
          <cell r="L56"/>
          <cell r="M56"/>
          <cell r="N56"/>
          <cell r="O56"/>
          <cell r="P56"/>
          <cell r="Q56"/>
          <cell r="R56">
            <v>1</v>
          </cell>
          <cell r="S56">
            <v>13</v>
          </cell>
          <cell r="T56">
            <v>4</v>
          </cell>
          <cell r="U56">
            <v>16</v>
          </cell>
          <cell r="V56">
            <v>34</v>
          </cell>
          <cell r="W56">
            <v>8.5</v>
          </cell>
        </row>
        <row r="57">
          <cell r="G57">
            <v>27437</v>
          </cell>
          <cell r="H57">
            <v>2</v>
          </cell>
          <cell r="I57">
            <v>60</v>
          </cell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>
            <v>14</v>
          </cell>
          <cell r="U57">
            <v>20</v>
          </cell>
          <cell r="V57">
            <v>34</v>
          </cell>
          <cell r="W57">
            <v>17</v>
          </cell>
        </row>
        <row r="58">
          <cell r="G58">
            <v>26530</v>
          </cell>
          <cell r="H58">
            <v>6</v>
          </cell>
          <cell r="I58">
            <v>180</v>
          </cell>
          <cell r="J58"/>
          <cell r="K58"/>
          <cell r="L58"/>
          <cell r="M58"/>
          <cell r="N58"/>
          <cell r="O58"/>
          <cell r="P58">
            <v>6</v>
          </cell>
          <cell r="Q58">
            <v>9</v>
          </cell>
          <cell r="R58">
            <v>5</v>
          </cell>
          <cell r="S58"/>
          <cell r="T58">
            <v>3</v>
          </cell>
          <cell r="U58">
            <v>2</v>
          </cell>
          <cell r="V58">
            <v>25</v>
          </cell>
          <cell r="W58">
            <v>4.166666666666667</v>
          </cell>
        </row>
        <row r="59">
          <cell r="G59">
            <v>27249</v>
          </cell>
          <cell r="H59">
            <v>3</v>
          </cell>
          <cell r="I59">
            <v>90</v>
          </cell>
          <cell r="J59"/>
          <cell r="K59"/>
          <cell r="L59"/>
          <cell r="M59"/>
          <cell r="N59"/>
          <cell r="O59"/>
          <cell r="P59"/>
          <cell r="Q59"/>
          <cell r="R59"/>
          <cell r="S59">
            <v>2</v>
          </cell>
          <cell r="T59">
            <v>13</v>
          </cell>
          <cell r="U59">
            <v>10</v>
          </cell>
          <cell r="V59">
            <v>25</v>
          </cell>
          <cell r="W59">
            <v>8.3333333333333339</v>
          </cell>
        </row>
        <row r="60">
          <cell r="G60">
            <v>24437</v>
          </cell>
          <cell r="H60">
            <v>5</v>
          </cell>
          <cell r="I60">
            <v>150</v>
          </cell>
          <cell r="J60">
            <v>4</v>
          </cell>
          <cell r="K60">
            <v>10</v>
          </cell>
          <cell r="L60">
            <v>7</v>
          </cell>
          <cell r="M60">
            <v>1</v>
          </cell>
          <cell r="N60">
            <v>1</v>
          </cell>
          <cell r="O60"/>
          <cell r="P60"/>
          <cell r="Q60"/>
          <cell r="R60"/>
          <cell r="S60"/>
          <cell r="T60"/>
          <cell r="U60"/>
          <cell r="V60">
            <v>23</v>
          </cell>
          <cell r="W60">
            <v>4.5999999999999996</v>
          </cell>
        </row>
        <row r="61">
          <cell r="G61">
            <v>23432</v>
          </cell>
          <cell r="H61">
            <v>12</v>
          </cell>
          <cell r="I61">
            <v>360</v>
          </cell>
          <cell r="J61"/>
          <cell r="K61">
            <v>2</v>
          </cell>
          <cell r="L61">
            <v>3</v>
          </cell>
          <cell r="M61"/>
          <cell r="N61"/>
          <cell r="O61">
            <v>1</v>
          </cell>
          <cell r="P61"/>
          <cell r="Q61">
            <v>1</v>
          </cell>
          <cell r="R61">
            <v>2</v>
          </cell>
          <cell r="S61">
            <v>6</v>
          </cell>
          <cell r="T61">
            <v>5</v>
          </cell>
          <cell r="U61">
            <v>2</v>
          </cell>
          <cell r="V61">
            <v>22</v>
          </cell>
          <cell r="W61">
            <v>1.8333333333333333</v>
          </cell>
        </row>
        <row r="62">
          <cell r="G62">
            <v>22130</v>
          </cell>
          <cell r="H62">
            <v>12</v>
          </cell>
          <cell r="I62">
            <v>360</v>
          </cell>
          <cell r="J62">
            <v>3</v>
          </cell>
          <cell r="K62"/>
          <cell r="L62">
            <v>1</v>
          </cell>
          <cell r="M62">
            <v>2</v>
          </cell>
          <cell r="N62">
            <v>2</v>
          </cell>
          <cell r="O62">
            <v>1</v>
          </cell>
          <cell r="P62"/>
          <cell r="Q62"/>
          <cell r="R62"/>
          <cell r="S62">
            <v>2</v>
          </cell>
          <cell r="T62">
            <v>5</v>
          </cell>
          <cell r="U62">
            <v>4</v>
          </cell>
          <cell r="V62">
            <v>20</v>
          </cell>
          <cell r="W62">
            <v>1.6666666666666667</v>
          </cell>
        </row>
        <row r="63">
          <cell r="G63">
            <v>23147</v>
          </cell>
          <cell r="H63">
            <v>12</v>
          </cell>
          <cell r="I63">
            <v>360</v>
          </cell>
          <cell r="J63">
            <v>5</v>
          </cell>
          <cell r="K63">
            <v>3</v>
          </cell>
          <cell r="L63">
            <v>2</v>
          </cell>
          <cell r="M63">
            <v>4</v>
          </cell>
          <cell r="N63">
            <v>1</v>
          </cell>
          <cell r="O63"/>
          <cell r="P63">
            <v>1</v>
          </cell>
          <cell r="Q63">
            <v>1</v>
          </cell>
          <cell r="R63">
            <v>1</v>
          </cell>
          <cell r="S63"/>
          <cell r="T63"/>
          <cell r="U63"/>
          <cell r="V63">
            <v>18</v>
          </cell>
          <cell r="W63">
            <v>1.5</v>
          </cell>
        </row>
        <row r="64">
          <cell r="G64">
            <v>23560</v>
          </cell>
          <cell r="H64">
            <v>12</v>
          </cell>
          <cell r="I64">
            <v>360</v>
          </cell>
          <cell r="J64"/>
          <cell r="K64">
            <v>1</v>
          </cell>
          <cell r="L64">
            <v>1</v>
          </cell>
          <cell r="M64">
            <v>2</v>
          </cell>
          <cell r="N64">
            <v>1</v>
          </cell>
          <cell r="O64">
            <v>2</v>
          </cell>
          <cell r="P64">
            <v>2</v>
          </cell>
          <cell r="Q64">
            <v>2</v>
          </cell>
          <cell r="R64"/>
          <cell r="S64">
            <v>5</v>
          </cell>
          <cell r="T64"/>
          <cell r="U64">
            <v>2</v>
          </cell>
          <cell r="V64">
            <v>18</v>
          </cell>
          <cell r="W64">
            <v>1.5</v>
          </cell>
        </row>
        <row r="65">
          <cell r="G65">
            <v>22000</v>
          </cell>
          <cell r="H65">
            <v>8</v>
          </cell>
          <cell r="I65">
            <v>240</v>
          </cell>
          <cell r="J65">
            <v>1</v>
          </cell>
          <cell r="K65">
            <v>3</v>
          </cell>
          <cell r="L65"/>
          <cell r="M65">
            <v>2</v>
          </cell>
          <cell r="N65">
            <v>10</v>
          </cell>
          <cell r="O65"/>
          <cell r="P65">
            <v>1</v>
          </cell>
          <cell r="Q65"/>
          <cell r="R65">
            <v>1</v>
          </cell>
          <cell r="S65"/>
          <cell r="T65"/>
          <cell r="U65"/>
          <cell r="V65">
            <v>18</v>
          </cell>
          <cell r="W65">
            <v>2.25</v>
          </cell>
        </row>
        <row r="66">
          <cell r="G66">
            <v>21675</v>
          </cell>
          <cell r="H66">
            <v>9</v>
          </cell>
          <cell r="I66">
            <v>270</v>
          </cell>
          <cell r="J66">
            <v>2</v>
          </cell>
          <cell r="K66">
            <v>3</v>
          </cell>
          <cell r="L66">
            <v>2</v>
          </cell>
          <cell r="M66"/>
          <cell r="N66">
            <v>1</v>
          </cell>
          <cell r="O66">
            <v>3</v>
          </cell>
          <cell r="P66"/>
          <cell r="Q66">
            <v>3</v>
          </cell>
          <cell r="R66">
            <v>3</v>
          </cell>
          <cell r="S66"/>
          <cell r="T66"/>
          <cell r="U66"/>
          <cell r="V66">
            <v>17</v>
          </cell>
          <cell r="W66">
            <v>1.8888888888888888</v>
          </cell>
        </row>
        <row r="67">
          <cell r="G67">
            <v>22453</v>
          </cell>
          <cell r="H67">
            <v>12</v>
          </cell>
          <cell r="I67">
            <v>360</v>
          </cell>
          <cell r="J67">
            <v>1</v>
          </cell>
          <cell r="K67"/>
          <cell r="L67">
            <v>2</v>
          </cell>
          <cell r="M67">
            <v>6</v>
          </cell>
          <cell r="N67">
            <v>1</v>
          </cell>
          <cell r="O67"/>
          <cell r="P67">
            <v>1</v>
          </cell>
          <cell r="Q67"/>
          <cell r="R67">
            <v>3</v>
          </cell>
          <cell r="S67"/>
          <cell r="T67">
            <v>1</v>
          </cell>
          <cell r="U67">
            <v>1</v>
          </cell>
          <cell r="V67">
            <v>16</v>
          </cell>
          <cell r="W67">
            <v>1.3333333333333333</v>
          </cell>
        </row>
        <row r="68">
          <cell r="G68">
            <v>26501</v>
          </cell>
          <cell r="H68">
            <v>4</v>
          </cell>
          <cell r="I68">
            <v>120</v>
          </cell>
          <cell r="J68"/>
          <cell r="K68"/>
          <cell r="L68"/>
          <cell r="M68"/>
          <cell r="N68"/>
          <cell r="O68"/>
          <cell r="P68"/>
          <cell r="Q68"/>
          <cell r="R68">
            <v>1</v>
          </cell>
          <cell r="S68">
            <v>7</v>
          </cell>
          <cell r="T68">
            <v>4</v>
          </cell>
          <cell r="U68">
            <v>4</v>
          </cell>
          <cell r="V68">
            <v>16</v>
          </cell>
          <cell r="W68">
            <v>4</v>
          </cell>
        </row>
        <row r="69">
          <cell r="G69">
            <v>22424</v>
          </cell>
          <cell r="H69">
            <v>3</v>
          </cell>
          <cell r="I69">
            <v>90</v>
          </cell>
          <cell r="J69">
            <v>9</v>
          </cell>
          <cell r="K69">
            <v>1</v>
          </cell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>
            <v>10</v>
          </cell>
          <cell r="W69">
            <v>3.3333333333333335</v>
          </cell>
        </row>
        <row r="70">
          <cell r="G70">
            <v>22771</v>
          </cell>
          <cell r="H70">
            <v>12</v>
          </cell>
          <cell r="I70">
            <v>360</v>
          </cell>
          <cell r="J70"/>
          <cell r="K70"/>
          <cell r="L70"/>
          <cell r="M70">
            <v>1</v>
          </cell>
          <cell r="N70">
            <v>1</v>
          </cell>
          <cell r="O70">
            <v>3</v>
          </cell>
          <cell r="P70">
            <v>2</v>
          </cell>
          <cell r="Q70"/>
          <cell r="R70">
            <v>1</v>
          </cell>
          <cell r="S70"/>
          <cell r="T70"/>
          <cell r="U70"/>
          <cell r="V70">
            <v>8</v>
          </cell>
          <cell r="W70">
            <v>0.66666666666666663</v>
          </cell>
        </row>
        <row r="71">
          <cell r="G71">
            <v>22775</v>
          </cell>
          <cell r="H71">
            <v>9</v>
          </cell>
          <cell r="I71">
            <v>270</v>
          </cell>
          <cell r="J71">
            <v>4</v>
          </cell>
          <cell r="K71">
            <v>1</v>
          </cell>
          <cell r="L71"/>
          <cell r="M71">
            <v>2</v>
          </cell>
          <cell r="N71"/>
          <cell r="O71"/>
          <cell r="P71"/>
          <cell r="Q71"/>
          <cell r="R71"/>
          <cell r="S71"/>
          <cell r="T71"/>
          <cell r="U71"/>
          <cell r="V71">
            <v>7</v>
          </cell>
          <cell r="W71">
            <v>0.77777777777777779</v>
          </cell>
        </row>
        <row r="72">
          <cell r="G72">
            <v>21925</v>
          </cell>
          <cell r="H72">
            <v>7</v>
          </cell>
          <cell r="I72">
            <v>210</v>
          </cell>
          <cell r="J72"/>
          <cell r="K72"/>
          <cell r="L72"/>
          <cell r="M72"/>
          <cell r="N72"/>
          <cell r="O72"/>
          <cell r="P72"/>
          <cell r="Q72">
            <v>4</v>
          </cell>
          <cell r="R72">
            <v>1</v>
          </cell>
          <cell r="S72"/>
          <cell r="T72"/>
          <cell r="U72">
            <v>1</v>
          </cell>
          <cell r="V72">
            <v>6</v>
          </cell>
          <cell r="W72">
            <v>0.8571428571428571</v>
          </cell>
        </row>
        <row r="73">
          <cell r="G73">
            <v>27252</v>
          </cell>
          <cell r="H73">
            <v>3</v>
          </cell>
          <cell r="I73">
            <v>90</v>
          </cell>
          <cell r="J73"/>
          <cell r="K73"/>
          <cell r="L73"/>
          <cell r="M73"/>
          <cell r="N73"/>
          <cell r="O73"/>
          <cell r="P73"/>
          <cell r="Q73"/>
          <cell r="R73"/>
          <cell r="S73">
            <v>1</v>
          </cell>
          <cell r="T73"/>
          <cell r="U73">
            <v>5</v>
          </cell>
          <cell r="V73">
            <v>6</v>
          </cell>
          <cell r="W73">
            <v>2</v>
          </cell>
        </row>
        <row r="74">
          <cell r="G74">
            <v>26595</v>
          </cell>
          <cell r="H74">
            <v>7</v>
          </cell>
          <cell r="I74">
            <v>210</v>
          </cell>
          <cell r="J74"/>
          <cell r="K74"/>
          <cell r="L74"/>
          <cell r="M74"/>
          <cell r="N74"/>
          <cell r="O74"/>
          <cell r="P74">
            <v>3</v>
          </cell>
          <cell r="Q74"/>
          <cell r="R74"/>
          <cell r="S74">
            <v>1</v>
          </cell>
          <cell r="T74">
            <v>1</v>
          </cell>
          <cell r="U74"/>
          <cell r="V74">
            <v>5</v>
          </cell>
          <cell r="W74">
            <v>0.7142857142857143</v>
          </cell>
        </row>
        <row r="75">
          <cell r="G75">
            <v>26507</v>
          </cell>
          <cell r="H75">
            <v>5</v>
          </cell>
          <cell r="I75">
            <v>150</v>
          </cell>
          <cell r="J75"/>
          <cell r="K75"/>
          <cell r="L75"/>
          <cell r="M75"/>
          <cell r="N75"/>
          <cell r="O75"/>
          <cell r="P75"/>
          <cell r="Q75"/>
          <cell r="R75">
            <v>2</v>
          </cell>
          <cell r="S75">
            <v>1</v>
          </cell>
          <cell r="T75">
            <v>2</v>
          </cell>
          <cell r="U75"/>
          <cell r="V75">
            <v>5</v>
          </cell>
          <cell r="W75">
            <v>1</v>
          </cell>
        </row>
        <row r="76">
          <cell r="G76">
            <v>20502</v>
          </cell>
          <cell r="H76">
            <v>10</v>
          </cell>
          <cell r="I76">
            <v>300</v>
          </cell>
          <cell r="J76"/>
          <cell r="K76"/>
          <cell r="L76"/>
          <cell r="M76"/>
          <cell r="N76">
            <v>1</v>
          </cell>
          <cell r="O76"/>
          <cell r="P76"/>
          <cell r="Q76"/>
          <cell r="R76"/>
          <cell r="S76"/>
          <cell r="T76"/>
          <cell r="U76">
            <v>3</v>
          </cell>
          <cell r="V76">
            <v>4</v>
          </cell>
          <cell r="W76">
            <v>0.4</v>
          </cell>
        </row>
        <row r="77">
          <cell r="G77">
            <v>23146</v>
          </cell>
          <cell r="H77">
            <v>1</v>
          </cell>
          <cell r="I77">
            <v>30</v>
          </cell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>
            <v>0</v>
          </cell>
          <cell r="W77">
            <v>0</v>
          </cell>
        </row>
        <row r="78">
          <cell r="G78">
            <v>20894</v>
          </cell>
          <cell r="H78">
            <v>0</v>
          </cell>
          <cell r="I78">
            <v>0</v>
          </cell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>
            <v>0</v>
          </cell>
          <cell r="W78" t="e">
            <v>#DIV/0!</v>
          </cell>
        </row>
        <row r="79">
          <cell r="G79">
            <v>21092</v>
          </cell>
          <cell r="H79">
            <v>0</v>
          </cell>
          <cell r="I79">
            <v>0</v>
          </cell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>
            <v>0</v>
          </cell>
          <cell r="W79" t="e">
            <v>#DIV/0!</v>
          </cell>
        </row>
        <row r="80">
          <cell r="G80">
            <v>24583</v>
          </cell>
          <cell r="H80">
            <v>0</v>
          </cell>
          <cell r="I80">
            <v>0</v>
          </cell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>
            <v>0</v>
          </cell>
          <cell r="W80" t="e">
            <v>#DIV/0!</v>
          </cell>
        </row>
        <row r="81">
          <cell r="G81">
            <v>20893</v>
          </cell>
          <cell r="H81">
            <v>0</v>
          </cell>
          <cell r="I81">
            <v>0</v>
          </cell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>
            <v>0</v>
          </cell>
          <cell r="W81" t="e">
            <v>#DIV/0!</v>
          </cell>
        </row>
        <row r="82">
          <cell r="G82">
            <v>22362</v>
          </cell>
          <cell r="H82">
            <v>0</v>
          </cell>
          <cell r="I82">
            <v>0</v>
          </cell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>
            <v>0</v>
          </cell>
          <cell r="W82" t="e">
            <v>#DIV/0!</v>
          </cell>
        </row>
        <row r="83">
          <cell r="G83">
            <v>22853</v>
          </cell>
          <cell r="H83">
            <v>0</v>
          </cell>
          <cell r="I83">
            <v>0</v>
          </cell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>
            <v>0</v>
          </cell>
          <cell r="W83" t="e">
            <v>#DIV/0!</v>
          </cell>
        </row>
        <row r="84">
          <cell r="G84">
            <v>23537</v>
          </cell>
          <cell r="H84">
            <v>0</v>
          </cell>
          <cell r="I84">
            <v>0</v>
          </cell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>
            <v>0</v>
          </cell>
          <cell r="W84" t="e">
            <v>#DIV/0!</v>
          </cell>
        </row>
      </sheetData>
      <sheetData sheetId="2"/>
      <sheetData sheetId="3">
        <row r="1">
          <cell r="G1" t="str">
            <v>KO Code</v>
          </cell>
          <cell r="H1" t="str">
            <v>TXN Category</v>
          </cell>
          <cell r="I1" t="str">
            <v>Month</v>
          </cell>
          <cell r="J1" t="str">
            <v>Target</v>
          </cell>
          <cell r="K1">
            <v>45383</v>
          </cell>
          <cell r="L1">
            <v>45413</v>
          </cell>
          <cell r="M1">
            <v>45444</v>
          </cell>
          <cell r="N1">
            <v>45474</v>
          </cell>
          <cell r="O1">
            <v>45505</v>
          </cell>
          <cell r="P1">
            <v>45536</v>
          </cell>
          <cell r="Q1">
            <v>45566</v>
          </cell>
          <cell r="R1">
            <v>45597</v>
          </cell>
          <cell r="S1">
            <v>45627</v>
          </cell>
          <cell r="T1">
            <v>45658</v>
          </cell>
          <cell r="U1">
            <v>45689</v>
          </cell>
          <cell r="V1">
            <v>45717</v>
          </cell>
          <cell r="W1" t="str">
            <v>Total APY</v>
          </cell>
          <cell r="X1" t="str">
            <v>Average</v>
          </cell>
        </row>
        <row r="2">
          <cell r="G2">
            <v>22775</v>
          </cell>
          <cell r="H2" t="str">
            <v>&lt; 150</v>
          </cell>
          <cell r="I2">
            <v>9</v>
          </cell>
          <cell r="J2">
            <v>135</v>
          </cell>
          <cell r="K2">
            <v>13</v>
          </cell>
          <cell r="L2">
            <v>18</v>
          </cell>
          <cell r="M2">
            <v>4</v>
          </cell>
          <cell r="N2">
            <v>9</v>
          </cell>
          <cell r="O2">
            <v>7</v>
          </cell>
          <cell r="P2">
            <v>2</v>
          </cell>
          <cell r="Q2">
            <v>1</v>
          </cell>
          <cell r="R2">
            <v>18</v>
          </cell>
          <cell r="S2">
            <v>22</v>
          </cell>
          <cell r="T2">
            <v>12</v>
          </cell>
          <cell r="U2">
            <v>24</v>
          </cell>
          <cell r="V2">
            <v>64</v>
          </cell>
          <cell r="W2">
            <v>194</v>
          </cell>
          <cell r="X2">
            <v>21.555555555555557</v>
          </cell>
        </row>
        <row r="3">
          <cell r="G3">
            <v>23142</v>
          </cell>
          <cell r="H3" t="str">
            <v>&gt; 300</v>
          </cell>
          <cell r="I3">
            <v>12</v>
          </cell>
          <cell r="J3">
            <v>180</v>
          </cell>
          <cell r="K3"/>
          <cell r="L3">
            <v>11</v>
          </cell>
          <cell r="M3">
            <v>20</v>
          </cell>
          <cell r="N3">
            <v>5</v>
          </cell>
          <cell r="O3">
            <v>11</v>
          </cell>
          <cell r="P3"/>
          <cell r="Q3">
            <v>1</v>
          </cell>
          <cell r="R3"/>
          <cell r="S3">
            <v>3</v>
          </cell>
          <cell r="T3">
            <v>1</v>
          </cell>
          <cell r="U3">
            <v>36</v>
          </cell>
          <cell r="V3">
            <v>62</v>
          </cell>
          <cell r="W3">
            <v>150</v>
          </cell>
          <cell r="X3">
            <v>12.5</v>
          </cell>
        </row>
        <row r="4">
          <cell r="G4">
            <v>21926</v>
          </cell>
          <cell r="H4" t="str">
            <v>&gt; 300</v>
          </cell>
          <cell r="I4">
            <v>12</v>
          </cell>
          <cell r="J4">
            <v>180</v>
          </cell>
          <cell r="K4">
            <v>1</v>
          </cell>
          <cell r="L4">
            <v>8</v>
          </cell>
          <cell r="M4">
            <v>14</v>
          </cell>
          <cell r="N4">
            <v>1</v>
          </cell>
          <cell r="O4">
            <v>9</v>
          </cell>
          <cell r="P4">
            <v>1</v>
          </cell>
          <cell r="Q4"/>
          <cell r="R4">
            <v>12</v>
          </cell>
          <cell r="S4">
            <v>11</v>
          </cell>
          <cell r="T4">
            <v>9</v>
          </cell>
          <cell r="U4">
            <v>19</v>
          </cell>
          <cell r="V4">
            <v>64</v>
          </cell>
          <cell r="W4">
            <v>149</v>
          </cell>
          <cell r="X4">
            <v>12.416666666666666</v>
          </cell>
        </row>
        <row r="5">
          <cell r="G5">
            <v>22126</v>
          </cell>
          <cell r="H5" t="str">
            <v>&gt; 1500</v>
          </cell>
          <cell r="I5">
            <v>12</v>
          </cell>
          <cell r="J5">
            <v>180</v>
          </cell>
          <cell r="K5"/>
          <cell r="L5">
            <v>7</v>
          </cell>
          <cell r="M5"/>
          <cell r="N5">
            <v>5</v>
          </cell>
          <cell r="O5">
            <v>2</v>
          </cell>
          <cell r="P5"/>
          <cell r="Q5"/>
          <cell r="R5"/>
          <cell r="S5">
            <v>5</v>
          </cell>
          <cell r="T5">
            <v>4</v>
          </cell>
          <cell r="U5">
            <v>19</v>
          </cell>
          <cell r="V5">
            <v>29</v>
          </cell>
          <cell r="W5">
            <v>71</v>
          </cell>
          <cell r="X5">
            <v>5.916666666666667</v>
          </cell>
        </row>
        <row r="6">
          <cell r="G6">
            <v>21091</v>
          </cell>
          <cell r="H6" t="str">
            <v>&gt; 150</v>
          </cell>
          <cell r="I6">
            <v>12</v>
          </cell>
          <cell r="J6">
            <v>180</v>
          </cell>
          <cell r="K6">
            <v>1</v>
          </cell>
          <cell r="L6">
            <v>3</v>
          </cell>
          <cell r="M6">
            <v>6</v>
          </cell>
          <cell r="N6">
            <v>7</v>
          </cell>
          <cell r="O6">
            <v>7</v>
          </cell>
          <cell r="P6">
            <v>1</v>
          </cell>
          <cell r="Q6"/>
          <cell r="R6"/>
          <cell r="S6"/>
          <cell r="T6"/>
          <cell r="U6">
            <v>3</v>
          </cell>
          <cell r="V6">
            <v>31</v>
          </cell>
          <cell r="W6">
            <v>59</v>
          </cell>
          <cell r="X6">
            <v>4.916666666666667</v>
          </cell>
        </row>
        <row r="7">
          <cell r="G7">
            <v>22346</v>
          </cell>
          <cell r="H7" t="str">
            <v>&gt; 900</v>
          </cell>
          <cell r="I7">
            <v>12</v>
          </cell>
          <cell r="J7">
            <v>180</v>
          </cell>
          <cell r="K7">
            <v>4</v>
          </cell>
          <cell r="L7">
            <v>1</v>
          </cell>
          <cell r="M7">
            <v>4</v>
          </cell>
          <cell r="N7">
            <v>3</v>
          </cell>
          <cell r="O7">
            <v>6</v>
          </cell>
          <cell r="P7">
            <v>1</v>
          </cell>
          <cell r="Q7">
            <v>2</v>
          </cell>
          <cell r="R7">
            <v>5</v>
          </cell>
          <cell r="S7">
            <v>8</v>
          </cell>
          <cell r="T7">
            <v>2</v>
          </cell>
          <cell r="U7">
            <v>9</v>
          </cell>
          <cell r="V7">
            <v>12</v>
          </cell>
          <cell r="W7">
            <v>57</v>
          </cell>
          <cell r="X7">
            <v>4.75</v>
          </cell>
        </row>
        <row r="8">
          <cell r="G8">
            <v>26588</v>
          </cell>
          <cell r="H8" t="str">
            <v>&lt; 150</v>
          </cell>
          <cell r="I8">
            <v>7</v>
          </cell>
          <cell r="J8">
            <v>105</v>
          </cell>
          <cell r="K8"/>
          <cell r="L8"/>
          <cell r="M8"/>
          <cell r="N8"/>
          <cell r="O8"/>
          <cell r="P8"/>
          <cell r="Q8"/>
          <cell r="R8">
            <v>5</v>
          </cell>
          <cell r="S8">
            <v>1</v>
          </cell>
          <cell r="T8">
            <v>4</v>
          </cell>
          <cell r="U8">
            <v>8</v>
          </cell>
          <cell r="V8">
            <v>34</v>
          </cell>
          <cell r="W8">
            <v>52</v>
          </cell>
          <cell r="X8">
            <v>7.4285714285714288</v>
          </cell>
        </row>
        <row r="9">
          <cell r="G9">
            <v>21583</v>
          </cell>
          <cell r="H9" t="str">
            <v>&gt; 900</v>
          </cell>
          <cell r="I9">
            <v>12</v>
          </cell>
          <cell r="J9">
            <v>180</v>
          </cell>
          <cell r="K9"/>
          <cell r="L9"/>
          <cell r="M9">
            <v>2</v>
          </cell>
          <cell r="N9">
            <v>4</v>
          </cell>
          <cell r="O9">
            <v>3</v>
          </cell>
          <cell r="P9">
            <v>4</v>
          </cell>
          <cell r="Q9">
            <v>3</v>
          </cell>
          <cell r="R9">
            <v>8</v>
          </cell>
          <cell r="S9"/>
          <cell r="T9">
            <v>5</v>
          </cell>
          <cell r="U9">
            <v>3</v>
          </cell>
          <cell r="V9">
            <v>13</v>
          </cell>
          <cell r="W9">
            <v>45</v>
          </cell>
          <cell r="X9">
            <v>3.75</v>
          </cell>
        </row>
        <row r="10">
          <cell r="G10">
            <v>23178</v>
          </cell>
          <cell r="H10" t="str">
            <v>&gt; 600</v>
          </cell>
          <cell r="I10">
            <v>12</v>
          </cell>
          <cell r="J10">
            <v>180</v>
          </cell>
          <cell r="K10">
            <v>2</v>
          </cell>
          <cell r="L10">
            <v>3</v>
          </cell>
          <cell r="M10">
            <v>2</v>
          </cell>
          <cell r="N10">
            <v>8</v>
          </cell>
          <cell r="O10">
            <v>7</v>
          </cell>
          <cell r="P10"/>
          <cell r="Q10">
            <v>5</v>
          </cell>
          <cell r="R10">
            <v>3</v>
          </cell>
          <cell r="S10">
            <v>3</v>
          </cell>
          <cell r="T10"/>
          <cell r="U10">
            <v>4</v>
          </cell>
          <cell r="V10">
            <v>7</v>
          </cell>
          <cell r="W10">
            <v>44</v>
          </cell>
          <cell r="X10">
            <v>3.6666666666666665</v>
          </cell>
        </row>
        <row r="11">
          <cell r="G11">
            <v>22401</v>
          </cell>
          <cell r="H11" t="str">
            <v>&gt; 150</v>
          </cell>
          <cell r="I11">
            <v>12</v>
          </cell>
          <cell r="J11">
            <v>180</v>
          </cell>
          <cell r="K11">
            <v>1</v>
          </cell>
          <cell r="L11">
            <v>3</v>
          </cell>
          <cell r="M11">
            <v>2</v>
          </cell>
          <cell r="N11">
            <v>5</v>
          </cell>
          <cell r="O11">
            <v>2</v>
          </cell>
          <cell r="P11">
            <v>1</v>
          </cell>
          <cell r="Q11">
            <v>2</v>
          </cell>
          <cell r="R11">
            <v>5</v>
          </cell>
          <cell r="S11">
            <v>6</v>
          </cell>
          <cell r="T11">
            <v>2</v>
          </cell>
          <cell r="U11">
            <v>2</v>
          </cell>
          <cell r="V11">
            <v>13</v>
          </cell>
          <cell r="W11">
            <v>44</v>
          </cell>
          <cell r="X11">
            <v>3.6666666666666665</v>
          </cell>
        </row>
        <row r="12">
          <cell r="G12">
            <v>21999</v>
          </cell>
          <cell r="H12" t="str">
            <v>&gt; 900</v>
          </cell>
          <cell r="I12">
            <v>12</v>
          </cell>
          <cell r="J12">
            <v>180</v>
          </cell>
          <cell r="K12"/>
          <cell r="L12">
            <v>1</v>
          </cell>
          <cell r="M12"/>
          <cell r="N12"/>
          <cell r="O12">
            <v>4</v>
          </cell>
          <cell r="P12"/>
          <cell r="Q12">
            <v>8</v>
          </cell>
          <cell r="R12">
            <v>1</v>
          </cell>
          <cell r="S12">
            <v>5</v>
          </cell>
          <cell r="T12"/>
          <cell r="U12">
            <v>15</v>
          </cell>
          <cell r="V12">
            <v>8</v>
          </cell>
          <cell r="W12">
            <v>42</v>
          </cell>
          <cell r="X12">
            <v>3.5</v>
          </cell>
        </row>
        <row r="13">
          <cell r="G13">
            <v>23429</v>
          </cell>
          <cell r="H13" t="str">
            <v>&gt; 600</v>
          </cell>
          <cell r="I13">
            <v>12</v>
          </cell>
          <cell r="J13">
            <v>180</v>
          </cell>
          <cell r="K13">
            <v>1</v>
          </cell>
          <cell r="L13">
            <v>10</v>
          </cell>
          <cell r="M13"/>
          <cell r="N13">
            <v>5</v>
          </cell>
          <cell r="O13">
            <v>2</v>
          </cell>
          <cell r="P13"/>
          <cell r="Q13">
            <v>1</v>
          </cell>
          <cell r="R13"/>
          <cell r="S13"/>
          <cell r="T13">
            <v>1</v>
          </cell>
          <cell r="U13">
            <v>10</v>
          </cell>
          <cell r="V13">
            <v>7</v>
          </cell>
          <cell r="W13">
            <v>37</v>
          </cell>
          <cell r="X13">
            <v>3.0833333333333335</v>
          </cell>
        </row>
        <row r="14">
          <cell r="G14">
            <v>22365</v>
          </cell>
          <cell r="H14" t="str">
            <v>&gt; 450</v>
          </cell>
          <cell r="I14">
            <v>12</v>
          </cell>
          <cell r="J14">
            <v>180</v>
          </cell>
          <cell r="K14">
            <v>3</v>
          </cell>
          <cell r="L14"/>
          <cell r="M14">
            <v>5</v>
          </cell>
          <cell r="N14">
            <v>2</v>
          </cell>
          <cell r="O14">
            <v>3</v>
          </cell>
          <cell r="P14">
            <v>2</v>
          </cell>
          <cell r="Q14"/>
          <cell r="R14">
            <v>2</v>
          </cell>
          <cell r="S14">
            <v>4</v>
          </cell>
          <cell r="T14"/>
          <cell r="U14">
            <v>5</v>
          </cell>
          <cell r="V14">
            <v>8</v>
          </cell>
          <cell r="W14">
            <v>34</v>
          </cell>
          <cell r="X14">
            <v>2.8333333333333335</v>
          </cell>
        </row>
        <row r="15">
          <cell r="G15">
            <v>21998</v>
          </cell>
          <cell r="H15" t="str">
            <v>&gt; 900</v>
          </cell>
          <cell r="I15">
            <v>12</v>
          </cell>
          <cell r="J15">
            <v>180</v>
          </cell>
          <cell r="K15"/>
          <cell r="L15"/>
          <cell r="M15"/>
          <cell r="N15">
            <v>1</v>
          </cell>
          <cell r="O15">
            <v>5</v>
          </cell>
          <cell r="P15"/>
          <cell r="Q15">
            <v>11</v>
          </cell>
          <cell r="R15">
            <v>2</v>
          </cell>
          <cell r="S15">
            <v>1</v>
          </cell>
          <cell r="T15"/>
          <cell r="U15">
            <v>6</v>
          </cell>
          <cell r="V15">
            <v>8</v>
          </cell>
          <cell r="W15">
            <v>34</v>
          </cell>
          <cell r="X15">
            <v>2.8333333333333335</v>
          </cell>
        </row>
        <row r="16">
          <cell r="G16">
            <v>26015</v>
          </cell>
          <cell r="H16" t="str">
            <v>&gt; 150</v>
          </cell>
          <cell r="I16">
            <v>9</v>
          </cell>
          <cell r="J16">
            <v>135</v>
          </cell>
          <cell r="K16"/>
          <cell r="L16"/>
          <cell r="M16"/>
          <cell r="N16"/>
          <cell r="O16"/>
          <cell r="P16"/>
          <cell r="Q16">
            <v>1</v>
          </cell>
          <cell r="R16">
            <v>8</v>
          </cell>
          <cell r="S16">
            <v>4</v>
          </cell>
          <cell r="T16">
            <v>3</v>
          </cell>
          <cell r="U16">
            <v>7</v>
          </cell>
          <cell r="V16">
            <v>10</v>
          </cell>
          <cell r="W16">
            <v>33</v>
          </cell>
          <cell r="X16">
            <v>3.6666666666666665</v>
          </cell>
        </row>
        <row r="17">
          <cell r="G17">
            <v>22773</v>
          </cell>
          <cell r="H17" t="str">
            <v>&gt; 300</v>
          </cell>
          <cell r="I17">
            <v>12</v>
          </cell>
          <cell r="J17">
            <v>180</v>
          </cell>
          <cell r="K17"/>
          <cell r="L17"/>
          <cell r="M17">
            <v>2</v>
          </cell>
          <cell r="N17">
            <v>2</v>
          </cell>
          <cell r="O17">
            <v>1</v>
          </cell>
          <cell r="P17">
            <v>1</v>
          </cell>
          <cell r="Q17">
            <v>2</v>
          </cell>
          <cell r="R17">
            <v>1</v>
          </cell>
          <cell r="S17">
            <v>7</v>
          </cell>
          <cell r="T17">
            <v>5</v>
          </cell>
          <cell r="U17">
            <v>6</v>
          </cell>
          <cell r="V17">
            <v>3</v>
          </cell>
          <cell r="W17">
            <v>30</v>
          </cell>
          <cell r="X17">
            <v>2.5</v>
          </cell>
        </row>
        <row r="18">
          <cell r="G18">
            <v>23969</v>
          </cell>
          <cell r="H18" t="str">
            <v>&gt; 450</v>
          </cell>
          <cell r="I18">
            <v>12</v>
          </cell>
          <cell r="J18">
            <v>180</v>
          </cell>
          <cell r="K18">
            <v>1</v>
          </cell>
          <cell r="L18"/>
          <cell r="M18">
            <v>3</v>
          </cell>
          <cell r="N18">
            <v>1</v>
          </cell>
          <cell r="O18">
            <v>2</v>
          </cell>
          <cell r="P18"/>
          <cell r="Q18"/>
          <cell r="R18"/>
          <cell r="S18">
            <v>1</v>
          </cell>
          <cell r="T18">
            <v>1</v>
          </cell>
          <cell r="U18">
            <v>6</v>
          </cell>
          <cell r="V18">
            <v>15</v>
          </cell>
          <cell r="W18">
            <v>30</v>
          </cell>
          <cell r="X18">
            <v>2.5</v>
          </cell>
        </row>
        <row r="19">
          <cell r="G19">
            <v>22789</v>
          </cell>
          <cell r="H19" t="str">
            <v>&gt; 2000</v>
          </cell>
          <cell r="I19">
            <v>12</v>
          </cell>
          <cell r="J19">
            <v>180</v>
          </cell>
          <cell r="K19">
            <v>1</v>
          </cell>
          <cell r="L19">
            <v>1</v>
          </cell>
          <cell r="M19">
            <v>2</v>
          </cell>
          <cell r="N19"/>
          <cell r="O19">
            <v>1</v>
          </cell>
          <cell r="P19">
            <v>1</v>
          </cell>
          <cell r="Q19">
            <v>1</v>
          </cell>
          <cell r="R19">
            <v>2</v>
          </cell>
          <cell r="S19">
            <v>2</v>
          </cell>
          <cell r="T19">
            <v>1</v>
          </cell>
          <cell r="U19">
            <v>2</v>
          </cell>
          <cell r="V19">
            <v>16</v>
          </cell>
          <cell r="W19">
            <v>30</v>
          </cell>
          <cell r="X19">
            <v>2.5</v>
          </cell>
        </row>
        <row r="20">
          <cell r="G20">
            <v>22404</v>
          </cell>
          <cell r="H20" t="str">
            <v>&gt; 300</v>
          </cell>
          <cell r="I20">
            <v>12</v>
          </cell>
          <cell r="J20">
            <v>180</v>
          </cell>
          <cell r="K20"/>
          <cell r="L20">
            <v>2</v>
          </cell>
          <cell r="M20">
            <v>3</v>
          </cell>
          <cell r="N20">
            <v>1</v>
          </cell>
          <cell r="O20"/>
          <cell r="P20">
            <v>1</v>
          </cell>
          <cell r="Q20">
            <v>3</v>
          </cell>
          <cell r="R20">
            <v>1</v>
          </cell>
          <cell r="S20">
            <v>3</v>
          </cell>
          <cell r="T20">
            <v>1</v>
          </cell>
          <cell r="U20">
            <v>5</v>
          </cell>
          <cell r="V20">
            <v>7</v>
          </cell>
          <cell r="W20">
            <v>27</v>
          </cell>
          <cell r="X20">
            <v>2.25</v>
          </cell>
        </row>
        <row r="21">
          <cell r="G21">
            <v>20322</v>
          </cell>
          <cell r="H21" t="str">
            <v>&gt; 450</v>
          </cell>
          <cell r="I21">
            <v>12</v>
          </cell>
          <cell r="J21">
            <v>180</v>
          </cell>
          <cell r="K21">
            <v>1</v>
          </cell>
          <cell r="L21">
            <v>1</v>
          </cell>
          <cell r="M21">
            <v>2</v>
          </cell>
          <cell r="N21"/>
          <cell r="O21">
            <v>2</v>
          </cell>
          <cell r="P21"/>
          <cell r="Q21">
            <v>5</v>
          </cell>
          <cell r="R21">
            <v>5</v>
          </cell>
          <cell r="S21">
            <v>1</v>
          </cell>
          <cell r="T21">
            <v>3</v>
          </cell>
          <cell r="U21">
            <v>1</v>
          </cell>
          <cell r="V21">
            <v>4</v>
          </cell>
          <cell r="W21">
            <v>25</v>
          </cell>
          <cell r="X21">
            <v>2.0833333333333335</v>
          </cell>
        </row>
        <row r="22">
          <cell r="G22">
            <v>23432</v>
          </cell>
          <cell r="H22" t="str">
            <v>&gt; 300</v>
          </cell>
          <cell r="I22">
            <v>12</v>
          </cell>
          <cell r="J22">
            <v>180</v>
          </cell>
          <cell r="K22"/>
          <cell r="L22">
            <v>3</v>
          </cell>
          <cell r="M22">
            <v>3</v>
          </cell>
          <cell r="N22"/>
          <cell r="O22">
            <v>4</v>
          </cell>
          <cell r="P22"/>
          <cell r="Q22">
            <v>1</v>
          </cell>
          <cell r="R22">
            <v>1</v>
          </cell>
          <cell r="S22">
            <v>3</v>
          </cell>
          <cell r="T22">
            <v>3</v>
          </cell>
          <cell r="U22">
            <v>4</v>
          </cell>
          <cell r="V22">
            <v>2</v>
          </cell>
          <cell r="W22">
            <v>24</v>
          </cell>
          <cell r="X22">
            <v>2</v>
          </cell>
        </row>
        <row r="23">
          <cell r="G23">
            <v>22361</v>
          </cell>
          <cell r="H23" t="str">
            <v>&gt; 150</v>
          </cell>
          <cell r="I23">
            <v>12</v>
          </cell>
          <cell r="J23">
            <v>180</v>
          </cell>
          <cell r="K23"/>
          <cell r="L23"/>
          <cell r="M23"/>
          <cell r="N23"/>
          <cell r="O23">
            <v>10</v>
          </cell>
          <cell r="P23"/>
          <cell r="Q23">
            <v>1</v>
          </cell>
          <cell r="R23">
            <v>1</v>
          </cell>
          <cell r="S23">
            <v>4</v>
          </cell>
          <cell r="T23">
            <v>1</v>
          </cell>
          <cell r="U23">
            <v>3</v>
          </cell>
          <cell r="V23">
            <v>2</v>
          </cell>
          <cell r="W23">
            <v>22</v>
          </cell>
          <cell r="X23">
            <v>1.8333333333333333</v>
          </cell>
        </row>
        <row r="24">
          <cell r="G24">
            <v>24153</v>
          </cell>
          <cell r="H24" t="str">
            <v>&gt; 600</v>
          </cell>
          <cell r="I24">
            <v>12</v>
          </cell>
          <cell r="J24">
            <v>180</v>
          </cell>
          <cell r="K24"/>
          <cell r="L24"/>
          <cell r="M24">
            <v>2</v>
          </cell>
          <cell r="N24">
            <v>1</v>
          </cell>
          <cell r="O24">
            <v>1</v>
          </cell>
          <cell r="P24"/>
          <cell r="Q24">
            <v>2</v>
          </cell>
          <cell r="R24"/>
          <cell r="S24"/>
          <cell r="T24">
            <v>1</v>
          </cell>
          <cell r="U24">
            <v>7</v>
          </cell>
          <cell r="V24">
            <v>8</v>
          </cell>
          <cell r="W24">
            <v>22</v>
          </cell>
          <cell r="X24">
            <v>1.8333333333333333</v>
          </cell>
        </row>
        <row r="25">
          <cell r="G25">
            <v>22366</v>
          </cell>
          <cell r="H25" t="str">
            <v>&gt; 150</v>
          </cell>
          <cell r="I25">
            <v>12</v>
          </cell>
          <cell r="J25">
            <v>180</v>
          </cell>
          <cell r="K25"/>
          <cell r="L25">
            <v>2</v>
          </cell>
          <cell r="M25">
            <v>1</v>
          </cell>
          <cell r="N25"/>
          <cell r="O25">
            <v>1</v>
          </cell>
          <cell r="P25"/>
          <cell r="Q25"/>
          <cell r="R25"/>
          <cell r="S25"/>
          <cell r="T25"/>
          <cell r="U25">
            <v>10</v>
          </cell>
          <cell r="V25">
            <v>8</v>
          </cell>
          <cell r="W25">
            <v>22</v>
          </cell>
          <cell r="X25">
            <v>1.8333333333333333</v>
          </cell>
        </row>
        <row r="26">
          <cell r="G26">
            <v>22073</v>
          </cell>
          <cell r="H26" t="str">
            <v>&gt; 2000</v>
          </cell>
          <cell r="I26">
            <v>12</v>
          </cell>
          <cell r="J26">
            <v>180</v>
          </cell>
          <cell r="K26"/>
          <cell r="L26">
            <v>8</v>
          </cell>
          <cell r="M26">
            <v>5</v>
          </cell>
          <cell r="N26"/>
          <cell r="O26"/>
          <cell r="P26">
            <v>1</v>
          </cell>
          <cell r="Q26"/>
          <cell r="R26"/>
          <cell r="S26"/>
          <cell r="T26">
            <v>2</v>
          </cell>
          <cell r="U26">
            <v>1</v>
          </cell>
          <cell r="V26">
            <v>2</v>
          </cell>
          <cell r="W26">
            <v>19</v>
          </cell>
          <cell r="X26">
            <v>1.5833333333333333</v>
          </cell>
        </row>
        <row r="27">
          <cell r="G27">
            <v>21928</v>
          </cell>
          <cell r="H27" t="str">
            <v>&gt; 300</v>
          </cell>
          <cell r="I27">
            <v>10</v>
          </cell>
          <cell r="J27">
            <v>150</v>
          </cell>
          <cell r="K27">
            <v>6</v>
          </cell>
          <cell r="L27">
            <v>10</v>
          </cell>
          <cell r="M27"/>
          <cell r="N27"/>
          <cell r="O27"/>
          <cell r="P27"/>
          <cell r="Q27"/>
          <cell r="R27"/>
          <cell r="S27">
            <v>1</v>
          </cell>
          <cell r="T27"/>
          <cell r="U27"/>
          <cell r="V27">
            <v>1</v>
          </cell>
          <cell r="W27">
            <v>18</v>
          </cell>
          <cell r="X27">
            <v>1.8</v>
          </cell>
        </row>
        <row r="28">
          <cell r="G28">
            <v>27028</v>
          </cell>
          <cell r="H28" t="str">
            <v>&gt; 150</v>
          </cell>
          <cell r="I28">
            <v>4</v>
          </cell>
          <cell r="J28">
            <v>60</v>
          </cell>
          <cell r="K28"/>
          <cell r="L28"/>
          <cell r="M28"/>
          <cell r="N28"/>
          <cell r="O28"/>
          <cell r="P28"/>
          <cell r="Q28"/>
          <cell r="R28"/>
          <cell r="S28"/>
          <cell r="T28">
            <v>5</v>
          </cell>
          <cell r="U28">
            <v>8</v>
          </cell>
          <cell r="V28">
            <v>5</v>
          </cell>
          <cell r="W28">
            <v>18</v>
          </cell>
          <cell r="X28">
            <v>4.5</v>
          </cell>
        </row>
        <row r="29">
          <cell r="G29">
            <v>26399</v>
          </cell>
          <cell r="H29" t="str">
            <v>&gt; 450</v>
          </cell>
          <cell r="I29">
            <v>7</v>
          </cell>
          <cell r="J29">
            <v>105</v>
          </cell>
          <cell r="K29"/>
          <cell r="L29"/>
          <cell r="M29"/>
          <cell r="N29"/>
          <cell r="O29"/>
          <cell r="P29"/>
          <cell r="Q29"/>
          <cell r="R29"/>
          <cell r="S29">
            <v>3</v>
          </cell>
          <cell r="T29"/>
          <cell r="U29">
            <v>7</v>
          </cell>
          <cell r="V29">
            <v>8</v>
          </cell>
          <cell r="W29">
            <v>18</v>
          </cell>
          <cell r="X29">
            <v>2.5714285714285716</v>
          </cell>
        </row>
        <row r="30">
          <cell r="G30">
            <v>20503</v>
          </cell>
          <cell r="H30" t="str">
            <v>&lt; 150</v>
          </cell>
          <cell r="I30">
            <v>12</v>
          </cell>
          <cell r="J30">
            <v>180</v>
          </cell>
          <cell r="K30"/>
          <cell r="L30">
            <v>2</v>
          </cell>
          <cell r="M30">
            <v>2</v>
          </cell>
          <cell r="N30">
            <v>1</v>
          </cell>
          <cell r="O30">
            <v>3</v>
          </cell>
          <cell r="P30"/>
          <cell r="Q30"/>
          <cell r="R30"/>
          <cell r="S30">
            <v>1</v>
          </cell>
          <cell r="T30"/>
          <cell r="U30"/>
          <cell r="V30">
            <v>9</v>
          </cell>
          <cell r="W30">
            <v>18</v>
          </cell>
          <cell r="X30">
            <v>1.5</v>
          </cell>
        </row>
        <row r="31">
          <cell r="G31">
            <v>23214</v>
          </cell>
          <cell r="H31" t="str">
            <v>&lt; 150</v>
          </cell>
          <cell r="I31">
            <v>12</v>
          </cell>
          <cell r="J31">
            <v>180</v>
          </cell>
          <cell r="K31">
            <v>2</v>
          </cell>
          <cell r="L31">
            <v>2</v>
          </cell>
          <cell r="M31"/>
          <cell r="N31">
            <v>1</v>
          </cell>
          <cell r="O31">
            <v>1</v>
          </cell>
          <cell r="P31"/>
          <cell r="Q31"/>
          <cell r="R31"/>
          <cell r="S31">
            <v>1</v>
          </cell>
          <cell r="T31">
            <v>1</v>
          </cell>
          <cell r="U31">
            <v>5</v>
          </cell>
          <cell r="V31">
            <v>4</v>
          </cell>
          <cell r="W31">
            <v>17</v>
          </cell>
          <cell r="X31">
            <v>1.4166666666666667</v>
          </cell>
        </row>
        <row r="32">
          <cell r="G32">
            <v>26084</v>
          </cell>
          <cell r="H32" t="str">
            <v>&gt; 150</v>
          </cell>
          <cell r="I32">
            <v>9</v>
          </cell>
          <cell r="J32">
            <v>135</v>
          </cell>
          <cell r="K32"/>
          <cell r="L32"/>
          <cell r="M32"/>
          <cell r="N32"/>
          <cell r="O32"/>
          <cell r="P32"/>
          <cell r="Q32"/>
          <cell r="R32"/>
          <cell r="S32">
            <v>6</v>
          </cell>
          <cell r="T32">
            <v>3</v>
          </cell>
          <cell r="U32">
            <v>2</v>
          </cell>
          <cell r="V32">
            <v>6</v>
          </cell>
          <cell r="W32">
            <v>17</v>
          </cell>
          <cell r="X32">
            <v>1.8888888888888888</v>
          </cell>
        </row>
        <row r="33">
          <cell r="G33">
            <v>22131</v>
          </cell>
          <cell r="H33" t="str">
            <v>&gt; 1500</v>
          </cell>
          <cell r="I33">
            <v>12</v>
          </cell>
          <cell r="J33">
            <v>180</v>
          </cell>
          <cell r="K33"/>
          <cell r="L33">
            <v>2</v>
          </cell>
          <cell r="M33"/>
          <cell r="N33">
            <v>1</v>
          </cell>
          <cell r="O33"/>
          <cell r="P33"/>
          <cell r="Q33"/>
          <cell r="R33"/>
          <cell r="S33">
            <v>2</v>
          </cell>
          <cell r="T33">
            <v>4</v>
          </cell>
          <cell r="U33"/>
          <cell r="V33">
            <v>8</v>
          </cell>
          <cell r="W33">
            <v>17</v>
          </cell>
          <cell r="X33">
            <v>1.4166666666666667</v>
          </cell>
        </row>
        <row r="34">
          <cell r="G34">
            <v>22130</v>
          </cell>
          <cell r="H34" t="str">
            <v>&gt; 150</v>
          </cell>
          <cell r="I34">
            <v>12</v>
          </cell>
          <cell r="J34">
            <v>180</v>
          </cell>
          <cell r="K34"/>
          <cell r="L34"/>
          <cell r="M34">
            <v>1</v>
          </cell>
          <cell r="N34">
            <v>1</v>
          </cell>
          <cell r="O34"/>
          <cell r="P34"/>
          <cell r="Q34"/>
          <cell r="R34">
            <v>2</v>
          </cell>
          <cell r="S34">
            <v>3</v>
          </cell>
          <cell r="T34">
            <v>2</v>
          </cell>
          <cell r="U34">
            <v>3</v>
          </cell>
          <cell r="V34">
            <v>3</v>
          </cell>
          <cell r="W34">
            <v>15</v>
          </cell>
          <cell r="X34">
            <v>1.25</v>
          </cell>
        </row>
        <row r="35">
          <cell r="G35">
            <v>20983</v>
          </cell>
          <cell r="H35" t="str">
            <v>&gt; 450</v>
          </cell>
          <cell r="I35">
            <v>12</v>
          </cell>
          <cell r="J35">
            <v>180</v>
          </cell>
          <cell r="K35"/>
          <cell r="L35"/>
          <cell r="M35"/>
          <cell r="N35"/>
          <cell r="O35"/>
          <cell r="P35">
            <v>1</v>
          </cell>
          <cell r="Q35"/>
          <cell r="R35">
            <v>2</v>
          </cell>
          <cell r="S35">
            <v>1</v>
          </cell>
          <cell r="T35"/>
          <cell r="U35">
            <v>3</v>
          </cell>
          <cell r="V35">
            <v>7</v>
          </cell>
          <cell r="W35">
            <v>14</v>
          </cell>
          <cell r="X35">
            <v>1.1666666666666667</v>
          </cell>
        </row>
        <row r="36">
          <cell r="G36">
            <v>26403</v>
          </cell>
          <cell r="H36" t="str">
            <v>&gt; 300</v>
          </cell>
          <cell r="I36">
            <v>7</v>
          </cell>
          <cell r="J36">
            <v>105</v>
          </cell>
          <cell r="K36"/>
          <cell r="L36"/>
          <cell r="M36"/>
          <cell r="N36"/>
          <cell r="O36"/>
          <cell r="P36"/>
          <cell r="Q36"/>
          <cell r="R36">
            <v>1</v>
          </cell>
          <cell r="S36">
            <v>1</v>
          </cell>
          <cell r="T36">
            <v>4</v>
          </cell>
          <cell r="U36">
            <v>1</v>
          </cell>
          <cell r="V36">
            <v>6</v>
          </cell>
          <cell r="W36">
            <v>13</v>
          </cell>
          <cell r="X36">
            <v>1.8571428571428572</v>
          </cell>
        </row>
        <row r="37">
          <cell r="G37">
            <v>22402</v>
          </cell>
          <cell r="H37" t="str">
            <v>&gt; 150</v>
          </cell>
          <cell r="I37">
            <v>12</v>
          </cell>
          <cell r="J37">
            <v>180</v>
          </cell>
          <cell r="K37"/>
          <cell r="L37"/>
          <cell r="M37">
            <v>3</v>
          </cell>
          <cell r="N37">
            <v>1</v>
          </cell>
          <cell r="O37"/>
          <cell r="P37"/>
          <cell r="Q37"/>
          <cell r="R37"/>
          <cell r="S37">
            <v>1</v>
          </cell>
          <cell r="T37">
            <v>2</v>
          </cell>
          <cell r="U37">
            <v>2</v>
          </cell>
          <cell r="V37">
            <v>3</v>
          </cell>
          <cell r="W37">
            <v>12</v>
          </cell>
          <cell r="X37">
            <v>1</v>
          </cell>
        </row>
        <row r="38">
          <cell r="G38">
            <v>27219</v>
          </cell>
          <cell r="H38" t="str">
            <v>&gt; 150</v>
          </cell>
          <cell r="I38">
            <v>3</v>
          </cell>
          <cell r="J38">
            <v>45</v>
          </cell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>
            <v>7</v>
          </cell>
          <cell r="V38">
            <v>4</v>
          </cell>
          <cell r="W38">
            <v>11</v>
          </cell>
          <cell r="X38">
            <v>3.6666666666666665</v>
          </cell>
        </row>
        <row r="39">
          <cell r="G39">
            <v>25557</v>
          </cell>
          <cell r="H39" t="str">
            <v>&lt; 150</v>
          </cell>
          <cell r="I39">
            <v>12</v>
          </cell>
          <cell r="J39">
            <v>180</v>
          </cell>
          <cell r="K39"/>
          <cell r="L39"/>
          <cell r="M39"/>
          <cell r="N39"/>
          <cell r="O39"/>
          <cell r="P39"/>
          <cell r="Q39"/>
          <cell r="R39">
            <v>6</v>
          </cell>
          <cell r="S39">
            <v>2</v>
          </cell>
          <cell r="T39"/>
          <cell r="U39"/>
          <cell r="V39">
            <v>1</v>
          </cell>
          <cell r="W39">
            <v>9</v>
          </cell>
          <cell r="X39">
            <v>0.75</v>
          </cell>
        </row>
        <row r="40">
          <cell r="G40">
            <v>27437</v>
          </cell>
          <cell r="H40" t="str">
            <v>&lt; 150</v>
          </cell>
          <cell r="I40">
            <v>2</v>
          </cell>
          <cell r="J40">
            <v>30</v>
          </cell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>
            <v>1</v>
          </cell>
          <cell r="V40">
            <v>7</v>
          </cell>
          <cell r="W40">
            <v>8</v>
          </cell>
          <cell r="X40">
            <v>4</v>
          </cell>
        </row>
        <row r="41">
          <cell r="G41">
            <v>23433</v>
          </cell>
          <cell r="H41" t="str">
            <v>&gt; 300</v>
          </cell>
          <cell r="I41">
            <v>12</v>
          </cell>
          <cell r="J41">
            <v>180</v>
          </cell>
          <cell r="K41"/>
          <cell r="L41"/>
          <cell r="M41">
            <v>2</v>
          </cell>
          <cell r="N41"/>
          <cell r="O41"/>
          <cell r="P41"/>
          <cell r="Q41"/>
          <cell r="R41">
            <v>2</v>
          </cell>
          <cell r="S41">
            <v>1</v>
          </cell>
          <cell r="T41"/>
          <cell r="U41"/>
          <cell r="V41">
            <v>2</v>
          </cell>
          <cell r="W41">
            <v>7</v>
          </cell>
          <cell r="X41">
            <v>0.58333333333333337</v>
          </cell>
        </row>
        <row r="42">
          <cell r="G42">
            <v>23669</v>
          </cell>
          <cell r="H42" t="str">
            <v>&gt; 600</v>
          </cell>
          <cell r="I42">
            <v>12</v>
          </cell>
          <cell r="J42">
            <v>180</v>
          </cell>
          <cell r="K42"/>
          <cell r="L42">
            <v>1</v>
          </cell>
          <cell r="M42"/>
          <cell r="N42"/>
          <cell r="O42"/>
          <cell r="P42">
            <v>1</v>
          </cell>
          <cell r="Q42"/>
          <cell r="R42"/>
          <cell r="S42"/>
          <cell r="T42"/>
          <cell r="U42"/>
          <cell r="V42">
            <v>5</v>
          </cell>
          <cell r="W42">
            <v>7</v>
          </cell>
          <cell r="X42">
            <v>0.58333333333333337</v>
          </cell>
        </row>
        <row r="43">
          <cell r="G43">
            <v>24494</v>
          </cell>
          <cell r="H43" t="str">
            <v>&gt; 150</v>
          </cell>
          <cell r="I43">
            <v>12</v>
          </cell>
          <cell r="J43">
            <v>180</v>
          </cell>
          <cell r="K43">
            <v>3</v>
          </cell>
          <cell r="L43"/>
          <cell r="M43"/>
          <cell r="N43"/>
          <cell r="O43"/>
          <cell r="P43"/>
          <cell r="Q43"/>
          <cell r="R43">
            <v>1</v>
          </cell>
          <cell r="S43"/>
          <cell r="T43"/>
          <cell r="U43">
            <v>1</v>
          </cell>
          <cell r="V43">
            <v>1</v>
          </cell>
          <cell r="W43">
            <v>6</v>
          </cell>
          <cell r="X43">
            <v>0.5</v>
          </cell>
        </row>
        <row r="44">
          <cell r="G44">
            <v>20509</v>
          </cell>
          <cell r="H44" t="str">
            <v>&gt; 600</v>
          </cell>
          <cell r="I44">
            <v>12</v>
          </cell>
          <cell r="J44">
            <v>180</v>
          </cell>
          <cell r="K44"/>
          <cell r="L44"/>
          <cell r="M44"/>
          <cell r="N44">
            <v>2</v>
          </cell>
          <cell r="O44"/>
          <cell r="P44"/>
          <cell r="Q44"/>
          <cell r="R44"/>
          <cell r="S44"/>
          <cell r="T44"/>
          <cell r="U44">
            <v>1</v>
          </cell>
          <cell r="V44">
            <v>3</v>
          </cell>
          <cell r="W44">
            <v>6</v>
          </cell>
          <cell r="X44">
            <v>0.5</v>
          </cell>
        </row>
        <row r="45">
          <cell r="G45">
            <v>26810</v>
          </cell>
          <cell r="H45" t="str">
            <v>&gt; 150</v>
          </cell>
          <cell r="I45">
            <v>4</v>
          </cell>
          <cell r="J45">
            <v>60</v>
          </cell>
          <cell r="K45"/>
          <cell r="L45"/>
          <cell r="M45"/>
          <cell r="N45"/>
          <cell r="O45"/>
          <cell r="P45"/>
          <cell r="Q45"/>
          <cell r="R45"/>
          <cell r="S45">
            <v>1</v>
          </cell>
          <cell r="T45"/>
          <cell r="U45">
            <v>1</v>
          </cell>
          <cell r="V45">
            <v>4</v>
          </cell>
          <cell r="W45">
            <v>6</v>
          </cell>
          <cell r="X45">
            <v>1.5</v>
          </cell>
        </row>
        <row r="46">
          <cell r="G46">
            <v>24495</v>
          </cell>
          <cell r="H46" t="str">
            <v>&gt; 150</v>
          </cell>
          <cell r="I46">
            <v>12</v>
          </cell>
          <cell r="J46">
            <v>180</v>
          </cell>
          <cell r="K46">
            <v>1</v>
          </cell>
          <cell r="L46"/>
          <cell r="M46"/>
          <cell r="N46"/>
          <cell r="O46">
            <v>2</v>
          </cell>
          <cell r="P46"/>
          <cell r="Q46"/>
          <cell r="R46">
            <v>1</v>
          </cell>
          <cell r="S46"/>
          <cell r="T46"/>
          <cell r="U46"/>
          <cell r="V46">
            <v>1</v>
          </cell>
          <cell r="W46">
            <v>5</v>
          </cell>
          <cell r="X46">
            <v>0.41666666666666669</v>
          </cell>
        </row>
        <row r="47">
          <cell r="G47">
            <v>27220</v>
          </cell>
          <cell r="H47" t="str">
            <v>&gt; 300</v>
          </cell>
          <cell r="I47">
            <v>3</v>
          </cell>
          <cell r="J47">
            <v>45</v>
          </cell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>
            <v>2</v>
          </cell>
          <cell r="V47">
            <v>3</v>
          </cell>
          <cell r="W47">
            <v>5</v>
          </cell>
          <cell r="X47">
            <v>1.6666666666666667</v>
          </cell>
        </row>
        <row r="48">
          <cell r="G48">
            <v>22128</v>
          </cell>
          <cell r="H48" t="str">
            <v>&gt; 450</v>
          </cell>
          <cell r="I48">
            <v>12</v>
          </cell>
          <cell r="J48">
            <v>180</v>
          </cell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>
            <v>5</v>
          </cell>
          <cell r="W48">
            <v>5</v>
          </cell>
          <cell r="X48">
            <v>0.41666666666666669</v>
          </cell>
        </row>
        <row r="49">
          <cell r="G49">
            <v>26501</v>
          </cell>
          <cell r="H49" t="str">
            <v>&gt; 600</v>
          </cell>
          <cell r="I49">
            <v>4</v>
          </cell>
          <cell r="J49">
            <v>60</v>
          </cell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>
            <v>5</v>
          </cell>
          <cell r="W49">
            <v>5</v>
          </cell>
          <cell r="X49">
            <v>1.25</v>
          </cell>
        </row>
        <row r="50">
          <cell r="G50">
            <v>27249</v>
          </cell>
          <cell r="H50" t="str">
            <v>&lt; 150</v>
          </cell>
          <cell r="I50">
            <v>3</v>
          </cell>
          <cell r="J50">
            <v>45</v>
          </cell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>
            <v>5</v>
          </cell>
          <cell r="W50">
            <v>5</v>
          </cell>
          <cell r="X50">
            <v>1.6666666666666667</v>
          </cell>
        </row>
        <row r="51">
          <cell r="G51">
            <v>22400</v>
          </cell>
          <cell r="H51" t="str">
            <v>&gt; 300</v>
          </cell>
          <cell r="I51">
            <v>12</v>
          </cell>
          <cell r="J51">
            <v>180</v>
          </cell>
          <cell r="K51"/>
          <cell r="L51"/>
          <cell r="M51"/>
          <cell r="N51"/>
          <cell r="O51"/>
          <cell r="P51"/>
          <cell r="Q51"/>
          <cell r="R51"/>
          <cell r="S51">
            <v>1</v>
          </cell>
          <cell r="T51"/>
          <cell r="U51"/>
          <cell r="V51">
            <v>3</v>
          </cell>
          <cell r="W51">
            <v>4</v>
          </cell>
          <cell r="X51">
            <v>0.33333333333333331</v>
          </cell>
        </row>
        <row r="52">
          <cell r="G52">
            <v>20502</v>
          </cell>
          <cell r="H52" t="str">
            <v>&lt; 150</v>
          </cell>
          <cell r="I52">
            <v>10</v>
          </cell>
          <cell r="J52">
            <v>150</v>
          </cell>
          <cell r="K52"/>
          <cell r="L52"/>
          <cell r="M52"/>
          <cell r="N52"/>
          <cell r="O52">
            <v>1</v>
          </cell>
          <cell r="P52"/>
          <cell r="Q52"/>
          <cell r="R52"/>
          <cell r="S52"/>
          <cell r="T52"/>
          <cell r="U52"/>
          <cell r="V52">
            <v>3</v>
          </cell>
          <cell r="W52">
            <v>4</v>
          </cell>
          <cell r="X52">
            <v>0.4</v>
          </cell>
        </row>
        <row r="53">
          <cell r="G53">
            <v>27372</v>
          </cell>
          <cell r="H53" t="str">
            <v>&gt; 150</v>
          </cell>
          <cell r="I53">
            <v>3</v>
          </cell>
          <cell r="J53">
            <v>45</v>
          </cell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>
            <v>1</v>
          </cell>
          <cell r="V53">
            <v>3</v>
          </cell>
          <cell r="W53">
            <v>4</v>
          </cell>
          <cell r="X53">
            <v>1.3333333333333333</v>
          </cell>
        </row>
        <row r="54">
          <cell r="G54">
            <v>26530</v>
          </cell>
          <cell r="H54" t="str">
            <v>&lt; 150</v>
          </cell>
          <cell r="I54">
            <v>6</v>
          </cell>
          <cell r="J54">
            <v>90</v>
          </cell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>
            <v>4</v>
          </cell>
          <cell r="W54">
            <v>4</v>
          </cell>
          <cell r="X54">
            <v>0.66666666666666663</v>
          </cell>
        </row>
        <row r="55">
          <cell r="G55">
            <v>22453</v>
          </cell>
          <cell r="H55" t="str">
            <v>&lt; 150</v>
          </cell>
          <cell r="I55">
            <v>12</v>
          </cell>
          <cell r="J55">
            <v>180</v>
          </cell>
          <cell r="K55">
            <v>3</v>
          </cell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>
            <v>3</v>
          </cell>
          <cell r="X55">
            <v>0.25</v>
          </cell>
        </row>
        <row r="56">
          <cell r="G56">
            <v>22768</v>
          </cell>
          <cell r="H56" t="str">
            <v>&gt; 150</v>
          </cell>
          <cell r="I56">
            <v>12</v>
          </cell>
          <cell r="J56">
            <v>180</v>
          </cell>
          <cell r="K56"/>
          <cell r="L56"/>
          <cell r="M56">
            <v>1</v>
          </cell>
          <cell r="N56"/>
          <cell r="O56">
            <v>2</v>
          </cell>
          <cell r="P56"/>
          <cell r="Q56"/>
          <cell r="R56"/>
          <cell r="S56"/>
          <cell r="T56"/>
          <cell r="U56"/>
          <cell r="V56"/>
          <cell r="W56">
            <v>3</v>
          </cell>
          <cell r="X56">
            <v>0.25</v>
          </cell>
        </row>
        <row r="57">
          <cell r="G57">
            <v>23431</v>
          </cell>
          <cell r="H57" t="str">
            <v>&gt; 150</v>
          </cell>
          <cell r="I57">
            <v>12</v>
          </cell>
          <cell r="J57">
            <v>180</v>
          </cell>
          <cell r="K57">
            <v>1</v>
          </cell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>
            <v>2</v>
          </cell>
          <cell r="W57">
            <v>3</v>
          </cell>
          <cell r="X57">
            <v>0.25</v>
          </cell>
        </row>
        <row r="58">
          <cell r="G58">
            <v>23560</v>
          </cell>
          <cell r="H58" t="str">
            <v>&gt; 300</v>
          </cell>
          <cell r="I58">
            <v>12</v>
          </cell>
          <cell r="J58">
            <v>180</v>
          </cell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>
            <v>3</v>
          </cell>
          <cell r="W58">
            <v>3</v>
          </cell>
          <cell r="X58">
            <v>0.25</v>
          </cell>
        </row>
        <row r="59">
          <cell r="G59">
            <v>22002</v>
          </cell>
          <cell r="H59" t="str">
            <v>&lt; 150</v>
          </cell>
          <cell r="I59">
            <v>7</v>
          </cell>
          <cell r="J59">
            <v>105</v>
          </cell>
          <cell r="K59"/>
          <cell r="L59">
            <v>1</v>
          </cell>
          <cell r="M59"/>
          <cell r="N59"/>
          <cell r="O59">
            <v>2</v>
          </cell>
          <cell r="P59"/>
          <cell r="Q59"/>
          <cell r="R59"/>
          <cell r="S59"/>
          <cell r="T59"/>
          <cell r="U59"/>
          <cell r="V59"/>
          <cell r="W59">
            <v>3</v>
          </cell>
          <cell r="X59">
            <v>0.42857142857142855</v>
          </cell>
        </row>
        <row r="60">
          <cell r="G60">
            <v>24437</v>
          </cell>
          <cell r="H60" t="str">
            <v>&lt; 150</v>
          </cell>
          <cell r="I60">
            <v>5</v>
          </cell>
          <cell r="J60">
            <v>75</v>
          </cell>
          <cell r="K60"/>
          <cell r="L60"/>
          <cell r="M60">
            <v>3</v>
          </cell>
          <cell r="N60"/>
          <cell r="O60"/>
          <cell r="P60"/>
          <cell r="Q60"/>
          <cell r="R60"/>
          <cell r="S60"/>
          <cell r="T60"/>
          <cell r="U60"/>
          <cell r="V60"/>
          <cell r="W60">
            <v>3</v>
          </cell>
          <cell r="X60">
            <v>0.6</v>
          </cell>
        </row>
        <row r="61">
          <cell r="G61">
            <v>26881</v>
          </cell>
          <cell r="H61" t="str">
            <v>&lt; 150</v>
          </cell>
          <cell r="I61">
            <v>4</v>
          </cell>
          <cell r="J61">
            <v>60</v>
          </cell>
          <cell r="K61"/>
          <cell r="L61"/>
          <cell r="M61"/>
          <cell r="N61"/>
          <cell r="O61"/>
          <cell r="P61"/>
          <cell r="Q61"/>
          <cell r="R61"/>
          <cell r="S61"/>
          <cell r="T61">
            <v>2</v>
          </cell>
          <cell r="U61"/>
          <cell r="V61"/>
          <cell r="W61">
            <v>2</v>
          </cell>
          <cell r="X61">
            <v>0.5</v>
          </cell>
        </row>
        <row r="62">
          <cell r="G62">
            <v>23565</v>
          </cell>
          <cell r="H62" t="str">
            <v>&gt; 150</v>
          </cell>
          <cell r="I62">
            <v>12</v>
          </cell>
          <cell r="J62">
            <v>180</v>
          </cell>
          <cell r="K62"/>
          <cell r="L62"/>
          <cell r="M62"/>
          <cell r="N62"/>
          <cell r="O62">
            <v>1</v>
          </cell>
          <cell r="P62"/>
          <cell r="Q62"/>
          <cell r="R62"/>
          <cell r="S62"/>
          <cell r="T62"/>
          <cell r="U62"/>
          <cell r="V62">
            <v>1</v>
          </cell>
          <cell r="W62">
            <v>2</v>
          </cell>
          <cell r="X62">
            <v>0.16666666666666666</v>
          </cell>
        </row>
        <row r="63">
          <cell r="G63">
            <v>24527</v>
          </cell>
          <cell r="H63" t="str">
            <v>&lt; 150</v>
          </cell>
          <cell r="I63">
            <v>12</v>
          </cell>
          <cell r="J63">
            <v>180</v>
          </cell>
          <cell r="K63"/>
          <cell r="L63"/>
          <cell r="M63"/>
          <cell r="N63"/>
          <cell r="O63"/>
          <cell r="P63"/>
          <cell r="Q63"/>
          <cell r="R63">
            <v>1</v>
          </cell>
          <cell r="S63"/>
          <cell r="T63"/>
          <cell r="U63"/>
          <cell r="V63">
            <v>1</v>
          </cell>
          <cell r="W63">
            <v>2</v>
          </cell>
          <cell r="X63">
            <v>0.16666666666666666</v>
          </cell>
        </row>
        <row r="64">
          <cell r="G64">
            <v>21925</v>
          </cell>
          <cell r="H64" t="str">
            <v>&lt; 150</v>
          </cell>
          <cell r="I64">
            <v>7</v>
          </cell>
          <cell r="J64">
            <v>105</v>
          </cell>
          <cell r="K64"/>
          <cell r="L64"/>
          <cell r="M64"/>
          <cell r="N64"/>
          <cell r="O64"/>
          <cell r="P64"/>
          <cell r="Q64">
            <v>1</v>
          </cell>
          <cell r="R64"/>
          <cell r="S64"/>
          <cell r="T64"/>
          <cell r="U64"/>
          <cell r="V64"/>
          <cell r="W64">
            <v>1</v>
          </cell>
          <cell r="X64">
            <v>0.14285714285714285</v>
          </cell>
        </row>
        <row r="65">
          <cell r="G65">
            <v>26595</v>
          </cell>
          <cell r="H65" t="str">
            <v>&lt; 150</v>
          </cell>
          <cell r="I65">
            <v>7</v>
          </cell>
          <cell r="J65">
            <v>105</v>
          </cell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>
            <v>1</v>
          </cell>
          <cell r="W65">
            <v>1</v>
          </cell>
          <cell r="X65">
            <v>0.14285714285714285</v>
          </cell>
        </row>
        <row r="66">
          <cell r="G66">
            <v>27154</v>
          </cell>
          <cell r="H66" t="str">
            <v>&lt; 150</v>
          </cell>
          <cell r="I66">
            <v>3</v>
          </cell>
          <cell r="J66">
            <v>45</v>
          </cell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>
            <v>1</v>
          </cell>
          <cell r="W66">
            <v>1</v>
          </cell>
          <cell r="X66">
            <v>0.33333333333333331</v>
          </cell>
        </row>
        <row r="67">
          <cell r="G67">
            <v>21929</v>
          </cell>
          <cell r="H67" t="str">
            <v>&lt; 150</v>
          </cell>
          <cell r="I67">
            <v>12</v>
          </cell>
          <cell r="J67">
            <v>180</v>
          </cell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>
            <v>0</v>
          </cell>
        </row>
        <row r="68">
          <cell r="G68">
            <v>23270</v>
          </cell>
          <cell r="H68" t="str">
            <v>&lt; 150</v>
          </cell>
          <cell r="I68">
            <v>12</v>
          </cell>
          <cell r="J68">
            <v>180</v>
          </cell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>
            <v>0</v>
          </cell>
        </row>
        <row r="69">
          <cell r="G69">
            <v>23147</v>
          </cell>
          <cell r="H69" t="str">
            <v>&gt; 300</v>
          </cell>
          <cell r="I69">
            <v>12</v>
          </cell>
          <cell r="J69">
            <v>180</v>
          </cell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>
            <v>0</v>
          </cell>
        </row>
        <row r="70">
          <cell r="G70">
            <v>22771</v>
          </cell>
          <cell r="H70" t="str">
            <v>&lt; 150</v>
          </cell>
          <cell r="I70">
            <v>12</v>
          </cell>
          <cell r="J70">
            <v>180</v>
          </cell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>
            <v>0</v>
          </cell>
        </row>
        <row r="71">
          <cell r="G71">
            <v>22452</v>
          </cell>
          <cell r="H71" t="str">
            <v>&lt; 150</v>
          </cell>
          <cell r="I71">
            <v>6</v>
          </cell>
          <cell r="J71">
            <v>90</v>
          </cell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>
            <v>0</v>
          </cell>
        </row>
        <row r="72">
          <cell r="G72">
            <v>26507</v>
          </cell>
          <cell r="H72" t="str">
            <v>&lt; 150</v>
          </cell>
          <cell r="I72">
            <v>5</v>
          </cell>
          <cell r="J72">
            <v>75</v>
          </cell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>
            <v>0</v>
          </cell>
        </row>
        <row r="73">
          <cell r="G73">
            <v>27252</v>
          </cell>
          <cell r="H73" t="str">
            <v>&lt; 150</v>
          </cell>
          <cell r="I73">
            <v>3</v>
          </cell>
          <cell r="J73">
            <v>45</v>
          </cell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>
            <v>0</v>
          </cell>
        </row>
        <row r="74">
          <cell r="G74">
            <v>21675</v>
          </cell>
          <cell r="H74" t="str">
            <v>&lt; 150</v>
          </cell>
          <cell r="I74">
            <v>9</v>
          </cell>
          <cell r="J74">
            <v>135</v>
          </cell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>
            <v>0</v>
          </cell>
        </row>
        <row r="75">
          <cell r="G75">
            <v>22000</v>
          </cell>
          <cell r="H75" t="str">
            <v>&lt; 150</v>
          </cell>
          <cell r="I75">
            <v>8</v>
          </cell>
          <cell r="J75">
            <v>120</v>
          </cell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>
            <v>0</v>
          </cell>
        </row>
        <row r="76">
          <cell r="G76">
            <v>23146</v>
          </cell>
          <cell r="H76" t="str">
            <v>&lt; 150</v>
          </cell>
          <cell r="I76">
            <v>1</v>
          </cell>
          <cell r="J76">
            <v>15</v>
          </cell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>
            <v>0</v>
          </cell>
        </row>
        <row r="77">
          <cell r="G77">
            <v>22424</v>
          </cell>
          <cell r="H77" t="str">
            <v>&gt; 150</v>
          </cell>
          <cell r="I77">
            <v>3</v>
          </cell>
          <cell r="J77">
            <v>45</v>
          </cell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>
            <v>0</v>
          </cell>
        </row>
        <row r="78">
          <cell r="G78">
            <v>20894</v>
          </cell>
          <cell r="H78" t="str">
            <v>Nil</v>
          </cell>
          <cell r="I78">
            <v>0</v>
          </cell>
          <cell r="J78">
            <v>0</v>
          </cell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 t="e">
            <v>#DIV/0!</v>
          </cell>
        </row>
        <row r="79">
          <cell r="G79">
            <v>21092</v>
          </cell>
          <cell r="H79" t="str">
            <v>Nil</v>
          </cell>
          <cell r="I79">
            <v>0</v>
          </cell>
          <cell r="J79">
            <v>0</v>
          </cell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 t="e">
            <v>#DIV/0!</v>
          </cell>
        </row>
        <row r="80">
          <cell r="G80">
            <v>24583</v>
          </cell>
          <cell r="H80" t="str">
            <v>Nil</v>
          </cell>
          <cell r="I80">
            <v>0</v>
          </cell>
          <cell r="J80">
            <v>0</v>
          </cell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 t="e">
            <v>#DIV/0!</v>
          </cell>
        </row>
        <row r="81">
          <cell r="G81">
            <v>20893</v>
          </cell>
          <cell r="H81" t="str">
            <v>Nil</v>
          </cell>
          <cell r="I81">
            <v>0</v>
          </cell>
          <cell r="J81">
            <v>0</v>
          </cell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 t="e">
            <v>#DIV/0!</v>
          </cell>
        </row>
        <row r="82">
          <cell r="G82">
            <v>22362</v>
          </cell>
          <cell r="H82" t="str">
            <v>Nil</v>
          </cell>
          <cell r="I82">
            <v>0</v>
          </cell>
          <cell r="J82">
            <v>0</v>
          </cell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 t="e">
            <v>#DIV/0!</v>
          </cell>
        </row>
        <row r="83">
          <cell r="G83">
            <v>22853</v>
          </cell>
          <cell r="H83" t="str">
            <v>Nil</v>
          </cell>
          <cell r="I83">
            <v>0</v>
          </cell>
          <cell r="J83">
            <v>0</v>
          </cell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 t="e">
            <v>#DIV/0!</v>
          </cell>
        </row>
        <row r="84">
          <cell r="G84">
            <v>23537</v>
          </cell>
          <cell r="H84" t="str">
            <v>Nil</v>
          </cell>
          <cell r="I84">
            <v>0</v>
          </cell>
          <cell r="J84">
            <v>0</v>
          </cell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 t="e">
            <v>#DIV/0!</v>
          </cell>
        </row>
      </sheetData>
      <sheetData sheetId="4"/>
      <sheetData sheetId="5">
        <row r="1">
          <cell r="G1" t="str">
            <v>KO Code</v>
          </cell>
          <cell r="H1" t="str">
            <v>TXN Category</v>
          </cell>
          <cell r="I1" t="str">
            <v>Month</v>
          </cell>
          <cell r="J1" t="str">
            <v>Target</v>
          </cell>
          <cell r="K1">
            <v>45383</v>
          </cell>
          <cell r="L1">
            <v>45413</v>
          </cell>
          <cell r="M1">
            <v>45444</v>
          </cell>
          <cell r="N1">
            <v>45474</v>
          </cell>
          <cell r="O1">
            <v>45505</v>
          </cell>
          <cell r="P1">
            <v>45536</v>
          </cell>
          <cell r="Q1">
            <v>45566</v>
          </cell>
          <cell r="R1">
            <v>45597</v>
          </cell>
          <cell r="S1">
            <v>45627</v>
          </cell>
          <cell r="T1">
            <v>45658</v>
          </cell>
          <cell r="U1">
            <v>45689</v>
          </cell>
          <cell r="V1">
            <v>45717</v>
          </cell>
          <cell r="W1" t="str">
            <v>Total Comm</v>
          </cell>
          <cell r="X1" t="str">
            <v>Average</v>
          </cell>
        </row>
        <row r="2">
          <cell r="G2">
            <v>23142</v>
          </cell>
          <cell r="H2" t="str">
            <v>&gt; 300</v>
          </cell>
          <cell r="I2">
            <v>12</v>
          </cell>
          <cell r="J2">
            <v>144</v>
          </cell>
          <cell r="K2"/>
          <cell r="L2"/>
          <cell r="M2">
            <v>3</v>
          </cell>
          <cell r="N2"/>
          <cell r="O2">
            <v>12</v>
          </cell>
          <cell r="P2">
            <v>5</v>
          </cell>
          <cell r="Q2">
            <v>11</v>
          </cell>
          <cell r="R2">
            <v>1</v>
          </cell>
          <cell r="S2">
            <v>13</v>
          </cell>
          <cell r="T2">
            <v>11</v>
          </cell>
          <cell r="U2">
            <v>47</v>
          </cell>
          <cell r="V2">
            <v>29</v>
          </cell>
          <cell r="W2">
            <v>132</v>
          </cell>
          <cell r="X2">
            <v>11</v>
          </cell>
        </row>
        <row r="3">
          <cell r="G3">
            <v>22073</v>
          </cell>
          <cell r="H3" t="str">
            <v>&gt; 2000</v>
          </cell>
          <cell r="I3">
            <v>12</v>
          </cell>
          <cell r="J3">
            <v>144</v>
          </cell>
          <cell r="K3">
            <v>12</v>
          </cell>
          <cell r="L3">
            <v>10</v>
          </cell>
          <cell r="M3">
            <v>12</v>
          </cell>
          <cell r="N3">
            <v>9</v>
          </cell>
          <cell r="O3">
            <v>12</v>
          </cell>
          <cell r="P3">
            <v>9</v>
          </cell>
          <cell r="Q3">
            <v>6</v>
          </cell>
          <cell r="R3">
            <v>6</v>
          </cell>
          <cell r="S3">
            <v>9</v>
          </cell>
          <cell r="T3"/>
          <cell r="U3">
            <v>9</v>
          </cell>
          <cell r="V3">
            <v>12</v>
          </cell>
          <cell r="W3">
            <v>106</v>
          </cell>
          <cell r="X3">
            <v>8.8333333333333339</v>
          </cell>
        </row>
        <row r="4">
          <cell r="G4">
            <v>22789</v>
          </cell>
          <cell r="H4" t="str">
            <v>&gt; 2000</v>
          </cell>
          <cell r="I4">
            <v>12</v>
          </cell>
          <cell r="J4">
            <v>144</v>
          </cell>
          <cell r="K4">
            <v>2</v>
          </cell>
          <cell r="L4">
            <v>2</v>
          </cell>
          <cell r="M4">
            <v>2</v>
          </cell>
          <cell r="N4">
            <v>2</v>
          </cell>
          <cell r="O4">
            <v>3</v>
          </cell>
          <cell r="P4">
            <v>4</v>
          </cell>
          <cell r="Q4">
            <v>3</v>
          </cell>
          <cell r="R4">
            <v>1</v>
          </cell>
          <cell r="S4">
            <v>10</v>
          </cell>
          <cell r="T4">
            <v>5</v>
          </cell>
          <cell r="U4">
            <v>14</v>
          </cell>
          <cell r="V4">
            <v>11</v>
          </cell>
          <cell r="W4">
            <v>59</v>
          </cell>
          <cell r="X4">
            <v>4.916666666666667</v>
          </cell>
        </row>
        <row r="5">
          <cell r="G5">
            <v>21928</v>
          </cell>
          <cell r="H5" t="str">
            <v>&gt; 300</v>
          </cell>
          <cell r="I5">
            <v>10</v>
          </cell>
          <cell r="J5">
            <v>120</v>
          </cell>
          <cell r="K5">
            <v>9</v>
          </cell>
          <cell r="L5">
            <v>9</v>
          </cell>
          <cell r="M5"/>
          <cell r="N5"/>
          <cell r="O5"/>
          <cell r="P5">
            <v>1</v>
          </cell>
          <cell r="Q5"/>
          <cell r="R5">
            <v>1</v>
          </cell>
          <cell r="S5">
            <v>2</v>
          </cell>
          <cell r="T5">
            <v>2</v>
          </cell>
          <cell r="U5">
            <v>13</v>
          </cell>
          <cell r="V5">
            <v>18</v>
          </cell>
          <cell r="W5">
            <v>55</v>
          </cell>
          <cell r="X5">
            <v>5.5</v>
          </cell>
        </row>
        <row r="6">
          <cell r="G6">
            <v>22128</v>
          </cell>
          <cell r="H6" t="str">
            <v>&gt; 450</v>
          </cell>
          <cell r="I6">
            <v>12</v>
          </cell>
          <cell r="J6">
            <v>144</v>
          </cell>
          <cell r="K6"/>
          <cell r="L6">
            <v>6</v>
          </cell>
          <cell r="M6">
            <v>12</v>
          </cell>
          <cell r="N6"/>
          <cell r="O6">
            <v>3</v>
          </cell>
          <cell r="P6">
            <v>4</v>
          </cell>
          <cell r="Q6"/>
          <cell r="R6">
            <v>1</v>
          </cell>
          <cell r="S6">
            <v>11</v>
          </cell>
          <cell r="T6">
            <v>1</v>
          </cell>
          <cell r="U6">
            <v>3</v>
          </cell>
          <cell r="V6">
            <v>12</v>
          </cell>
          <cell r="W6">
            <v>53</v>
          </cell>
          <cell r="X6">
            <v>4.416666666666667</v>
          </cell>
        </row>
        <row r="7">
          <cell r="G7">
            <v>26810</v>
          </cell>
          <cell r="H7" t="str">
            <v>&gt; 150</v>
          </cell>
          <cell r="I7">
            <v>4</v>
          </cell>
          <cell r="J7">
            <v>48</v>
          </cell>
          <cell r="K7"/>
          <cell r="L7"/>
          <cell r="M7"/>
          <cell r="N7"/>
          <cell r="O7"/>
          <cell r="P7"/>
          <cell r="Q7"/>
          <cell r="R7"/>
          <cell r="S7">
            <v>6</v>
          </cell>
          <cell r="T7">
            <v>14</v>
          </cell>
          <cell r="U7">
            <v>12</v>
          </cell>
          <cell r="V7">
            <v>12</v>
          </cell>
          <cell r="W7">
            <v>44</v>
          </cell>
          <cell r="X7">
            <v>11</v>
          </cell>
        </row>
        <row r="8">
          <cell r="G8">
            <v>22366</v>
          </cell>
          <cell r="H8" t="str">
            <v>&gt; 150</v>
          </cell>
          <cell r="I8">
            <v>12</v>
          </cell>
          <cell r="J8">
            <v>144</v>
          </cell>
          <cell r="K8">
            <v>1</v>
          </cell>
          <cell r="L8">
            <v>2</v>
          </cell>
          <cell r="M8">
            <v>4</v>
          </cell>
          <cell r="N8">
            <v>6</v>
          </cell>
          <cell r="O8">
            <v>1</v>
          </cell>
          <cell r="P8"/>
          <cell r="Q8">
            <v>3</v>
          </cell>
          <cell r="R8"/>
          <cell r="S8">
            <v>7</v>
          </cell>
          <cell r="T8">
            <v>6</v>
          </cell>
          <cell r="U8">
            <v>5</v>
          </cell>
          <cell r="V8">
            <v>1</v>
          </cell>
          <cell r="W8">
            <v>36</v>
          </cell>
          <cell r="X8">
            <v>3</v>
          </cell>
        </row>
        <row r="9">
          <cell r="G9">
            <v>22126</v>
          </cell>
          <cell r="H9" t="str">
            <v>&gt; 1500</v>
          </cell>
          <cell r="I9">
            <v>12</v>
          </cell>
          <cell r="J9">
            <v>144</v>
          </cell>
          <cell r="K9"/>
          <cell r="L9">
            <v>1</v>
          </cell>
          <cell r="M9">
            <v>1</v>
          </cell>
          <cell r="N9"/>
          <cell r="O9"/>
          <cell r="P9"/>
          <cell r="Q9"/>
          <cell r="R9"/>
          <cell r="S9">
            <v>3</v>
          </cell>
          <cell r="T9"/>
          <cell r="U9">
            <v>30</v>
          </cell>
          <cell r="V9">
            <v>1</v>
          </cell>
          <cell r="W9">
            <v>36</v>
          </cell>
          <cell r="X9">
            <v>3</v>
          </cell>
        </row>
        <row r="10">
          <cell r="G10">
            <v>26084</v>
          </cell>
          <cell r="H10" t="str">
            <v>&gt; 150</v>
          </cell>
          <cell r="I10">
            <v>9</v>
          </cell>
          <cell r="J10">
            <v>108</v>
          </cell>
          <cell r="K10"/>
          <cell r="L10"/>
          <cell r="M10"/>
          <cell r="N10"/>
          <cell r="O10"/>
          <cell r="P10"/>
          <cell r="Q10">
            <v>1</v>
          </cell>
          <cell r="R10">
            <v>1</v>
          </cell>
          <cell r="S10">
            <v>5</v>
          </cell>
          <cell r="T10">
            <v>8</v>
          </cell>
          <cell r="U10">
            <v>5</v>
          </cell>
          <cell r="V10">
            <v>14</v>
          </cell>
          <cell r="W10">
            <v>34</v>
          </cell>
          <cell r="X10">
            <v>3.7777777777777777</v>
          </cell>
        </row>
        <row r="11">
          <cell r="G11">
            <v>22401</v>
          </cell>
          <cell r="H11" t="str">
            <v>&gt; 150</v>
          </cell>
          <cell r="I11">
            <v>12</v>
          </cell>
          <cell r="J11">
            <v>144</v>
          </cell>
          <cell r="K11">
            <v>5</v>
          </cell>
          <cell r="L11"/>
          <cell r="M11"/>
          <cell r="N11">
            <v>3</v>
          </cell>
          <cell r="O11"/>
          <cell r="P11"/>
          <cell r="Q11">
            <v>1</v>
          </cell>
          <cell r="R11">
            <v>1</v>
          </cell>
          <cell r="S11">
            <v>7</v>
          </cell>
          <cell r="T11">
            <v>1</v>
          </cell>
          <cell r="U11">
            <v>1</v>
          </cell>
          <cell r="V11">
            <v>7</v>
          </cell>
          <cell r="W11">
            <v>26</v>
          </cell>
          <cell r="X11">
            <v>2.1666666666666665</v>
          </cell>
        </row>
        <row r="12">
          <cell r="G12">
            <v>23178</v>
          </cell>
          <cell r="H12" t="str">
            <v>&gt; 600</v>
          </cell>
          <cell r="I12">
            <v>12</v>
          </cell>
          <cell r="J12">
            <v>144</v>
          </cell>
          <cell r="K12"/>
          <cell r="L12"/>
          <cell r="M12"/>
          <cell r="N12"/>
          <cell r="O12"/>
          <cell r="P12">
            <v>1</v>
          </cell>
          <cell r="Q12">
            <v>3</v>
          </cell>
          <cell r="R12">
            <v>4</v>
          </cell>
          <cell r="S12">
            <v>6</v>
          </cell>
          <cell r="T12">
            <v>6</v>
          </cell>
          <cell r="U12">
            <v>2</v>
          </cell>
          <cell r="V12">
            <v>3</v>
          </cell>
          <cell r="W12">
            <v>25</v>
          </cell>
          <cell r="X12">
            <v>2.0833333333333335</v>
          </cell>
        </row>
        <row r="13">
          <cell r="G13">
            <v>22130</v>
          </cell>
          <cell r="H13" t="str">
            <v>&gt; 150</v>
          </cell>
          <cell r="I13">
            <v>12</v>
          </cell>
          <cell r="J13">
            <v>144</v>
          </cell>
          <cell r="K13">
            <v>3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/>
          <cell r="Q13"/>
          <cell r="R13"/>
          <cell r="S13"/>
          <cell r="T13">
            <v>3</v>
          </cell>
          <cell r="U13">
            <v>6</v>
          </cell>
          <cell r="V13">
            <v>5</v>
          </cell>
          <cell r="W13">
            <v>23</v>
          </cell>
          <cell r="X13">
            <v>1.9166666666666667</v>
          </cell>
        </row>
        <row r="14">
          <cell r="G14">
            <v>27220</v>
          </cell>
          <cell r="H14" t="str">
            <v>&gt; 300</v>
          </cell>
          <cell r="I14">
            <v>3</v>
          </cell>
          <cell r="J14">
            <v>36</v>
          </cell>
          <cell r="K14"/>
          <cell r="L14"/>
          <cell r="M14"/>
          <cell r="N14"/>
          <cell r="O14"/>
          <cell r="P14"/>
          <cell r="Q14"/>
          <cell r="R14"/>
          <cell r="S14"/>
          <cell r="T14">
            <v>11</v>
          </cell>
          <cell r="U14">
            <v>5</v>
          </cell>
          <cell r="V14">
            <v>7</v>
          </cell>
          <cell r="W14">
            <v>23</v>
          </cell>
          <cell r="X14">
            <v>7.666666666666667</v>
          </cell>
        </row>
        <row r="15">
          <cell r="G15">
            <v>26399</v>
          </cell>
          <cell r="H15" t="str">
            <v>&gt; 450</v>
          </cell>
          <cell r="I15">
            <v>7</v>
          </cell>
          <cell r="J15">
            <v>84</v>
          </cell>
          <cell r="K15"/>
          <cell r="L15"/>
          <cell r="M15"/>
          <cell r="N15"/>
          <cell r="O15"/>
          <cell r="P15"/>
          <cell r="Q15"/>
          <cell r="R15"/>
          <cell r="S15">
            <v>4</v>
          </cell>
          <cell r="T15">
            <v>7</v>
          </cell>
          <cell r="U15">
            <v>3</v>
          </cell>
          <cell r="V15">
            <v>7</v>
          </cell>
          <cell r="W15">
            <v>21</v>
          </cell>
          <cell r="X15">
            <v>3</v>
          </cell>
        </row>
        <row r="16">
          <cell r="G16">
            <v>22773</v>
          </cell>
          <cell r="H16" t="str">
            <v>&gt; 300</v>
          </cell>
          <cell r="I16">
            <v>12</v>
          </cell>
          <cell r="J16">
            <v>144</v>
          </cell>
          <cell r="K16">
            <v>4</v>
          </cell>
          <cell r="L16">
            <v>1</v>
          </cell>
          <cell r="M16">
            <v>2</v>
          </cell>
          <cell r="N16">
            <v>1</v>
          </cell>
          <cell r="O16">
            <v>1</v>
          </cell>
          <cell r="P16"/>
          <cell r="Q16"/>
          <cell r="R16">
            <v>2</v>
          </cell>
          <cell r="S16"/>
          <cell r="T16">
            <v>4</v>
          </cell>
          <cell r="U16">
            <v>1</v>
          </cell>
          <cell r="V16">
            <v>3</v>
          </cell>
          <cell r="W16">
            <v>19</v>
          </cell>
          <cell r="X16">
            <v>1.5833333333333333</v>
          </cell>
        </row>
        <row r="17">
          <cell r="G17">
            <v>27219</v>
          </cell>
          <cell r="H17" t="str">
            <v>&gt; 150</v>
          </cell>
          <cell r="I17">
            <v>3</v>
          </cell>
          <cell r="J17">
            <v>36</v>
          </cell>
          <cell r="K17"/>
          <cell r="L17"/>
          <cell r="M17"/>
          <cell r="N17"/>
          <cell r="O17"/>
          <cell r="P17"/>
          <cell r="Q17"/>
          <cell r="R17"/>
          <cell r="S17"/>
          <cell r="T17">
            <v>5</v>
          </cell>
          <cell r="U17">
            <v>5</v>
          </cell>
          <cell r="V17">
            <v>6</v>
          </cell>
          <cell r="W17">
            <v>16</v>
          </cell>
          <cell r="X17">
            <v>5.333333333333333</v>
          </cell>
        </row>
        <row r="18">
          <cell r="G18">
            <v>23214</v>
          </cell>
          <cell r="H18" t="str">
            <v>&lt; 150</v>
          </cell>
          <cell r="I18">
            <v>12</v>
          </cell>
          <cell r="J18">
            <v>144</v>
          </cell>
          <cell r="K18">
            <v>4</v>
          </cell>
          <cell r="L18">
            <v>1</v>
          </cell>
          <cell r="M18">
            <v>3</v>
          </cell>
          <cell r="N18">
            <v>3</v>
          </cell>
          <cell r="O18">
            <v>1</v>
          </cell>
          <cell r="P18"/>
          <cell r="Q18"/>
          <cell r="R18">
            <v>1</v>
          </cell>
          <cell r="S18"/>
          <cell r="T18"/>
          <cell r="U18"/>
          <cell r="V18">
            <v>1</v>
          </cell>
          <cell r="W18">
            <v>14</v>
          </cell>
          <cell r="X18">
            <v>1.1666666666666667</v>
          </cell>
        </row>
        <row r="19">
          <cell r="G19">
            <v>21999</v>
          </cell>
          <cell r="H19" t="str">
            <v>&gt; 900</v>
          </cell>
          <cell r="I19">
            <v>12</v>
          </cell>
          <cell r="J19">
            <v>144</v>
          </cell>
          <cell r="K19"/>
          <cell r="L19"/>
          <cell r="M19">
            <v>1</v>
          </cell>
          <cell r="N19"/>
          <cell r="O19">
            <v>1</v>
          </cell>
          <cell r="P19">
            <v>1</v>
          </cell>
          <cell r="Q19"/>
          <cell r="R19">
            <v>1</v>
          </cell>
          <cell r="S19"/>
          <cell r="T19">
            <v>1</v>
          </cell>
          <cell r="U19">
            <v>8</v>
          </cell>
          <cell r="V19">
            <v>1</v>
          </cell>
          <cell r="W19">
            <v>14</v>
          </cell>
          <cell r="X19">
            <v>1.1666666666666667</v>
          </cell>
        </row>
        <row r="20">
          <cell r="G20">
            <v>23433</v>
          </cell>
          <cell r="H20" t="str">
            <v>&gt; 300</v>
          </cell>
          <cell r="I20">
            <v>12</v>
          </cell>
          <cell r="J20">
            <v>144</v>
          </cell>
          <cell r="K20">
            <v>1</v>
          </cell>
          <cell r="L20">
            <v>2</v>
          </cell>
          <cell r="M20">
            <v>5</v>
          </cell>
          <cell r="N20"/>
          <cell r="O20"/>
          <cell r="P20">
            <v>1</v>
          </cell>
          <cell r="Q20"/>
          <cell r="R20"/>
          <cell r="S20"/>
          <cell r="T20"/>
          <cell r="U20">
            <v>4</v>
          </cell>
          <cell r="V20"/>
          <cell r="W20">
            <v>13</v>
          </cell>
          <cell r="X20">
            <v>1.0833333333333333</v>
          </cell>
        </row>
        <row r="21">
          <cell r="G21">
            <v>21583</v>
          </cell>
          <cell r="H21" t="str">
            <v>&gt; 900</v>
          </cell>
          <cell r="I21">
            <v>12</v>
          </cell>
          <cell r="J21">
            <v>144</v>
          </cell>
          <cell r="K21"/>
          <cell r="L21">
            <v>1</v>
          </cell>
          <cell r="M21"/>
          <cell r="N21"/>
          <cell r="O21"/>
          <cell r="P21"/>
          <cell r="Q21">
            <v>7</v>
          </cell>
          <cell r="R21">
            <v>1</v>
          </cell>
          <cell r="S21">
            <v>2</v>
          </cell>
          <cell r="T21"/>
          <cell r="U21">
            <v>1</v>
          </cell>
          <cell r="V21">
            <v>1</v>
          </cell>
          <cell r="W21">
            <v>13</v>
          </cell>
          <cell r="X21">
            <v>1.0833333333333333</v>
          </cell>
        </row>
        <row r="22">
          <cell r="G22">
            <v>26588</v>
          </cell>
          <cell r="H22" t="str">
            <v>&lt; 150</v>
          </cell>
          <cell r="I22">
            <v>7</v>
          </cell>
          <cell r="J22">
            <v>84</v>
          </cell>
          <cell r="K22"/>
          <cell r="L22"/>
          <cell r="M22"/>
          <cell r="N22"/>
          <cell r="O22"/>
          <cell r="P22"/>
          <cell r="Q22">
            <v>2</v>
          </cell>
          <cell r="R22">
            <v>2</v>
          </cell>
          <cell r="S22">
            <v>4</v>
          </cell>
          <cell r="T22">
            <v>2</v>
          </cell>
          <cell r="U22">
            <v>2</v>
          </cell>
          <cell r="V22">
            <v>1</v>
          </cell>
          <cell r="W22">
            <v>13</v>
          </cell>
          <cell r="X22">
            <v>1.8571428571428572</v>
          </cell>
        </row>
        <row r="23">
          <cell r="G23">
            <v>24527</v>
          </cell>
          <cell r="H23" t="str">
            <v>&lt; 150</v>
          </cell>
          <cell r="I23">
            <v>12</v>
          </cell>
          <cell r="J23">
            <v>144</v>
          </cell>
          <cell r="K23"/>
          <cell r="L23"/>
          <cell r="M23">
            <v>1</v>
          </cell>
          <cell r="N23"/>
          <cell r="O23">
            <v>2</v>
          </cell>
          <cell r="P23">
            <v>1</v>
          </cell>
          <cell r="Q23">
            <v>2</v>
          </cell>
          <cell r="R23">
            <v>2</v>
          </cell>
          <cell r="S23">
            <v>1</v>
          </cell>
          <cell r="T23">
            <v>1</v>
          </cell>
          <cell r="U23">
            <v>1</v>
          </cell>
          <cell r="V23">
            <v>2</v>
          </cell>
          <cell r="W23">
            <v>13</v>
          </cell>
          <cell r="X23">
            <v>1.0833333333333333</v>
          </cell>
        </row>
        <row r="24">
          <cell r="G24">
            <v>20503</v>
          </cell>
          <cell r="H24" t="str">
            <v>&lt; 150</v>
          </cell>
          <cell r="I24">
            <v>12</v>
          </cell>
          <cell r="J24">
            <v>144</v>
          </cell>
          <cell r="K24">
            <v>2</v>
          </cell>
          <cell r="L24">
            <v>3</v>
          </cell>
          <cell r="M24">
            <v>2</v>
          </cell>
          <cell r="N24">
            <v>2</v>
          </cell>
          <cell r="O24">
            <v>2</v>
          </cell>
          <cell r="P24"/>
          <cell r="Q24"/>
          <cell r="R24">
            <v>1</v>
          </cell>
          <cell r="S24"/>
          <cell r="T24"/>
          <cell r="U24"/>
          <cell r="V24"/>
          <cell r="W24">
            <v>12</v>
          </cell>
          <cell r="X24">
            <v>1</v>
          </cell>
        </row>
        <row r="25">
          <cell r="G25">
            <v>22365</v>
          </cell>
          <cell r="H25" t="str">
            <v>&gt; 450</v>
          </cell>
          <cell r="I25">
            <v>12</v>
          </cell>
          <cell r="J25">
            <v>144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/>
          <cell r="P25"/>
          <cell r="Q25"/>
          <cell r="R25"/>
          <cell r="S25">
            <v>1</v>
          </cell>
          <cell r="T25"/>
          <cell r="U25">
            <v>3</v>
          </cell>
          <cell r="V25">
            <v>4</v>
          </cell>
          <cell r="W25">
            <v>12</v>
          </cell>
          <cell r="X25">
            <v>1</v>
          </cell>
        </row>
        <row r="26">
          <cell r="G26">
            <v>26015</v>
          </cell>
          <cell r="H26" t="str">
            <v>&gt; 150</v>
          </cell>
          <cell r="I26">
            <v>9</v>
          </cell>
          <cell r="J26">
            <v>108</v>
          </cell>
          <cell r="K26"/>
          <cell r="L26"/>
          <cell r="M26"/>
          <cell r="N26"/>
          <cell r="O26"/>
          <cell r="P26"/>
          <cell r="Q26">
            <v>4</v>
          </cell>
          <cell r="R26">
            <v>1</v>
          </cell>
          <cell r="S26">
            <v>2</v>
          </cell>
          <cell r="T26">
            <v>1</v>
          </cell>
          <cell r="U26">
            <v>2</v>
          </cell>
          <cell r="V26">
            <v>1</v>
          </cell>
          <cell r="W26">
            <v>11</v>
          </cell>
          <cell r="X26">
            <v>1.2222222222222223</v>
          </cell>
        </row>
        <row r="27">
          <cell r="G27">
            <v>27028</v>
          </cell>
          <cell r="H27" t="str">
            <v>&gt; 150</v>
          </cell>
          <cell r="I27">
            <v>4</v>
          </cell>
          <cell r="J27">
            <v>48</v>
          </cell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>
            <v>5</v>
          </cell>
          <cell r="V27">
            <v>6</v>
          </cell>
          <cell r="W27">
            <v>11</v>
          </cell>
          <cell r="X27">
            <v>2.75</v>
          </cell>
        </row>
        <row r="28">
          <cell r="G28">
            <v>21091</v>
          </cell>
          <cell r="H28" t="str">
            <v>&gt; 150</v>
          </cell>
          <cell r="I28">
            <v>12</v>
          </cell>
          <cell r="J28">
            <v>144</v>
          </cell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>
            <v>3</v>
          </cell>
          <cell r="V28">
            <v>7</v>
          </cell>
          <cell r="W28">
            <v>10</v>
          </cell>
          <cell r="X28">
            <v>0.83333333333333337</v>
          </cell>
        </row>
        <row r="29">
          <cell r="G29">
            <v>27249</v>
          </cell>
          <cell r="H29" t="str">
            <v>&lt; 150</v>
          </cell>
          <cell r="I29">
            <v>3</v>
          </cell>
          <cell r="J29">
            <v>36</v>
          </cell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>
            <v>9</v>
          </cell>
          <cell r="V29"/>
          <cell r="W29">
            <v>9</v>
          </cell>
          <cell r="X29">
            <v>3</v>
          </cell>
        </row>
        <row r="30">
          <cell r="G30">
            <v>23432</v>
          </cell>
          <cell r="H30" t="str">
            <v>&gt; 300</v>
          </cell>
          <cell r="I30">
            <v>12</v>
          </cell>
          <cell r="J30">
            <v>144</v>
          </cell>
          <cell r="K30"/>
          <cell r="L30"/>
          <cell r="M30">
            <v>2</v>
          </cell>
          <cell r="N30"/>
          <cell r="O30"/>
          <cell r="P30"/>
          <cell r="Q30"/>
          <cell r="R30"/>
          <cell r="S30">
            <v>2</v>
          </cell>
          <cell r="T30">
            <v>2</v>
          </cell>
          <cell r="U30">
            <v>2</v>
          </cell>
          <cell r="V30">
            <v>1</v>
          </cell>
          <cell r="W30">
            <v>9</v>
          </cell>
          <cell r="X30">
            <v>0.75</v>
          </cell>
        </row>
        <row r="31">
          <cell r="G31">
            <v>24494</v>
          </cell>
          <cell r="H31" t="str">
            <v>&gt; 150</v>
          </cell>
          <cell r="I31">
            <v>12</v>
          </cell>
          <cell r="J31">
            <v>144</v>
          </cell>
          <cell r="K31"/>
          <cell r="L31"/>
          <cell r="M31"/>
          <cell r="N31"/>
          <cell r="O31"/>
          <cell r="P31">
            <v>1</v>
          </cell>
          <cell r="Q31"/>
          <cell r="R31"/>
          <cell r="S31"/>
          <cell r="T31"/>
          <cell r="U31">
            <v>7</v>
          </cell>
          <cell r="V31"/>
          <cell r="W31">
            <v>8</v>
          </cell>
          <cell r="X31">
            <v>0.66666666666666663</v>
          </cell>
        </row>
        <row r="32">
          <cell r="G32">
            <v>24495</v>
          </cell>
          <cell r="H32" t="str">
            <v>&gt; 150</v>
          </cell>
          <cell r="I32">
            <v>12</v>
          </cell>
          <cell r="J32">
            <v>144</v>
          </cell>
          <cell r="K32">
            <v>1</v>
          </cell>
          <cell r="L32">
            <v>2</v>
          </cell>
          <cell r="M32"/>
          <cell r="N32"/>
          <cell r="O32"/>
          <cell r="P32"/>
          <cell r="Q32">
            <v>1</v>
          </cell>
          <cell r="R32"/>
          <cell r="S32"/>
          <cell r="T32"/>
          <cell r="U32">
            <v>2</v>
          </cell>
          <cell r="V32">
            <v>1</v>
          </cell>
          <cell r="W32">
            <v>7</v>
          </cell>
          <cell r="X32">
            <v>0.58333333333333337</v>
          </cell>
        </row>
        <row r="33">
          <cell r="G33">
            <v>23669</v>
          </cell>
          <cell r="H33" t="str">
            <v>&gt; 600</v>
          </cell>
          <cell r="I33">
            <v>12</v>
          </cell>
          <cell r="J33">
            <v>144</v>
          </cell>
          <cell r="K33">
            <v>1</v>
          </cell>
          <cell r="L33"/>
          <cell r="M33">
            <v>1</v>
          </cell>
          <cell r="N33"/>
          <cell r="O33"/>
          <cell r="P33"/>
          <cell r="Q33"/>
          <cell r="R33"/>
          <cell r="S33"/>
          <cell r="T33">
            <v>3</v>
          </cell>
          <cell r="U33"/>
          <cell r="V33">
            <v>2</v>
          </cell>
          <cell r="W33">
            <v>7</v>
          </cell>
          <cell r="X33">
            <v>0.58333333333333337</v>
          </cell>
        </row>
        <row r="34">
          <cell r="G34">
            <v>22131</v>
          </cell>
          <cell r="H34" t="str">
            <v>&gt; 1500</v>
          </cell>
          <cell r="I34">
            <v>12</v>
          </cell>
          <cell r="J34">
            <v>144</v>
          </cell>
          <cell r="K34"/>
          <cell r="L34">
            <v>1</v>
          </cell>
          <cell r="M34"/>
          <cell r="N34"/>
          <cell r="O34"/>
          <cell r="P34"/>
          <cell r="Q34"/>
          <cell r="R34"/>
          <cell r="S34"/>
          <cell r="T34">
            <v>2</v>
          </cell>
          <cell r="U34">
            <v>2</v>
          </cell>
          <cell r="V34">
            <v>2</v>
          </cell>
          <cell r="W34">
            <v>7</v>
          </cell>
          <cell r="X34">
            <v>0.58333333333333337</v>
          </cell>
        </row>
        <row r="35">
          <cell r="G35">
            <v>22346</v>
          </cell>
          <cell r="H35" t="str">
            <v>&gt; 900</v>
          </cell>
          <cell r="I35">
            <v>12</v>
          </cell>
          <cell r="J35">
            <v>144</v>
          </cell>
          <cell r="K35"/>
          <cell r="L35"/>
          <cell r="M35"/>
          <cell r="N35"/>
          <cell r="O35"/>
          <cell r="P35"/>
          <cell r="Q35"/>
          <cell r="R35"/>
          <cell r="S35"/>
          <cell r="T35">
            <v>1</v>
          </cell>
          <cell r="U35">
            <v>4</v>
          </cell>
          <cell r="V35">
            <v>1</v>
          </cell>
          <cell r="W35">
            <v>6</v>
          </cell>
          <cell r="X35">
            <v>0.5</v>
          </cell>
        </row>
        <row r="36">
          <cell r="G36">
            <v>26501</v>
          </cell>
          <cell r="H36" t="str">
            <v>&gt; 600</v>
          </cell>
          <cell r="I36">
            <v>4</v>
          </cell>
          <cell r="J36">
            <v>48</v>
          </cell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>
            <v>3</v>
          </cell>
          <cell r="V36">
            <v>3</v>
          </cell>
          <cell r="W36">
            <v>6</v>
          </cell>
          <cell r="X36">
            <v>1.5</v>
          </cell>
        </row>
        <row r="37">
          <cell r="G37">
            <v>22404</v>
          </cell>
          <cell r="H37" t="str">
            <v>&gt; 300</v>
          </cell>
          <cell r="I37">
            <v>12</v>
          </cell>
          <cell r="J37">
            <v>144</v>
          </cell>
          <cell r="K37"/>
          <cell r="L37"/>
          <cell r="M37"/>
          <cell r="N37">
            <v>1</v>
          </cell>
          <cell r="O37"/>
          <cell r="P37"/>
          <cell r="Q37"/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/>
          <cell r="W37">
            <v>5</v>
          </cell>
          <cell r="X37">
            <v>0.41666666666666669</v>
          </cell>
        </row>
        <row r="38">
          <cell r="G38">
            <v>21998</v>
          </cell>
          <cell r="H38" t="str">
            <v>&gt; 900</v>
          </cell>
          <cell r="I38">
            <v>12</v>
          </cell>
          <cell r="J38">
            <v>144</v>
          </cell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>
            <v>5</v>
          </cell>
          <cell r="V38"/>
          <cell r="W38">
            <v>5</v>
          </cell>
          <cell r="X38">
            <v>0.41666666666666669</v>
          </cell>
        </row>
        <row r="39">
          <cell r="G39">
            <v>22400</v>
          </cell>
          <cell r="H39" t="str">
            <v>&gt; 300</v>
          </cell>
          <cell r="I39">
            <v>12</v>
          </cell>
          <cell r="J39">
            <v>144</v>
          </cell>
          <cell r="K39"/>
          <cell r="L39"/>
          <cell r="M39"/>
          <cell r="N39"/>
          <cell r="O39"/>
          <cell r="P39"/>
          <cell r="Q39">
            <v>1</v>
          </cell>
          <cell r="R39"/>
          <cell r="S39">
            <v>1</v>
          </cell>
          <cell r="T39"/>
          <cell r="U39">
            <v>2</v>
          </cell>
          <cell r="V39">
            <v>1</v>
          </cell>
          <cell r="W39">
            <v>5</v>
          </cell>
          <cell r="X39">
            <v>0.41666666666666669</v>
          </cell>
        </row>
        <row r="40">
          <cell r="G40">
            <v>25557</v>
          </cell>
          <cell r="H40" t="str">
            <v>&lt; 150</v>
          </cell>
          <cell r="I40">
            <v>12</v>
          </cell>
          <cell r="J40">
            <v>144</v>
          </cell>
          <cell r="K40"/>
          <cell r="L40"/>
          <cell r="M40"/>
          <cell r="N40"/>
          <cell r="O40"/>
          <cell r="P40"/>
          <cell r="Q40"/>
          <cell r="R40">
            <v>2</v>
          </cell>
          <cell r="S40">
            <v>2</v>
          </cell>
          <cell r="T40"/>
          <cell r="U40"/>
          <cell r="V40"/>
          <cell r="W40">
            <v>4</v>
          </cell>
          <cell r="X40">
            <v>0.33333333333333331</v>
          </cell>
        </row>
        <row r="41">
          <cell r="G41">
            <v>23969</v>
          </cell>
          <cell r="H41" t="str">
            <v>&gt; 450</v>
          </cell>
          <cell r="I41">
            <v>12</v>
          </cell>
          <cell r="J41">
            <v>144</v>
          </cell>
          <cell r="K41"/>
          <cell r="L41"/>
          <cell r="M41"/>
          <cell r="N41"/>
          <cell r="O41"/>
          <cell r="P41"/>
          <cell r="Q41">
            <v>3</v>
          </cell>
          <cell r="R41"/>
          <cell r="S41"/>
          <cell r="T41"/>
          <cell r="U41">
            <v>1</v>
          </cell>
          <cell r="V41"/>
          <cell r="W41">
            <v>4</v>
          </cell>
          <cell r="X41">
            <v>0.33333333333333331</v>
          </cell>
        </row>
        <row r="42">
          <cell r="G42">
            <v>22361</v>
          </cell>
          <cell r="H42" t="str">
            <v>&gt; 150</v>
          </cell>
          <cell r="I42">
            <v>12</v>
          </cell>
          <cell r="J42">
            <v>144</v>
          </cell>
          <cell r="K42"/>
          <cell r="L42"/>
          <cell r="M42"/>
          <cell r="N42"/>
          <cell r="O42">
            <v>1</v>
          </cell>
          <cell r="P42"/>
          <cell r="Q42"/>
          <cell r="R42"/>
          <cell r="S42"/>
          <cell r="T42">
            <v>1</v>
          </cell>
          <cell r="U42">
            <v>2</v>
          </cell>
          <cell r="V42"/>
          <cell r="W42">
            <v>4</v>
          </cell>
          <cell r="X42">
            <v>0.33333333333333331</v>
          </cell>
        </row>
        <row r="43">
          <cell r="G43">
            <v>22775</v>
          </cell>
          <cell r="H43" t="str">
            <v>&lt; 150</v>
          </cell>
          <cell r="I43">
            <v>9</v>
          </cell>
          <cell r="J43">
            <v>108</v>
          </cell>
          <cell r="K43">
            <v>3</v>
          </cell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>
            <v>3</v>
          </cell>
          <cell r="X43">
            <v>0.33333333333333331</v>
          </cell>
        </row>
        <row r="44">
          <cell r="G44">
            <v>24153</v>
          </cell>
          <cell r="H44" t="str">
            <v>&gt; 600</v>
          </cell>
          <cell r="I44">
            <v>12</v>
          </cell>
          <cell r="J44">
            <v>144</v>
          </cell>
          <cell r="K44"/>
          <cell r="L44"/>
          <cell r="M44"/>
          <cell r="N44"/>
          <cell r="O44"/>
          <cell r="P44"/>
          <cell r="Q44">
            <v>1</v>
          </cell>
          <cell r="R44"/>
          <cell r="S44">
            <v>1</v>
          </cell>
          <cell r="T44"/>
          <cell r="U44"/>
          <cell r="V44">
            <v>1</v>
          </cell>
          <cell r="W44">
            <v>3</v>
          </cell>
          <cell r="X44">
            <v>0.25</v>
          </cell>
        </row>
        <row r="45">
          <cell r="G45">
            <v>20322</v>
          </cell>
          <cell r="H45" t="str">
            <v>&gt; 450</v>
          </cell>
          <cell r="I45">
            <v>12</v>
          </cell>
          <cell r="J45">
            <v>144</v>
          </cell>
          <cell r="K45"/>
          <cell r="L45"/>
          <cell r="M45"/>
          <cell r="N45"/>
          <cell r="O45"/>
          <cell r="P45"/>
          <cell r="Q45"/>
          <cell r="R45">
            <v>1</v>
          </cell>
          <cell r="S45">
            <v>1</v>
          </cell>
          <cell r="T45"/>
          <cell r="U45"/>
          <cell r="V45">
            <v>1</v>
          </cell>
          <cell r="W45">
            <v>3</v>
          </cell>
          <cell r="X45">
            <v>0.25</v>
          </cell>
        </row>
        <row r="46">
          <cell r="G46">
            <v>20983</v>
          </cell>
          <cell r="H46" t="str">
            <v>&gt; 450</v>
          </cell>
          <cell r="I46">
            <v>12</v>
          </cell>
          <cell r="J46">
            <v>144</v>
          </cell>
          <cell r="K46"/>
          <cell r="L46"/>
          <cell r="M46"/>
          <cell r="N46"/>
          <cell r="O46"/>
          <cell r="P46"/>
          <cell r="Q46"/>
          <cell r="R46"/>
          <cell r="S46"/>
          <cell r="T46">
            <v>1</v>
          </cell>
          <cell r="U46">
            <v>1</v>
          </cell>
          <cell r="V46">
            <v>1</v>
          </cell>
          <cell r="W46">
            <v>3</v>
          </cell>
          <cell r="X46">
            <v>0.25</v>
          </cell>
        </row>
        <row r="47">
          <cell r="G47">
            <v>27437</v>
          </cell>
          <cell r="H47" t="str">
            <v>&lt; 150</v>
          </cell>
          <cell r="I47">
            <v>2</v>
          </cell>
          <cell r="J47">
            <v>24</v>
          </cell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>
            <v>2</v>
          </cell>
          <cell r="V47">
            <v>1</v>
          </cell>
          <cell r="W47">
            <v>3</v>
          </cell>
          <cell r="X47">
            <v>1.5</v>
          </cell>
        </row>
        <row r="48">
          <cell r="G48">
            <v>21926</v>
          </cell>
          <cell r="H48" t="str">
            <v>&gt; 300</v>
          </cell>
          <cell r="I48">
            <v>12</v>
          </cell>
          <cell r="J48">
            <v>144</v>
          </cell>
          <cell r="K48">
            <v>1</v>
          </cell>
          <cell r="L48">
            <v>1</v>
          </cell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>
            <v>2</v>
          </cell>
          <cell r="X48">
            <v>0.16666666666666666</v>
          </cell>
        </row>
        <row r="49">
          <cell r="G49">
            <v>23429</v>
          </cell>
          <cell r="H49" t="str">
            <v>&gt; 600</v>
          </cell>
          <cell r="I49">
            <v>12</v>
          </cell>
          <cell r="J49">
            <v>144</v>
          </cell>
          <cell r="K49"/>
          <cell r="L49"/>
          <cell r="M49">
            <v>1</v>
          </cell>
          <cell r="N49"/>
          <cell r="O49"/>
          <cell r="P49"/>
          <cell r="Q49"/>
          <cell r="R49"/>
          <cell r="S49"/>
          <cell r="T49"/>
          <cell r="U49">
            <v>1</v>
          </cell>
          <cell r="V49"/>
          <cell r="W49">
            <v>2</v>
          </cell>
          <cell r="X49">
            <v>0.16666666666666666</v>
          </cell>
        </row>
        <row r="50">
          <cell r="G50">
            <v>26530</v>
          </cell>
          <cell r="H50" t="str">
            <v>&lt; 150</v>
          </cell>
          <cell r="I50">
            <v>6</v>
          </cell>
          <cell r="J50">
            <v>72</v>
          </cell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>
            <v>1</v>
          </cell>
          <cell r="V50">
            <v>1</v>
          </cell>
          <cell r="W50">
            <v>2</v>
          </cell>
          <cell r="X50">
            <v>0.33333333333333331</v>
          </cell>
        </row>
        <row r="51">
          <cell r="G51">
            <v>27252</v>
          </cell>
          <cell r="H51" t="str">
            <v>&lt; 150</v>
          </cell>
          <cell r="I51">
            <v>3</v>
          </cell>
          <cell r="J51">
            <v>36</v>
          </cell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>
            <v>2</v>
          </cell>
          <cell r="W51">
            <v>2</v>
          </cell>
          <cell r="X51">
            <v>0.66666666666666663</v>
          </cell>
        </row>
        <row r="52">
          <cell r="G52">
            <v>24437</v>
          </cell>
          <cell r="H52" t="str">
            <v>&lt; 150</v>
          </cell>
          <cell r="I52">
            <v>5</v>
          </cell>
          <cell r="J52">
            <v>60</v>
          </cell>
          <cell r="K52"/>
          <cell r="L52">
            <v>1</v>
          </cell>
          <cell r="M52">
            <v>1</v>
          </cell>
          <cell r="N52"/>
          <cell r="O52"/>
          <cell r="P52"/>
          <cell r="Q52"/>
          <cell r="R52"/>
          <cell r="S52"/>
          <cell r="T52"/>
          <cell r="U52"/>
          <cell r="V52"/>
          <cell r="W52">
            <v>2</v>
          </cell>
          <cell r="X52">
            <v>0.4</v>
          </cell>
        </row>
        <row r="53">
          <cell r="G53">
            <v>23560</v>
          </cell>
          <cell r="H53" t="str">
            <v>&gt; 300</v>
          </cell>
          <cell r="I53">
            <v>12</v>
          </cell>
          <cell r="J53">
            <v>144</v>
          </cell>
          <cell r="K53"/>
          <cell r="L53"/>
          <cell r="M53"/>
          <cell r="N53"/>
          <cell r="O53"/>
          <cell r="P53"/>
          <cell r="Q53">
            <v>1</v>
          </cell>
          <cell r="R53"/>
          <cell r="S53"/>
          <cell r="T53"/>
          <cell r="U53"/>
          <cell r="V53"/>
          <cell r="W53">
            <v>1</v>
          </cell>
          <cell r="X53">
            <v>8.3333333333333329E-2</v>
          </cell>
        </row>
        <row r="54">
          <cell r="G54">
            <v>23431</v>
          </cell>
          <cell r="H54" t="str">
            <v>&gt; 150</v>
          </cell>
          <cell r="I54">
            <v>12</v>
          </cell>
          <cell r="J54">
            <v>144</v>
          </cell>
          <cell r="K54"/>
          <cell r="L54"/>
          <cell r="M54"/>
          <cell r="N54"/>
          <cell r="O54"/>
          <cell r="P54"/>
          <cell r="Q54"/>
          <cell r="R54"/>
          <cell r="S54"/>
          <cell r="T54">
            <v>1</v>
          </cell>
          <cell r="U54"/>
          <cell r="V54"/>
          <cell r="W54">
            <v>1</v>
          </cell>
          <cell r="X54">
            <v>8.3333333333333329E-2</v>
          </cell>
        </row>
        <row r="55">
          <cell r="G55">
            <v>20509</v>
          </cell>
          <cell r="H55" t="str">
            <v>&gt; 600</v>
          </cell>
          <cell r="I55">
            <v>12</v>
          </cell>
          <cell r="J55">
            <v>144</v>
          </cell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>
            <v>1</v>
          </cell>
          <cell r="W55">
            <v>1</v>
          </cell>
          <cell r="X55">
            <v>8.3333333333333329E-2</v>
          </cell>
        </row>
        <row r="56">
          <cell r="G56">
            <v>27372</v>
          </cell>
          <cell r="H56" t="str">
            <v>&gt; 150</v>
          </cell>
          <cell r="I56">
            <v>3</v>
          </cell>
          <cell r="J56">
            <v>36</v>
          </cell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>
            <v>1</v>
          </cell>
          <cell r="W56">
            <v>1</v>
          </cell>
          <cell r="X56">
            <v>0.33333333333333331</v>
          </cell>
        </row>
        <row r="57">
          <cell r="G57">
            <v>22002</v>
          </cell>
          <cell r="H57" t="str">
            <v>&lt; 150</v>
          </cell>
          <cell r="I57">
            <v>7</v>
          </cell>
          <cell r="J57">
            <v>84</v>
          </cell>
          <cell r="K57">
            <v>1</v>
          </cell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>
            <v>1</v>
          </cell>
          <cell r="X57">
            <v>0.14285714285714285</v>
          </cell>
        </row>
        <row r="58">
          <cell r="G58">
            <v>21929</v>
          </cell>
          <cell r="H58" t="str">
            <v>&lt; 150</v>
          </cell>
          <cell r="I58">
            <v>12</v>
          </cell>
          <cell r="J58">
            <v>144</v>
          </cell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>
            <v>0</v>
          </cell>
        </row>
        <row r="59">
          <cell r="G59">
            <v>23270</v>
          </cell>
          <cell r="H59" t="str">
            <v>&lt; 150</v>
          </cell>
          <cell r="I59">
            <v>12</v>
          </cell>
          <cell r="J59">
            <v>144</v>
          </cell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>
            <v>0</v>
          </cell>
        </row>
        <row r="60">
          <cell r="G60">
            <v>22402</v>
          </cell>
          <cell r="H60" t="str">
            <v>&gt; 150</v>
          </cell>
          <cell r="I60">
            <v>12</v>
          </cell>
          <cell r="J60">
            <v>144</v>
          </cell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>
            <v>0</v>
          </cell>
        </row>
        <row r="61">
          <cell r="G61">
            <v>22768</v>
          </cell>
          <cell r="H61" t="str">
            <v>&gt; 150</v>
          </cell>
          <cell r="I61">
            <v>12</v>
          </cell>
          <cell r="J61">
            <v>144</v>
          </cell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>
            <v>0</v>
          </cell>
        </row>
        <row r="62">
          <cell r="G62">
            <v>23565</v>
          </cell>
          <cell r="H62" t="str">
            <v>&gt; 150</v>
          </cell>
          <cell r="I62">
            <v>12</v>
          </cell>
          <cell r="J62">
            <v>144</v>
          </cell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>
            <v>0</v>
          </cell>
        </row>
        <row r="63">
          <cell r="G63">
            <v>23147</v>
          </cell>
          <cell r="H63" t="str">
            <v>&gt; 300</v>
          </cell>
          <cell r="I63">
            <v>12</v>
          </cell>
          <cell r="J63">
            <v>144</v>
          </cell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>
            <v>0</v>
          </cell>
        </row>
        <row r="64">
          <cell r="G64">
            <v>22453</v>
          </cell>
          <cell r="H64" t="str">
            <v>&lt; 150</v>
          </cell>
          <cell r="I64">
            <v>12</v>
          </cell>
          <cell r="J64">
            <v>144</v>
          </cell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>
            <v>0</v>
          </cell>
        </row>
        <row r="65">
          <cell r="G65">
            <v>22771</v>
          </cell>
          <cell r="H65" t="str">
            <v>&lt; 150</v>
          </cell>
          <cell r="I65">
            <v>12</v>
          </cell>
          <cell r="J65">
            <v>144</v>
          </cell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>
            <v>0</v>
          </cell>
        </row>
        <row r="66">
          <cell r="G66">
            <v>26403</v>
          </cell>
          <cell r="H66" t="str">
            <v>&gt; 300</v>
          </cell>
          <cell r="I66">
            <v>7</v>
          </cell>
          <cell r="J66">
            <v>84</v>
          </cell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>
            <v>0</v>
          </cell>
        </row>
        <row r="67">
          <cell r="G67">
            <v>26595</v>
          </cell>
          <cell r="H67" t="str">
            <v>&lt; 150</v>
          </cell>
          <cell r="I67">
            <v>7</v>
          </cell>
          <cell r="J67">
            <v>84</v>
          </cell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>
            <v>0</v>
          </cell>
        </row>
        <row r="68">
          <cell r="G68">
            <v>22452</v>
          </cell>
          <cell r="H68" t="str">
            <v>&lt; 150</v>
          </cell>
          <cell r="I68">
            <v>6</v>
          </cell>
          <cell r="J68">
            <v>72</v>
          </cell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>
            <v>0</v>
          </cell>
        </row>
        <row r="69">
          <cell r="G69">
            <v>26507</v>
          </cell>
          <cell r="H69" t="str">
            <v>&lt; 150</v>
          </cell>
          <cell r="I69">
            <v>5</v>
          </cell>
          <cell r="J69">
            <v>60</v>
          </cell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>
            <v>0</v>
          </cell>
        </row>
        <row r="70">
          <cell r="G70">
            <v>26881</v>
          </cell>
          <cell r="H70" t="str">
            <v>&lt; 150</v>
          </cell>
          <cell r="I70">
            <v>4</v>
          </cell>
          <cell r="J70">
            <v>48</v>
          </cell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>
            <v>0</v>
          </cell>
        </row>
        <row r="71">
          <cell r="G71">
            <v>27154</v>
          </cell>
          <cell r="H71" t="str">
            <v>&lt; 150</v>
          </cell>
          <cell r="I71">
            <v>3</v>
          </cell>
          <cell r="J71">
            <v>36</v>
          </cell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>
            <v>0</v>
          </cell>
        </row>
        <row r="72">
          <cell r="G72">
            <v>20502</v>
          </cell>
          <cell r="H72" t="str">
            <v>&lt; 150</v>
          </cell>
          <cell r="I72">
            <v>10</v>
          </cell>
          <cell r="J72">
            <v>120</v>
          </cell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>
            <v>0</v>
          </cell>
        </row>
        <row r="73">
          <cell r="G73">
            <v>21925</v>
          </cell>
          <cell r="H73" t="str">
            <v>&lt; 150</v>
          </cell>
          <cell r="I73">
            <v>7</v>
          </cell>
          <cell r="J73">
            <v>84</v>
          </cell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>
            <v>0</v>
          </cell>
        </row>
        <row r="74">
          <cell r="G74">
            <v>21675</v>
          </cell>
          <cell r="H74" t="str">
            <v>&lt; 150</v>
          </cell>
          <cell r="I74">
            <v>9</v>
          </cell>
          <cell r="J74">
            <v>108</v>
          </cell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>
            <v>0</v>
          </cell>
        </row>
        <row r="75">
          <cell r="G75">
            <v>22000</v>
          </cell>
          <cell r="H75" t="str">
            <v>&lt; 150</v>
          </cell>
          <cell r="I75">
            <v>8</v>
          </cell>
          <cell r="J75">
            <v>96</v>
          </cell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>
            <v>0</v>
          </cell>
        </row>
        <row r="76">
          <cell r="G76">
            <v>23146</v>
          </cell>
          <cell r="H76" t="str">
            <v>&lt; 150</v>
          </cell>
          <cell r="I76">
            <v>1</v>
          </cell>
          <cell r="J76">
            <v>12</v>
          </cell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>
            <v>0</v>
          </cell>
        </row>
        <row r="77">
          <cell r="G77">
            <v>22424</v>
          </cell>
          <cell r="H77" t="str">
            <v>&gt; 150</v>
          </cell>
          <cell r="I77">
            <v>3</v>
          </cell>
          <cell r="J77">
            <v>36</v>
          </cell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>
            <v>0</v>
          </cell>
        </row>
        <row r="78">
          <cell r="G78">
            <v>20894</v>
          </cell>
          <cell r="H78" t="str">
            <v>Nil</v>
          </cell>
          <cell r="I78">
            <v>0</v>
          </cell>
          <cell r="J78">
            <v>0</v>
          </cell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 t="e">
            <v>#DIV/0!</v>
          </cell>
        </row>
        <row r="79">
          <cell r="G79">
            <v>21092</v>
          </cell>
          <cell r="H79" t="str">
            <v>Nil</v>
          </cell>
          <cell r="I79">
            <v>0</v>
          </cell>
          <cell r="J79">
            <v>0</v>
          </cell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 t="e">
            <v>#DIV/0!</v>
          </cell>
        </row>
        <row r="80">
          <cell r="G80">
            <v>24583</v>
          </cell>
          <cell r="H80" t="str">
            <v>Nil</v>
          </cell>
          <cell r="I80">
            <v>0</v>
          </cell>
          <cell r="J80">
            <v>0</v>
          </cell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 t="e">
            <v>#DIV/0!</v>
          </cell>
        </row>
        <row r="81">
          <cell r="G81">
            <v>20893</v>
          </cell>
          <cell r="H81" t="str">
            <v>Nil</v>
          </cell>
          <cell r="I81">
            <v>0</v>
          </cell>
          <cell r="J81">
            <v>0</v>
          </cell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 t="e">
            <v>#DIV/0!</v>
          </cell>
        </row>
        <row r="82">
          <cell r="G82">
            <v>22362</v>
          </cell>
          <cell r="H82" t="str">
            <v>Nil</v>
          </cell>
          <cell r="I82">
            <v>0</v>
          </cell>
          <cell r="J82">
            <v>0</v>
          </cell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 t="e">
            <v>#DIV/0!</v>
          </cell>
        </row>
        <row r="83">
          <cell r="G83">
            <v>22853</v>
          </cell>
          <cell r="H83" t="str">
            <v>Nil</v>
          </cell>
          <cell r="I83">
            <v>0</v>
          </cell>
          <cell r="J83">
            <v>0</v>
          </cell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 t="e">
            <v>#DIV/0!</v>
          </cell>
        </row>
        <row r="84">
          <cell r="G84">
            <v>23537</v>
          </cell>
          <cell r="H84" t="str">
            <v>Nil</v>
          </cell>
          <cell r="I84">
            <v>0</v>
          </cell>
          <cell r="J84">
            <v>0</v>
          </cell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 t="e">
            <v>#DIV/0!</v>
          </cell>
        </row>
      </sheetData>
      <sheetData sheetId="6"/>
      <sheetData sheetId="7">
        <row r="1">
          <cell r="G1" t="str">
            <v>KO Code</v>
          </cell>
          <cell r="H1" t="str">
            <v>TXN Category</v>
          </cell>
          <cell r="I1" t="str">
            <v>Month</v>
          </cell>
          <cell r="J1" t="str">
            <v>Target</v>
          </cell>
          <cell r="K1">
            <v>45383</v>
          </cell>
          <cell r="L1">
            <v>45413</v>
          </cell>
          <cell r="M1">
            <v>45444</v>
          </cell>
          <cell r="N1">
            <v>45474</v>
          </cell>
          <cell r="O1">
            <v>45505</v>
          </cell>
          <cell r="P1">
            <v>45536</v>
          </cell>
          <cell r="Q1">
            <v>45566</v>
          </cell>
          <cell r="R1">
            <v>45597</v>
          </cell>
          <cell r="S1">
            <v>45627</v>
          </cell>
          <cell r="T1">
            <v>45658</v>
          </cell>
          <cell r="U1">
            <v>45689</v>
          </cell>
          <cell r="V1">
            <v>45717</v>
          </cell>
          <cell r="W1" t="str">
            <v>Total Comm</v>
          </cell>
          <cell r="X1" t="str">
            <v>Average</v>
          </cell>
        </row>
        <row r="2">
          <cell r="G2">
            <v>27220</v>
          </cell>
          <cell r="H2" t="str">
            <v>&gt; 300</v>
          </cell>
          <cell r="I2">
            <v>3</v>
          </cell>
          <cell r="J2">
            <v>72</v>
          </cell>
          <cell r="K2"/>
          <cell r="L2"/>
          <cell r="M2"/>
          <cell r="N2"/>
          <cell r="O2"/>
          <cell r="P2"/>
          <cell r="Q2"/>
          <cell r="R2"/>
          <cell r="S2"/>
          <cell r="T2">
            <v>122</v>
          </cell>
          <cell r="U2">
            <v>192</v>
          </cell>
          <cell r="V2">
            <v>28</v>
          </cell>
          <cell r="W2">
            <v>342</v>
          </cell>
          <cell r="X2">
            <v>114</v>
          </cell>
        </row>
        <row r="3">
          <cell r="G3">
            <v>21926</v>
          </cell>
          <cell r="H3" t="str">
            <v>&gt; 300</v>
          </cell>
          <cell r="I3">
            <v>12</v>
          </cell>
          <cell r="J3">
            <v>288</v>
          </cell>
          <cell r="K3">
            <v>24</v>
          </cell>
          <cell r="L3">
            <v>30</v>
          </cell>
          <cell r="M3">
            <v>43</v>
          </cell>
          <cell r="N3">
            <v>23</v>
          </cell>
          <cell r="O3">
            <v>13</v>
          </cell>
          <cell r="P3">
            <v>9</v>
          </cell>
          <cell r="Q3">
            <v>19</v>
          </cell>
          <cell r="R3">
            <v>24</v>
          </cell>
          <cell r="S3">
            <v>16</v>
          </cell>
          <cell r="T3">
            <v>17</v>
          </cell>
          <cell r="U3">
            <v>32</v>
          </cell>
          <cell r="V3">
            <v>42</v>
          </cell>
          <cell r="W3">
            <v>292</v>
          </cell>
          <cell r="X3">
            <v>24.333333333333332</v>
          </cell>
        </row>
        <row r="4">
          <cell r="G4">
            <v>21091</v>
          </cell>
          <cell r="H4" t="str">
            <v>&gt; 150</v>
          </cell>
          <cell r="I4">
            <v>12</v>
          </cell>
          <cell r="J4">
            <v>288</v>
          </cell>
          <cell r="K4">
            <v>12</v>
          </cell>
          <cell r="L4">
            <v>11</v>
          </cell>
          <cell r="M4">
            <v>15</v>
          </cell>
          <cell r="N4">
            <v>11</v>
          </cell>
          <cell r="O4">
            <v>16</v>
          </cell>
          <cell r="P4">
            <v>26</v>
          </cell>
          <cell r="Q4">
            <v>5</v>
          </cell>
          <cell r="R4">
            <v>19</v>
          </cell>
          <cell r="S4">
            <v>48</v>
          </cell>
          <cell r="T4">
            <v>36</v>
          </cell>
          <cell r="U4">
            <v>16</v>
          </cell>
          <cell r="V4">
            <v>35</v>
          </cell>
          <cell r="W4">
            <v>250</v>
          </cell>
          <cell r="X4">
            <v>20.833333333333332</v>
          </cell>
        </row>
        <row r="5">
          <cell r="G5">
            <v>22346</v>
          </cell>
          <cell r="H5" t="str">
            <v>&gt; 900</v>
          </cell>
          <cell r="I5">
            <v>12</v>
          </cell>
          <cell r="J5">
            <v>288</v>
          </cell>
          <cell r="K5">
            <v>27</v>
          </cell>
          <cell r="L5">
            <v>12</v>
          </cell>
          <cell r="M5">
            <v>31</v>
          </cell>
          <cell r="N5">
            <v>24</v>
          </cell>
          <cell r="O5">
            <v>24</v>
          </cell>
          <cell r="P5">
            <v>13</v>
          </cell>
          <cell r="Q5">
            <v>23</v>
          </cell>
          <cell r="R5">
            <v>11</v>
          </cell>
          <cell r="S5">
            <v>22</v>
          </cell>
          <cell r="T5">
            <v>20</v>
          </cell>
          <cell r="U5">
            <v>17</v>
          </cell>
          <cell r="V5">
            <v>18</v>
          </cell>
          <cell r="W5">
            <v>242</v>
          </cell>
          <cell r="X5">
            <v>20.166666666666668</v>
          </cell>
        </row>
        <row r="6">
          <cell r="G6">
            <v>23178</v>
          </cell>
          <cell r="H6" t="str">
            <v>&gt; 600</v>
          </cell>
          <cell r="I6">
            <v>12</v>
          </cell>
          <cell r="J6">
            <v>288</v>
          </cell>
          <cell r="K6">
            <v>13</v>
          </cell>
          <cell r="L6">
            <v>16</v>
          </cell>
          <cell r="M6">
            <v>21</v>
          </cell>
          <cell r="N6">
            <v>27</v>
          </cell>
          <cell r="O6">
            <v>15</v>
          </cell>
          <cell r="P6">
            <v>8</v>
          </cell>
          <cell r="Q6">
            <v>16</v>
          </cell>
          <cell r="R6">
            <v>11</v>
          </cell>
          <cell r="S6">
            <v>14</v>
          </cell>
          <cell r="T6">
            <v>34</v>
          </cell>
          <cell r="U6">
            <v>17</v>
          </cell>
          <cell r="V6">
            <v>19</v>
          </cell>
          <cell r="W6">
            <v>211</v>
          </cell>
          <cell r="X6">
            <v>17.583333333333332</v>
          </cell>
        </row>
        <row r="7">
          <cell r="G7">
            <v>22073</v>
          </cell>
          <cell r="H7" t="str">
            <v>&gt; 2000</v>
          </cell>
          <cell r="I7">
            <v>12</v>
          </cell>
          <cell r="J7">
            <v>288</v>
          </cell>
          <cell r="K7">
            <v>17</v>
          </cell>
          <cell r="L7">
            <v>12</v>
          </cell>
          <cell r="M7">
            <v>15</v>
          </cell>
          <cell r="N7">
            <v>15</v>
          </cell>
          <cell r="O7">
            <v>12</v>
          </cell>
          <cell r="P7">
            <v>13</v>
          </cell>
          <cell r="Q7">
            <v>6</v>
          </cell>
          <cell r="R7">
            <v>11</v>
          </cell>
          <cell r="S7">
            <v>27</v>
          </cell>
          <cell r="T7">
            <v>10</v>
          </cell>
          <cell r="U7">
            <v>32</v>
          </cell>
          <cell r="V7">
            <v>16</v>
          </cell>
          <cell r="W7">
            <v>186</v>
          </cell>
          <cell r="X7">
            <v>15.5</v>
          </cell>
        </row>
        <row r="8">
          <cell r="G8">
            <v>21999</v>
          </cell>
          <cell r="H8" t="str">
            <v>&gt; 900</v>
          </cell>
          <cell r="I8">
            <v>12</v>
          </cell>
          <cell r="J8">
            <v>288</v>
          </cell>
          <cell r="K8">
            <v>8</v>
          </cell>
          <cell r="L8">
            <v>15</v>
          </cell>
          <cell r="M8">
            <v>26</v>
          </cell>
          <cell r="N8">
            <v>10</v>
          </cell>
          <cell r="O8">
            <v>9</v>
          </cell>
          <cell r="P8">
            <v>8</v>
          </cell>
          <cell r="Q8">
            <v>10</v>
          </cell>
          <cell r="R8">
            <v>12</v>
          </cell>
          <cell r="S8">
            <v>27</v>
          </cell>
          <cell r="T8">
            <v>17</v>
          </cell>
          <cell r="U8">
            <v>14</v>
          </cell>
          <cell r="V8">
            <v>29</v>
          </cell>
          <cell r="W8">
            <v>185</v>
          </cell>
          <cell r="X8">
            <v>15.416666666666666</v>
          </cell>
        </row>
        <row r="9">
          <cell r="G9">
            <v>25557</v>
          </cell>
          <cell r="H9" t="str">
            <v>&lt; 150</v>
          </cell>
          <cell r="I9">
            <v>12</v>
          </cell>
          <cell r="J9">
            <v>288</v>
          </cell>
          <cell r="K9">
            <v>14</v>
          </cell>
          <cell r="L9">
            <v>12</v>
          </cell>
          <cell r="M9">
            <v>13</v>
          </cell>
          <cell r="N9">
            <v>15</v>
          </cell>
          <cell r="O9">
            <v>11</v>
          </cell>
          <cell r="P9">
            <v>15</v>
          </cell>
          <cell r="Q9">
            <v>19</v>
          </cell>
          <cell r="R9">
            <v>17</v>
          </cell>
          <cell r="S9">
            <v>13</v>
          </cell>
          <cell r="T9">
            <v>13</v>
          </cell>
          <cell r="U9">
            <v>20</v>
          </cell>
          <cell r="V9">
            <v>14</v>
          </cell>
          <cell r="W9">
            <v>176</v>
          </cell>
          <cell r="X9">
            <v>14.666666666666666</v>
          </cell>
        </row>
        <row r="10">
          <cell r="G10">
            <v>21583</v>
          </cell>
          <cell r="H10" t="str">
            <v>&gt; 900</v>
          </cell>
          <cell r="I10">
            <v>12</v>
          </cell>
          <cell r="J10">
            <v>288</v>
          </cell>
          <cell r="K10">
            <v>8</v>
          </cell>
          <cell r="L10">
            <v>10</v>
          </cell>
          <cell r="M10">
            <v>14</v>
          </cell>
          <cell r="N10">
            <v>10</v>
          </cell>
          <cell r="O10">
            <v>6</v>
          </cell>
          <cell r="P10">
            <v>3</v>
          </cell>
          <cell r="Q10">
            <v>9</v>
          </cell>
          <cell r="R10">
            <v>11</v>
          </cell>
          <cell r="S10">
            <v>13</v>
          </cell>
          <cell r="T10">
            <v>6</v>
          </cell>
          <cell r="U10">
            <v>37</v>
          </cell>
          <cell r="V10">
            <v>14</v>
          </cell>
          <cell r="W10">
            <v>141</v>
          </cell>
          <cell r="X10">
            <v>11.75</v>
          </cell>
        </row>
        <row r="11">
          <cell r="G11">
            <v>23142</v>
          </cell>
          <cell r="H11" t="str">
            <v>&gt; 300</v>
          </cell>
          <cell r="I11">
            <v>12</v>
          </cell>
          <cell r="J11">
            <v>288</v>
          </cell>
          <cell r="K11"/>
          <cell r="L11"/>
          <cell r="M11">
            <v>4</v>
          </cell>
          <cell r="N11">
            <v>1</v>
          </cell>
          <cell r="O11">
            <v>3</v>
          </cell>
          <cell r="P11">
            <v>8</v>
          </cell>
          <cell r="Q11">
            <v>8</v>
          </cell>
          <cell r="R11">
            <v>1</v>
          </cell>
          <cell r="S11">
            <v>10</v>
          </cell>
          <cell r="T11">
            <v>20</v>
          </cell>
          <cell r="U11">
            <v>60</v>
          </cell>
          <cell r="V11">
            <v>26</v>
          </cell>
          <cell r="W11">
            <v>141</v>
          </cell>
          <cell r="X11">
            <v>11.75</v>
          </cell>
        </row>
        <row r="12">
          <cell r="G12">
            <v>22126</v>
          </cell>
          <cell r="H12" t="str">
            <v>&gt; 1500</v>
          </cell>
          <cell r="I12">
            <v>12</v>
          </cell>
          <cell r="J12">
            <v>288</v>
          </cell>
          <cell r="K12">
            <v>4</v>
          </cell>
          <cell r="L12">
            <v>3</v>
          </cell>
          <cell r="M12">
            <v>11</v>
          </cell>
          <cell r="N12">
            <v>3</v>
          </cell>
          <cell r="O12">
            <v>5</v>
          </cell>
          <cell r="P12">
            <v>1</v>
          </cell>
          <cell r="Q12">
            <v>3</v>
          </cell>
          <cell r="R12">
            <v>7</v>
          </cell>
          <cell r="S12">
            <v>16</v>
          </cell>
          <cell r="T12">
            <v>14</v>
          </cell>
          <cell r="U12">
            <v>61</v>
          </cell>
          <cell r="V12">
            <v>3</v>
          </cell>
          <cell r="W12">
            <v>131</v>
          </cell>
          <cell r="X12">
            <v>10.916666666666666</v>
          </cell>
        </row>
        <row r="13">
          <cell r="G13">
            <v>26588</v>
          </cell>
          <cell r="H13" t="str">
            <v>&lt; 150</v>
          </cell>
          <cell r="I13">
            <v>7</v>
          </cell>
          <cell r="J13">
            <v>168</v>
          </cell>
          <cell r="K13"/>
          <cell r="L13"/>
          <cell r="M13"/>
          <cell r="N13"/>
          <cell r="O13"/>
          <cell r="P13"/>
          <cell r="Q13">
            <v>15</v>
          </cell>
          <cell r="R13">
            <v>32</v>
          </cell>
          <cell r="S13">
            <v>19</v>
          </cell>
          <cell r="T13">
            <v>20</v>
          </cell>
          <cell r="U13">
            <v>20</v>
          </cell>
          <cell r="V13">
            <v>23</v>
          </cell>
          <cell r="W13">
            <v>129</v>
          </cell>
          <cell r="X13">
            <v>18.428571428571427</v>
          </cell>
        </row>
        <row r="14">
          <cell r="G14">
            <v>22401</v>
          </cell>
          <cell r="H14" t="str">
            <v>&gt; 150</v>
          </cell>
          <cell r="I14">
            <v>12</v>
          </cell>
          <cell r="J14">
            <v>288</v>
          </cell>
          <cell r="K14">
            <v>11</v>
          </cell>
          <cell r="L14">
            <v>6</v>
          </cell>
          <cell r="M14">
            <v>17</v>
          </cell>
          <cell r="N14">
            <v>7</v>
          </cell>
          <cell r="O14">
            <v>12</v>
          </cell>
          <cell r="P14">
            <v>8</v>
          </cell>
          <cell r="Q14">
            <v>7</v>
          </cell>
          <cell r="R14">
            <v>8</v>
          </cell>
          <cell r="S14">
            <v>24</v>
          </cell>
          <cell r="T14">
            <v>4</v>
          </cell>
          <cell r="U14">
            <v>3</v>
          </cell>
          <cell r="V14">
            <v>21</v>
          </cell>
          <cell r="W14">
            <v>128</v>
          </cell>
          <cell r="X14">
            <v>10.666666666666666</v>
          </cell>
        </row>
        <row r="15">
          <cell r="G15">
            <v>26399</v>
          </cell>
          <cell r="H15" t="str">
            <v>&gt; 450</v>
          </cell>
          <cell r="I15">
            <v>7</v>
          </cell>
          <cell r="J15">
            <v>168</v>
          </cell>
          <cell r="K15"/>
          <cell r="L15"/>
          <cell r="M15"/>
          <cell r="N15"/>
          <cell r="O15"/>
          <cell r="P15"/>
          <cell r="Q15">
            <v>14</v>
          </cell>
          <cell r="R15">
            <v>13</v>
          </cell>
          <cell r="S15">
            <v>23</v>
          </cell>
          <cell r="T15">
            <v>18</v>
          </cell>
          <cell r="U15">
            <v>11</v>
          </cell>
          <cell r="V15">
            <v>23</v>
          </cell>
          <cell r="W15">
            <v>102</v>
          </cell>
          <cell r="X15">
            <v>14.571428571428571</v>
          </cell>
        </row>
        <row r="16">
          <cell r="G16">
            <v>26084</v>
          </cell>
          <cell r="H16" t="str">
            <v>&gt; 150</v>
          </cell>
          <cell r="I16">
            <v>9</v>
          </cell>
          <cell r="J16">
            <v>216</v>
          </cell>
          <cell r="K16"/>
          <cell r="L16"/>
          <cell r="M16"/>
          <cell r="N16">
            <v>1</v>
          </cell>
          <cell r="O16">
            <v>3</v>
          </cell>
          <cell r="P16">
            <v>9</v>
          </cell>
          <cell r="Q16">
            <v>5</v>
          </cell>
          <cell r="R16">
            <v>2</v>
          </cell>
          <cell r="S16">
            <v>10</v>
          </cell>
          <cell r="T16">
            <v>15</v>
          </cell>
          <cell r="U16">
            <v>15</v>
          </cell>
          <cell r="V16">
            <v>31</v>
          </cell>
          <cell r="W16">
            <v>91</v>
          </cell>
          <cell r="X16">
            <v>10.111111111111111</v>
          </cell>
        </row>
        <row r="17">
          <cell r="G17">
            <v>22400</v>
          </cell>
          <cell r="H17" t="str">
            <v>&gt; 300</v>
          </cell>
          <cell r="I17">
            <v>12</v>
          </cell>
          <cell r="J17">
            <v>288</v>
          </cell>
          <cell r="K17">
            <v>5</v>
          </cell>
          <cell r="L17">
            <v>7</v>
          </cell>
          <cell r="M17">
            <v>11</v>
          </cell>
          <cell r="N17">
            <v>16</v>
          </cell>
          <cell r="O17">
            <v>11</v>
          </cell>
          <cell r="P17">
            <v>2</v>
          </cell>
          <cell r="Q17">
            <v>9</v>
          </cell>
          <cell r="R17">
            <v>4</v>
          </cell>
          <cell r="S17">
            <v>9</v>
          </cell>
          <cell r="T17">
            <v>8</v>
          </cell>
          <cell r="U17">
            <v>4</v>
          </cell>
          <cell r="V17">
            <v>3</v>
          </cell>
          <cell r="W17">
            <v>89</v>
          </cell>
          <cell r="X17">
            <v>7.416666666666667</v>
          </cell>
        </row>
        <row r="18">
          <cell r="G18">
            <v>22404</v>
          </cell>
          <cell r="H18" t="str">
            <v>&gt; 300</v>
          </cell>
          <cell r="I18">
            <v>12</v>
          </cell>
          <cell r="J18">
            <v>288</v>
          </cell>
          <cell r="K18">
            <v>5</v>
          </cell>
          <cell r="L18">
            <v>5</v>
          </cell>
          <cell r="M18">
            <v>13</v>
          </cell>
          <cell r="N18">
            <v>5</v>
          </cell>
          <cell r="O18">
            <v>7</v>
          </cell>
          <cell r="P18">
            <v>7</v>
          </cell>
          <cell r="Q18">
            <v>2</v>
          </cell>
          <cell r="R18">
            <v>8</v>
          </cell>
          <cell r="S18">
            <v>5</v>
          </cell>
          <cell r="T18">
            <v>10</v>
          </cell>
          <cell r="U18">
            <v>9</v>
          </cell>
          <cell r="V18">
            <v>9</v>
          </cell>
          <cell r="W18">
            <v>85</v>
          </cell>
          <cell r="X18">
            <v>7.083333333333333</v>
          </cell>
        </row>
        <row r="19">
          <cell r="G19">
            <v>23565</v>
          </cell>
          <cell r="H19" t="str">
            <v>&gt; 150</v>
          </cell>
          <cell r="I19">
            <v>12</v>
          </cell>
          <cell r="J19">
            <v>288</v>
          </cell>
          <cell r="K19">
            <v>4</v>
          </cell>
          <cell r="L19">
            <v>6</v>
          </cell>
          <cell r="M19">
            <v>4</v>
          </cell>
          <cell r="N19">
            <v>8</v>
          </cell>
          <cell r="O19">
            <v>4</v>
          </cell>
          <cell r="P19">
            <v>4</v>
          </cell>
          <cell r="Q19">
            <v>6</v>
          </cell>
          <cell r="R19">
            <v>6</v>
          </cell>
          <cell r="S19">
            <v>5</v>
          </cell>
          <cell r="T19">
            <v>15</v>
          </cell>
          <cell r="U19">
            <v>8</v>
          </cell>
          <cell r="V19">
            <v>14</v>
          </cell>
          <cell r="W19">
            <v>84</v>
          </cell>
          <cell r="X19">
            <v>7</v>
          </cell>
        </row>
        <row r="20">
          <cell r="G20">
            <v>23270</v>
          </cell>
          <cell r="H20" t="str">
            <v>&lt; 150</v>
          </cell>
          <cell r="I20">
            <v>12</v>
          </cell>
          <cell r="J20">
            <v>288</v>
          </cell>
          <cell r="K20">
            <v>4</v>
          </cell>
          <cell r="L20">
            <v>6</v>
          </cell>
          <cell r="M20">
            <v>6</v>
          </cell>
          <cell r="N20">
            <v>11</v>
          </cell>
          <cell r="O20">
            <v>5</v>
          </cell>
          <cell r="P20">
            <v>12</v>
          </cell>
          <cell r="Q20">
            <v>6</v>
          </cell>
          <cell r="R20">
            <v>1</v>
          </cell>
          <cell r="S20">
            <v>1</v>
          </cell>
          <cell r="T20">
            <v>11</v>
          </cell>
          <cell r="U20">
            <v>11</v>
          </cell>
          <cell r="V20">
            <v>9</v>
          </cell>
          <cell r="W20">
            <v>83</v>
          </cell>
          <cell r="X20">
            <v>6.916666666666667</v>
          </cell>
        </row>
        <row r="21">
          <cell r="G21">
            <v>23669</v>
          </cell>
          <cell r="H21" t="str">
            <v>&gt; 600</v>
          </cell>
          <cell r="I21">
            <v>12</v>
          </cell>
          <cell r="J21">
            <v>288</v>
          </cell>
          <cell r="K21">
            <v>12</v>
          </cell>
          <cell r="L21">
            <v>5</v>
          </cell>
          <cell r="M21">
            <v>12</v>
          </cell>
          <cell r="N21">
            <v>2</v>
          </cell>
          <cell r="O21">
            <v>4</v>
          </cell>
          <cell r="P21">
            <v>4</v>
          </cell>
          <cell r="Q21">
            <v>2</v>
          </cell>
          <cell r="R21">
            <v>4</v>
          </cell>
          <cell r="S21">
            <v>7</v>
          </cell>
          <cell r="T21">
            <v>13</v>
          </cell>
          <cell r="U21">
            <v>3</v>
          </cell>
          <cell r="V21">
            <v>8</v>
          </cell>
          <cell r="W21">
            <v>76</v>
          </cell>
          <cell r="X21">
            <v>6.333333333333333</v>
          </cell>
        </row>
        <row r="22">
          <cell r="G22">
            <v>22789</v>
          </cell>
          <cell r="H22" t="str">
            <v>&gt; 2000</v>
          </cell>
          <cell r="I22">
            <v>12</v>
          </cell>
          <cell r="J22">
            <v>288</v>
          </cell>
          <cell r="K22">
            <v>2</v>
          </cell>
          <cell r="L22">
            <v>2</v>
          </cell>
          <cell r="M22">
            <v>3</v>
          </cell>
          <cell r="N22">
            <v>2</v>
          </cell>
          <cell r="O22">
            <v>3</v>
          </cell>
          <cell r="P22">
            <v>5</v>
          </cell>
          <cell r="Q22">
            <v>7</v>
          </cell>
          <cell r="R22">
            <v>1</v>
          </cell>
          <cell r="S22">
            <v>13</v>
          </cell>
          <cell r="T22">
            <v>10</v>
          </cell>
          <cell r="U22">
            <v>16</v>
          </cell>
          <cell r="V22">
            <v>12</v>
          </cell>
          <cell r="W22">
            <v>76</v>
          </cell>
          <cell r="X22">
            <v>6.333333333333333</v>
          </cell>
        </row>
        <row r="23">
          <cell r="G23">
            <v>21928</v>
          </cell>
          <cell r="H23" t="str">
            <v>&gt; 300</v>
          </cell>
          <cell r="I23">
            <v>10</v>
          </cell>
          <cell r="J23">
            <v>240</v>
          </cell>
          <cell r="K23">
            <v>12</v>
          </cell>
          <cell r="L23">
            <v>14</v>
          </cell>
          <cell r="M23"/>
          <cell r="N23"/>
          <cell r="O23"/>
          <cell r="P23">
            <v>3</v>
          </cell>
          <cell r="Q23">
            <v>3</v>
          </cell>
          <cell r="R23">
            <v>2</v>
          </cell>
          <cell r="S23">
            <v>10</v>
          </cell>
          <cell r="T23">
            <v>9</v>
          </cell>
          <cell r="U23">
            <v>9</v>
          </cell>
          <cell r="V23">
            <v>11</v>
          </cell>
          <cell r="W23">
            <v>73</v>
          </cell>
          <cell r="X23">
            <v>7.3</v>
          </cell>
        </row>
        <row r="24">
          <cell r="G24">
            <v>23214</v>
          </cell>
          <cell r="H24" t="str">
            <v>&lt; 150</v>
          </cell>
          <cell r="I24">
            <v>12</v>
          </cell>
          <cell r="J24">
            <v>288</v>
          </cell>
          <cell r="K24">
            <v>8</v>
          </cell>
          <cell r="L24">
            <v>2</v>
          </cell>
          <cell r="M24">
            <v>3</v>
          </cell>
          <cell r="N24">
            <v>6</v>
          </cell>
          <cell r="O24">
            <v>3</v>
          </cell>
          <cell r="P24"/>
          <cell r="Q24"/>
          <cell r="R24">
            <v>4</v>
          </cell>
          <cell r="S24">
            <v>13</v>
          </cell>
          <cell r="T24">
            <v>16</v>
          </cell>
          <cell r="U24">
            <v>10</v>
          </cell>
          <cell r="V24">
            <v>7</v>
          </cell>
          <cell r="W24">
            <v>72</v>
          </cell>
          <cell r="X24">
            <v>6</v>
          </cell>
        </row>
        <row r="25">
          <cell r="G25">
            <v>24153</v>
          </cell>
          <cell r="H25" t="str">
            <v>&gt; 600</v>
          </cell>
          <cell r="I25">
            <v>12</v>
          </cell>
          <cell r="J25">
            <v>288</v>
          </cell>
          <cell r="K25">
            <v>8</v>
          </cell>
          <cell r="L25">
            <v>5</v>
          </cell>
          <cell r="M25">
            <v>7</v>
          </cell>
          <cell r="N25">
            <v>7</v>
          </cell>
          <cell r="O25">
            <v>8</v>
          </cell>
          <cell r="P25">
            <v>3</v>
          </cell>
          <cell r="Q25">
            <v>4</v>
          </cell>
          <cell r="R25">
            <v>4</v>
          </cell>
          <cell r="S25">
            <v>11</v>
          </cell>
          <cell r="T25">
            <v>6</v>
          </cell>
          <cell r="U25">
            <v>2</v>
          </cell>
          <cell r="V25">
            <v>4</v>
          </cell>
          <cell r="W25">
            <v>69</v>
          </cell>
          <cell r="X25">
            <v>5.75</v>
          </cell>
        </row>
        <row r="26">
          <cell r="G26">
            <v>22366</v>
          </cell>
          <cell r="H26" t="str">
            <v>&gt; 150</v>
          </cell>
          <cell r="I26">
            <v>12</v>
          </cell>
          <cell r="J26">
            <v>288</v>
          </cell>
          <cell r="K26">
            <v>1</v>
          </cell>
          <cell r="L26">
            <v>7</v>
          </cell>
          <cell r="M26">
            <v>3</v>
          </cell>
          <cell r="N26">
            <v>11</v>
          </cell>
          <cell r="O26">
            <v>6</v>
          </cell>
          <cell r="P26">
            <v>2</v>
          </cell>
          <cell r="Q26">
            <v>8</v>
          </cell>
          <cell r="R26">
            <v>2</v>
          </cell>
          <cell r="S26">
            <v>9</v>
          </cell>
          <cell r="T26">
            <v>8</v>
          </cell>
          <cell r="U26">
            <v>7</v>
          </cell>
          <cell r="V26">
            <v>2</v>
          </cell>
          <cell r="W26">
            <v>66</v>
          </cell>
          <cell r="X26">
            <v>5.5</v>
          </cell>
        </row>
        <row r="27">
          <cell r="G27">
            <v>27372</v>
          </cell>
          <cell r="H27" t="str">
            <v>&gt; 150</v>
          </cell>
          <cell r="I27">
            <v>3</v>
          </cell>
          <cell r="J27">
            <v>72</v>
          </cell>
          <cell r="K27"/>
          <cell r="L27"/>
          <cell r="M27"/>
          <cell r="N27"/>
          <cell r="O27"/>
          <cell r="P27"/>
          <cell r="Q27"/>
          <cell r="R27"/>
          <cell r="S27"/>
          <cell r="T27">
            <v>5</v>
          </cell>
          <cell r="U27">
            <v>40</v>
          </cell>
          <cell r="V27">
            <v>21</v>
          </cell>
          <cell r="W27">
            <v>66</v>
          </cell>
          <cell r="X27">
            <v>22</v>
          </cell>
        </row>
        <row r="28">
          <cell r="G28">
            <v>22128</v>
          </cell>
          <cell r="H28" t="str">
            <v>&gt; 450</v>
          </cell>
          <cell r="I28">
            <v>12</v>
          </cell>
          <cell r="J28">
            <v>288</v>
          </cell>
          <cell r="K28">
            <v>1</v>
          </cell>
          <cell r="L28">
            <v>9</v>
          </cell>
          <cell r="M28">
            <v>12</v>
          </cell>
          <cell r="N28">
            <v>2</v>
          </cell>
          <cell r="O28">
            <v>7</v>
          </cell>
          <cell r="P28">
            <v>5</v>
          </cell>
          <cell r="Q28">
            <v>5</v>
          </cell>
          <cell r="R28">
            <v>2</v>
          </cell>
          <cell r="S28">
            <v>11</v>
          </cell>
          <cell r="T28">
            <v>1</v>
          </cell>
          <cell r="U28">
            <v>2</v>
          </cell>
          <cell r="V28">
            <v>8</v>
          </cell>
          <cell r="W28">
            <v>65</v>
          </cell>
          <cell r="X28">
            <v>5.416666666666667</v>
          </cell>
        </row>
        <row r="29">
          <cell r="G29">
            <v>20509</v>
          </cell>
          <cell r="H29" t="str">
            <v>&gt; 600</v>
          </cell>
          <cell r="I29">
            <v>12</v>
          </cell>
          <cell r="J29">
            <v>288</v>
          </cell>
          <cell r="K29">
            <v>5</v>
          </cell>
          <cell r="L29">
            <v>6</v>
          </cell>
          <cell r="M29">
            <v>17</v>
          </cell>
          <cell r="N29">
            <v>7</v>
          </cell>
          <cell r="O29">
            <v>5</v>
          </cell>
          <cell r="P29">
            <v>4</v>
          </cell>
          <cell r="Q29">
            <v>4</v>
          </cell>
          <cell r="R29">
            <v>2</v>
          </cell>
          <cell r="S29">
            <v>6</v>
          </cell>
          <cell r="T29">
            <v>2</v>
          </cell>
          <cell r="U29">
            <v>1</v>
          </cell>
          <cell r="V29">
            <v>5</v>
          </cell>
          <cell r="W29">
            <v>64</v>
          </cell>
          <cell r="X29">
            <v>5.333333333333333</v>
          </cell>
        </row>
        <row r="30">
          <cell r="G30">
            <v>22768</v>
          </cell>
          <cell r="H30" t="str">
            <v>&gt; 150</v>
          </cell>
          <cell r="I30">
            <v>12</v>
          </cell>
          <cell r="J30">
            <v>288</v>
          </cell>
          <cell r="K30">
            <v>4</v>
          </cell>
          <cell r="L30">
            <v>4</v>
          </cell>
          <cell r="M30">
            <v>16</v>
          </cell>
          <cell r="N30">
            <v>8</v>
          </cell>
          <cell r="O30">
            <v>2</v>
          </cell>
          <cell r="P30">
            <v>3</v>
          </cell>
          <cell r="Q30">
            <v>2</v>
          </cell>
          <cell r="R30">
            <v>4</v>
          </cell>
          <cell r="S30">
            <v>14</v>
          </cell>
          <cell r="T30">
            <v>3</v>
          </cell>
          <cell r="U30">
            <v>1</v>
          </cell>
          <cell r="V30"/>
          <cell r="W30">
            <v>61</v>
          </cell>
          <cell r="X30">
            <v>5.083333333333333</v>
          </cell>
        </row>
        <row r="31">
          <cell r="G31">
            <v>26015</v>
          </cell>
          <cell r="H31" t="str">
            <v>&gt; 150</v>
          </cell>
          <cell r="I31">
            <v>9</v>
          </cell>
          <cell r="J31">
            <v>216</v>
          </cell>
          <cell r="K31"/>
          <cell r="L31"/>
          <cell r="M31"/>
          <cell r="N31"/>
          <cell r="O31"/>
          <cell r="P31"/>
          <cell r="Q31">
            <v>8</v>
          </cell>
          <cell r="R31">
            <v>10</v>
          </cell>
          <cell r="S31">
            <v>16</v>
          </cell>
          <cell r="T31">
            <v>12</v>
          </cell>
          <cell r="U31">
            <v>4</v>
          </cell>
          <cell r="V31">
            <v>10</v>
          </cell>
          <cell r="W31">
            <v>60</v>
          </cell>
          <cell r="X31">
            <v>6.666666666666667</v>
          </cell>
        </row>
        <row r="32">
          <cell r="G32">
            <v>26403</v>
          </cell>
          <cell r="H32" t="str">
            <v>&gt; 300</v>
          </cell>
          <cell r="I32">
            <v>7</v>
          </cell>
          <cell r="J32">
            <v>168</v>
          </cell>
          <cell r="K32"/>
          <cell r="L32"/>
          <cell r="M32"/>
          <cell r="N32"/>
          <cell r="O32"/>
          <cell r="P32">
            <v>1</v>
          </cell>
          <cell r="Q32">
            <v>5</v>
          </cell>
          <cell r="R32">
            <v>7</v>
          </cell>
          <cell r="S32">
            <v>19</v>
          </cell>
          <cell r="T32">
            <v>4</v>
          </cell>
          <cell r="U32">
            <v>16</v>
          </cell>
          <cell r="V32">
            <v>7</v>
          </cell>
          <cell r="W32">
            <v>59</v>
          </cell>
          <cell r="X32">
            <v>8.4285714285714288</v>
          </cell>
        </row>
        <row r="33">
          <cell r="G33">
            <v>22773</v>
          </cell>
          <cell r="H33" t="str">
            <v>&gt; 300</v>
          </cell>
          <cell r="I33">
            <v>12</v>
          </cell>
          <cell r="J33">
            <v>288</v>
          </cell>
          <cell r="K33">
            <v>9</v>
          </cell>
          <cell r="L33">
            <v>4</v>
          </cell>
          <cell r="M33">
            <v>3</v>
          </cell>
          <cell r="N33">
            <v>2</v>
          </cell>
          <cell r="O33">
            <v>2</v>
          </cell>
          <cell r="P33">
            <v>1</v>
          </cell>
          <cell r="Q33">
            <v>2</v>
          </cell>
          <cell r="R33">
            <v>4</v>
          </cell>
          <cell r="S33">
            <v>8</v>
          </cell>
          <cell r="T33">
            <v>12</v>
          </cell>
          <cell r="U33">
            <v>7</v>
          </cell>
          <cell r="V33">
            <v>4</v>
          </cell>
          <cell r="W33">
            <v>58</v>
          </cell>
          <cell r="X33">
            <v>4.833333333333333</v>
          </cell>
        </row>
        <row r="34">
          <cell r="G34">
            <v>21929</v>
          </cell>
          <cell r="H34" t="str">
            <v>&lt; 150</v>
          </cell>
          <cell r="I34">
            <v>12</v>
          </cell>
          <cell r="J34">
            <v>288</v>
          </cell>
          <cell r="K34">
            <v>1</v>
          </cell>
          <cell r="L34">
            <v>29</v>
          </cell>
          <cell r="M34">
            <v>4</v>
          </cell>
          <cell r="N34">
            <v>6</v>
          </cell>
          <cell r="O34">
            <v>16</v>
          </cell>
          <cell r="P34">
            <v>1</v>
          </cell>
          <cell r="Q34"/>
          <cell r="R34"/>
          <cell r="S34"/>
          <cell r="T34"/>
          <cell r="U34"/>
          <cell r="V34"/>
          <cell r="W34">
            <v>57</v>
          </cell>
          <cell r="X34">
            <v>4.75</v>
          </cell>
        </row>
        <row r="35">
          <cell r="G35">
            <v>21998</v>
          </cell>
          <cell r="H35" t="str">
            <v>&gt; 900</v>
          </cell>
          <cell r="I35">
            <v>12</v>
          </cell>
          <cell r="J35">
            <v>288</v>
          </cell>
          <cell r="K35">
            <v>2</v>
          </cell>
          <cell r="L35">
            <v>5</v>
          </cell>
          <cell r="M35">
            <v>4</v>
          </cell>
          <cell r="N35">
            <v>3</v>
          </cell>
          <cell r="O35">
            <v>6</v>
          </cell>
          <cell r="P35">
            <v>5</v>
          </cell>
          <cell r="Q35">
            <v>2</v>
          </cell>
          <cell r="R35">
            <v>5</v>
          </cell>
          <cell r="S35">
            <v>7</v>
          </cell>
          <cell r="T35">
            <v>4</v>
          </cell>
          <cell r="U35">
            <v>10</v>
          </cell>
          <cell r="V35">
            <v>4</v>
          </cell>
          <cell r="W35">
            <v>57</v>
          </cell>
          <cell r="X35">
            <v>4.75</v>
          </cell>
        </row>
        <row r="36">
          <cell r="G36">
            <v>22402</v>
          </cell>
          <cell r="H36" t="str">
            <v>&gt; 150</v>
          </cell>
          <cell r="I36">
            <v>12</v>
          </cell>
          <cell r="J36">
            <v>288</v>
          </cell>
          <cell r="K36">
            <v>3</v>
          </cell>
          <cell r="L36">
            <v>4</v>
          </cell>
          <cell r="M36">
            <v>9</v>
          </cell>
          <cell r="N36">
            <v>3</v>
          </cell>
          <cell r="O36">
            <v>5</v>
          </cell>
          <cell r="P36">
            <v>3</v>
          </cell>
          <cell r="Q36">
            <v>7</v>
          </cell>
          <cell r="R36">
            <v>2</v>
          </cell>
          <cell r="S36">
            <v>10</v>
          </cell>
          <cell r="T36">
            <v>4</v>
          </cell>
          <cell r="U36">
            <v>2</v>
          </cell>
          <cell r="V36">
            <v>3</v>
          </cell>
          <cell r="W36">
            <v>55</v>
          </cell>
          <cell r="X36">
            <v>4.583333333333333</v>
          </cell>
        </row>
        <row r="37">
          <cell r="G37">
            <v>20503</v>
          </cell>
          <cell r="H37" t="str">
            <v>&lt; 150</v>
          </cell>
          <cell r="I37">
            <v>12</v>
          </cell>
          <cell r="J37">
            <v>288</v>
          </cell>
          <cell r="K37">
            <v>3</v>
          </cell>
          <cell r="L37">
            <v>4</v>
          </cell>
          <cell r="M37">
            <v>6</v>
          </cell>
          <cell r="N37">
            <v>9</v>
          </cell>
          <cell r="O37">
            <v>5</v>
          </cell>
          <cell r="P37">
            <v>1</v>
          </cell>
          <cell r="Q37">
            <v>5</v>
          </cell>
          <cell r="R37">
            <v>6</v>
          </cell>
          <cell r="S37">
            <v>4</v>
          </cell>
          <cell r="T37">
            <v>2</v>
          </cell>
          <cell r="U37">
            <v>1</v>
          </cell>
          <cell r="V37">
            <v>9</v>
          </cell>
          <cell r="W37">
            <v>55</v>
          </cell>
          <cell r="X37">
            <v>4.583333333333333</v>
          </cell>
        </row>
        <row r="38">
          <cell r="G38">
            <v>23969</v>
          </cell>
          <cell r="H38" t="str">
            <v>&gt; 450</v>
          </cell>
          <cell r="I38">
            <v>12</v>
          </cell>
          <cell r="J38">
            <v>288</v>
          </cell>
          <cell r="K38">
            <v>4</v>
          </cell>
          <cell r="L38">
            <v>6</v>
          </cell>
          <cell r="M38">
            <v>6</v>
          </cell>
          <cell r="N38">
            <v>5</v>
          </cell>
          <cell r="O38">
            <v>2</v>
          </cell>
          <cell r="P38">
            <v>1</v>
          </cell>
          <cell r="Q38">
            <v>4</v>
          </cell>
          <cell r="R38">
            <v>2</v>
          </cell>
          <cell r="S38">
            <v>6</v>
          </cell>
          <cell r="T38">
            <v>10</v>
          </cell>
          <cell r="U38">
            <v>3</v>
          </cell>
          <cell r="V38">
            <v>3</v>
          </cell>
          <cell r="W38">
            <v>52</v>
          </cell>
          <cell r="X38">
            <v>4.333333333333333</v>
          </cell>
        </row>
        <row r="39">
          <cell r="G39">
            <v>26810</v>
          </cell>
          <cell r="H39" t="str">
            <v>&gt; 150</v>
          </cell>
          <cell r="I39">
            <v>4</v>
          </cell>
          <cell r="J39">
            <v>96</v>
          </cell>
          <cell r="K39"/>
          <cell r="L39"/>
          <cell r="M39"/>
          <cell r="N39"/>
          <cell r="O39"/>
          <cell r="P39"/>
          <cell r="Q39"/>
          <cell r="R39"/>
          <cell r="S39">
            <v>7</v>
          </cell>
          <cell r="T39">
            <v>9</v>
          </cell>
          <cell r="U39">
            <v>18</v>
          </cell>
          <cell r="V39">
            <v>17</v>
          </cell>
          <cell r="W39">
            <v>51</v>
          </cell>
          <cell r="X39">
            <v>12.75</v>
          </cell>
        </row>
        <row r="40">
          <cell r="G40">
            <v>22365</v>
          </cell>
          <cell r="H40" t="str">
            <v>&gt; 450</v>
          </cell>
          <cell r="I40">
            <v>12</v>
          </cell>
          <cell r="J40">
            <v>288</v>
          </cell>
          <cell r="K40">
            <v>1</v>
          </cell>
          <cell r="L40">
            <v>2</v>
          </cell>
          <cell r="M40">
            <v>3</v>
          </cell>
          <cell r="N40">
            <v>4</v>
          </cell>
          <cell r="O40"/>
          <cell r="P40">
            <v>1</v>
          </cell>
          <cell r="Q40">
            <v>1</v>
          </cell>
          <cell r="R40">
            <v>1</v>
          </cell>
          <cell r="S40">
            <v>13</v>
          </cell>
          <cell r="T40">
            <v>4</v>
          </cell>
          <cell r="U40">
            <v>8</v>
          </cell>
          <cell r="V40">
            <v>10</v>
          </cell>
          <cell r="W40">
            <v>48</v>
          </cell>
          <cell r="X40">
            <v>4</v>
          </cell>
        </row>
        <row r="41">
          <cell r="G41">
            <v>22131</v>
          </cell>
          <cell r="H41" t="str">
            <v>&gt; 1500</v>
          </cell>
          <cell r="I41">
            <v>12</v>
          </cell>
          <cell r="J41">
            <v>288</v>
          </cell>
          <cell r="K41">
            <v>2</v>
          </cell>
          <cell r="L41">
            <v>5</v>
          </cell>
          <cell r="M41">
            <v>3</v>
          </cell>
          <cell r="N41">
            <v>3</v>
          </cell>
          <cell r="O41">
            <v>5</v>
          </cell>
          <cell r="P41">
            <v>7</v>
          </cell>
          <cell r="Q41"/>
          <cell r="R41">
            <v>3</v>
          </cell>
          <cell r="S41">
            <v>3</v>
          </cell>
          <cell r="T41">
            <v>2</v>
          </cell>
          <cell r="U41">
            <v>4</v>
          </cell>
          <cell r="V41">
            <v>6</v>
          </cell>
          <cell r="W41">
            <v>43</v>
          </cell>
          <cell r="X41">
            <v>3.5833333333333335</v>
          </cell>
        </row>
        <row r="42">
          <cell r="G42">
            <v>27219</v>
          </cell>
          <cell r="H42" t="str">
            <v>&gt; 150</v>
          </cell>
          <cell r="I42">
            <v>3</v>
          </cell>
          <cell r="J42">
            <v>72</v>
          </cell>
          <cell r="K42"/>
          <cell r="L42"/>
          <cell r="M42"/>
          <cell r="N42"/>
          <cell r="O42"/>
          <cell r="P42"/>
          <cell r="Q42"/>
          <cell r="R42"/>
          <cell r="S42"/>
          <cell r="T42">
            <v>10</v>
          </cell>
          <cell r="U42">
            <v>16</v>
          </cell>
          <cell r="V42">
            <v>17</v>
          </cell>
          <cell r="W42">
            <v>43</v>
          </cell>
          <cell r="X42">
            <v>14.333333333333334</v>
          </cell>
        </row>
        <row r="43">
          <cell r="G43">
            <v>23431</v>
          </cell>
          <cell r="H43" t="str">
            <v>&gt; 150</v>
          </cell>
          <cell r="I43">
            <v>12</v>
          </cell>
          <cell r="J43">
            <v>288</v>
          </cell>
          <cell r="K43"/>
          <cell r="L43"/>
          <cell r="M43">
            <v>3</v>
          </cell>
          <cell r="N43">
            <v>3</v>
          </cell>
          <cell r="O43">
            <v>1</v>
          </cell>
          <cell r="P43"/>
          <cell r="Q43"/>
          <cell r="R43">
            <v>7</v>
          </cell>
          <cell r="S43">
            <v>3</v>
          </cell>
          <cell r="T43">
            <v>10</v>
          </cell>
          <cell r="U43">
            <v>13</v>
          </cell>
          <cell r="V43">
            <v>2</v>
          </cell>
          <cell r="W43">
            <v>42</v>
          </cell>
          <cell r="X43">
            <v>3.5</v>
          </cell>
        </row>
        <row r="44">
          <cell r="G44">
            <v>20322</v>
          </cell>
          <cell r="H44" t="str">
            <v>&gt; 450</v>
          </cell>
          <cell r="I44">
            <v>12</v>
          </cell>
          <cell r="J44">
            <v>288</v>
          </cell>
          <cell r="K44">
            <v>4</v>
          </cell>
          <cell r="L44">
            <v>2</v>
          </cell>
          <cell r="M44">
            <v>11</v>
          </cell>
          <cell r="N44">
            <v>2</v>
          </cell>
          <cell r="O44">
            <v>3</v>
          </cell>
          <cell r="P44">
            <v>1</v>
          </cell>
          <cell r="Q44"/>
          <cell r="R44">
            <v>4</v>
          </cell>
          <cell r="S44">
            <v>3</v>
          </cell>
          <cell r="T44">
            <v>2</v>
          </cell>
          <cell r="U44">
            <v>4</v>
          </cell>
          <cell r="V44">
            <v>1</v>
          </cell>
          <cell r="W44">
            <v>37</v>
          </cell>
          <cell r="X44">
            <v>3.0833333333333335</v>
          </cell>
        </row>
        <row r="45">
          <cell r="G45">
            <v>24527</v>
          </cell>
          <cell r="H45" t="str">
            <v>&lt; 150</v>
          </cell>
          <cell r="I45">
            <v>12</v>
          </cell>
          <cell r="J45">
            <v>288</v>
          </cell>
          <cell r="K45">
            <v>2</v>
          </cell>
          <cell r="L45">
            <v>1</v>
          </cell>
          <cell r="M45">
            <v>5</v>
          </cell>
          <cell r="N45">
            <v>2</v>
          </cell>
          <cell r="O45">
            <v>2</v>
          </cell>
          <cell r="P45">
            <v>2</v>
          </cell>
          <cell r="Q45">
            <v>9</v>
          </cell>
          <cell r="R45">
            <v>7</v>
          </cell>
          <cell r="S45">
            <v>1</v>
          </cell>
          <cell r="T45">
            <v>2</v>
          </cell>
          <cell r="U45">
            <v>2</v>
          </cell>
          <cell r="V45">
            <v>2</v>
          </cell>
          <cell r="W45">
            <v>37</v>
          </cell>
          <cell r="X45">
            <v>3.0833333333333335</v>
          </cell>
        </row>
        <row r="46">
          <cell r="G46">
            <v>24494</v>
          </cell>
          <cell r="H46" t="str">
            <v>&gt; 150</v>
          </cell>
          <cell r="I46">
            <v>12</v>
          </cell>
          <cell r="J46">
            <v>288</v>
          </cell>
          <cell r="K46">
            <v>11</v>
          </cell>
          <cell r="L46">
            <v>1</v>
          </cell>
          <cell r="M46">
            <v>2</v>
          </cell>
          <cell r="N46">
            <v>1</v>
          </cell>
          <cell r="O46">
            <v>2</v>
          </cell>
          <cell r="P46">
            <v>1</v>
          </cell>
          <cell r="Q46">
            <v>2</v>
          </cell>
          <cell r="R46"/>
          <cell r="S46">
            <v>4</v>
          </cell>
          <cell r="T46"/>
          <cell r="U46">
            <v>10</v>
          </cell>
          <cell r="V46">
            <v>1</v>
          </cell>
          <cell r="W46">
            <v>35</v>
          </cell>
          <cell r="X46">
            <v>2.9166666666666665</v>
          </cell>
        </row>
        <row r="47">
          <cell r="G47">
            <v>22002</v>
          </cell>
          <cell r="H47" t="str">
            <v>&lt; 150</v>
          </cell>
          <cell r="I47">
            <v>7</v>
          </cell>
          <cell r="J47">
            <v>168</v>
          </cell>
          <cell r="K47">
            <v>8</v>
          </cell>
          <cell r="L47">
            <v>2</v>
          </cell>
          <cell r="M47">
            <v>2</v>
          </cell>
          <cell r="N47">
            <v>11</v>
          </cell>
          <cell r="O47">
            <v>5</v>
          </cell>
          <cell r="P47">
            <v>4</v>
          </cell>
          <cell r="Q47">
            <v>3</v>
          </cell>
          <cell r="R47"/>
          <cell r="S47"/>
          <cell r="T47"/>
          <cell r="U47"/>
          <cell r="V47"/>
          <cell r="W47">
            <v>35</v>
          </cell>
          <cell r="X47">
            <v>5</v>
          </cell>
        </row>
        <row r="48">
          <cell r="G48">
            <v>20983</v>
          </cell>
          <cell r="H48" t="str">
            <v>&gt; 450</v>
          </cell>
          <cell r="I48">
            <v>12</v>
          </cell>
          <cell r="J48">
            <v>288</v>
          </cell>
          <cell r="K48"/>
          <cell r="L48">
            <v>1</v>
          </cell>
          <cell r="M48">
            <v>4</v>
          </cell>
          <cell r="N48">
            <v>1</v>
          </cell>
          <cell r="O48">
            <v>3</v>
          </cell>
          <cell r="P48">
            <v>1</v>
          </cell>
          <cell r="Q48">
            <v>4</v>
          </cell>
          <cell r="R48">
            <v>3</v>
          </cell>
          <cell r="S48">
            <v>5</v>
          </cell>
          <cell r="T48">
            <v>8</v>
          </cell>
          <cell r="U48">
            <v>1</v>
          </cell>
          <cell r="V48">
            <v>2</v>
          </cell>
          <cell r="W48">
            <v>33</v>
          </cell>
          <cell r="X48">
            <v>2.75</v>
          </cell>
        </row>
        <row r="49">
          <cell r="G49">
            <v>23433</v>
          </cell>
          <cell r="H49" t="str">
            <v>&gt; 300</v>
          </cell>
          <cell r="I49">
            <v>12</v>
          </cell>
          <cell r="J49">
            <v>288</v>
          </cell>
          <cell r="K49">
            <v>1</v>
          </cell>
          <cell r="L49">
            <v>3</v>
          </cell>
          <cell r="M49">
            <v>8</v>
          </cell>
          <cell r="N49">
            <v>2</v>
          </cell>
          <cell r="O49">
            <v>2</v>
          </cell>
          <cell r="P49">
            <v>2</v>
          </cell>
          <cell r="Q49">
            <v>2</v>
          </cell>
          <cell r="R49">
            <v>3</v>
          </cell>
          <cell r="S49">
            <v>1</v>
          </cell>
          <cell r="T49">
            <v>3</v>
          </cell>
          <cell r="U49">
            <v>4</v>
          </cell>
          <cell r="V49"/>
          <cell r="W49">
            <v>31</v>
          </cell>
          <cell r="X49">
            <v>2.5833333333333335</v>
          </cell>
        </row>
        <row r="50">
          <cell r="G50">
            <v>22361</v>
          </cell>
          <cell r="H50" t="str">
            <v>&gt; 150</v>
          </cell>
          <cell r="I50">
            <v>12</v>
          </cell>
          <cell r="J50">
            <v>288</v>
          </cell>
          <cell r="K50">
            <v>1</v>
          </cell>
          <cell r="L50">
            <v>1</v>
          </cell>
          <cell r="M50">
            <v>5</v>
          </cell>
          <cell r="N50">
            <v>1</v>
          </cell>
          <cell r="O50">
            <v>2</v>
          </cell>
          <cell r="P50"/>
          <cell r="Q50">
            <v>1</v>
          </cell>
          <cell r="R50"/>
          <cell r="S50">
            <v>5</v>
          </cell>
          <cell r="T50">
            <v>2</v>
          </cell>
          <cell r="U50">
            <v>10</v>
          </cell>
          <cell r="V50">
            <v>2</v>
          </cell>
          <cell r="W50">
            <v>30</v>
          </cell>
          <cell r="X50">
            <v>2.5</v>
          </cell>
        </row>
        <row r="51">
          <cell r="G51">
            <v>24495</v>
          </cell>
          <cell r="H51" t="str">
            <v>&gt; 150</v>
          </cell>
          <cell r="I51">
            <v>12</v>
          </cell>
          <cell r="J51">
            <v>288</v>
          </cell>
          <cell r="K51">
            <v>4</v>
          </cell>
          <cell r="L51">
            <v>6</v>
          </cell>
          <cell r="M51">
            <v>2</v>
          </cell>
          <cell r="N51">
            <v>1</v>
          </cell>
          <cell r="O51">
            <v>1</v>
          </cell>
          <cell r="P51"/>
          <cell r="Q51">
            <v>2</v>
          </cell>
          <cell r="R51">
            <v>6</v>
          </cell>
          <cell r="S51">
            <v>2</v>
          </cell>
          <cell r="T51">
            <v>4</v>
          </cell>
          <cell r="U51"/>
          <cell r="V51">
            <v>1</v>
          </cell>
          <cell r="W51">
            <v>29</v>
          </cell>
          <cell r="X51">
            <v>2.4166666666666665</v>
          </cell>
        </row>
        <row r="52">
          <cell r="G52">
            <v>22130</v>
          </cell>
          <cell r="H52" t="str">
            <v>&gt; 150</v>
          </cell>
          <cell r="I52">
            <v>12</v>
          </cell>
          <cell r="J52">
            <v>288</v>
          </cell>
          <cell r="K52">
            <v>3</v>
          </cell>
          <cell r="L52"/>
          <cell r="M52">
            <v>1</v>
          </cell>
          <cell r="N52">
            <v>2</v>
          </cell>
          <cell r="O52">
            <v>2</v>
          </cell>
          <cell r="P52"/>
          <cell r="Q52"/>
          <cell r="R52"/>
          <cell r="S52"/>
          <cell r="T52">
            <v>2</v>
          </cell>
          <cell r="U52">
            <v>6</v>
          </cell>
          <cell r="V52">
            <v>6</v>
          </cell>
          <cell r="W52">
            <v>22</v>
          </cell>
          <cell r="X52">
            <v>1.8333333333333333</v>
          </cell>
        </row>
        <row r="53">
          <cell r="G53">
            <v>27154</v>
          </cell>
          <cell r="H53" t="str">
            <v>&lt; 150</v>
          </cell>
          <cell r="I53">
            <v>3</v>
          </cell>
          <cell r="J53">
            <v>72</v>
          </cell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>
            <v>7</v>
          </cell>
          <cell r="V53">
            <v>15</v>
          </cell>
          <cell r="W53">
            <v>22</v>
          </cell>
          <cell r="X53">
            <v>7.333333333333333</v>
          </cell>
        </row>
        <row r="54">
          <cell r="G54">
            <v>23429</v>
          </cell>
          <cell r="H54" t="str">
            <v>&gt; 600</v>
          </cell>
          <cell r="I54">
            <v>12</v>
          </cell>
          <cell r="J54">
            <v>288</v>
          </cell>
          <cell r="K54"/>
          <cell r="L54"/>
          <cell r="M54">
            <v>3</v>
          </cell>
          <cell r="N54">
            <v>1</v>
          </cell>
          <cell r="O54"/>
          <cell r="P54">
            <v>1</v>
          </cell>
          <cell r="Q54">
            <v>5</v>
          </cell>
          <cell r="R54"/>
          <cell r="S54">
            <v>1</v>
          </cell>
          <cell r="T54">
            <v>1</v>
          </cell>
          <cell r="U54">
            <v>7</v>
          </cell>
          <cell r="V54">
            <v>2</v>
          </cell>
          <cell r="W54">
            <v>21</v>
          </cell>
          <cell r="X54">
            <v>1.75</v>
          </cell>
        </row>
        <row r="55">
          <cell r="G55">
            <v>27249</v>
          </cell>
          <cell r="H55" t="str">
            <v>&lt; 150</v>
          </cell>
          <cell r="I55">
            <v>3</v>
          </cell>
          <cell r="J55">
            <v>72</v>
          </cell>
          <cell r="K55"/>
          <cell r="L55"/>
          <cell r="M55"/>
          <cell r="N55"/>
          <cell r="O55"/>
          <cell r="P55"/>
          <cell r="Q55"/>
          <cell r="R55"/>
          <cell r="S55"/>
          <cell r="T55">
            <v>1</v>
          </cell>
          <cell r="U55">
            <v>12</v>
          </cell>
          <cell r="V55">
            <v>8</v>
          </cell>
          <cell r="W55">
            <v>21</v>
          </cell>
          <cell r="X55">
            <v>7</v>
          </cell>
        </row>
        <row r="56">
          <cell r="G56">
            <v>27437</v>
          </cell>
          <cell r="H56" t="str">
            <v>&lt; 150</v>
          </cell>
          <cell r="I56">
            <v>2</v>
          </cell>
          <cell r="J56">
            <v>48</v>
          </cell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>
            <v>9</v>
          </cell>
          <cell r="V56">
            <v>11</v>
          </cell>
          <cell r="W56">
            <v>20</v>
          </cell>
          <cell r="X56">
            <v>10</v>
          </cell>
        </row>
        <row r="57">
          <cell r="G57">
            <v>27028</v>
          </cell>
          <cell r="H57" t="str">
            <v>&gt; 150</v>
          </cell>
          <cell r="I57">
            <v>4</v>
          </cell>
          <cell r="J57">
            <v>96</v>
          </cell>
          <cell r="K57"/>
          <cell r="L57"/>
          <cell r="M57"/>
          <cell r="N57"/>
          <cell r="O57"/>
          <cell r="P57"/>
          <cell r="Q57"/>
          <cell r="R57"/>
          <cell r="S57"/>
          <cell r="T57">
            <v>5</v>
          </cell>
          <cell r="U57">
            <v>7</v>
          </cell>
          <cell r="V57">
            <v>7</v>
          </cell>
          <cell r="W57">
            <v>19</v>
          </cell>
          <cell r="X57">
            <v>4.75</v>
          </cell>
        </row>
        <row r="58">
          <cell r="G58">
            <v>24437</v>
          </cell>
          <cell r="H58" t="str">
            <v>&lt; 150</v>
          </cell>
          <cell r="I58">
            <v>5</v>
          </cell>
          <cell r="J58">
            <v>120</v>
          </cell>
          <cell r="K58">
            <v>3</v>
          </cell>
          <cell r="L58">
            <v>5</v>
          </cell>
          <cell r="M58">
            <v>7</v>
          </cell>
          <cell r="N58">
            <v>2</v>
          </cell>
          <cell r="O58">
            <v>1</v>
          </cell>
          <cell r="P58"/>
          <cell r="Q58"/>
          <cell r="R58"/>
          <cell r="S58"/>
          <cell r="T58"/>
          <cell r="U58"/>
          <cell r="V58"/>
          <cell r="W58">
            <v>18</v>
          </cell>
          <cell r="X58">
            <v>3.6</v>
          </cell>
        </row>
        <row r="59">
          <cell r="G59">
            <v>26530</v>
          </cell>
          <cell r="H59" t="str">
            <v>&lt; 150</v>
          </cell>
          <cell r="I59">
            <v>6</v>
          </cell>
          <cell r="J59">
            <v>144</v>
          </cell>
          <cell r="K59"/>
          <cell r="L59"/>
          <cell r="M59"/>
          <cell r="N59"/>
          <cell r="O59"/>
          <cell r="P59"/>
          <cell r="Q59">
            <v>3</v>
          </cell>
          <cell r="R59">
            <v>3</v>
          </cell>
          <cell r="S59">
            <v>3</v>
          </cell>
          <cell r="T59"/>
          <cell r="U59">
            <v>1</v>
          </cell>
          <cell r="V59">
            <v>3</v>
          </cell>
          <cell r="W59">
            <v>13</v>
          </cell>
          <cell r="X59">
            <v>2.1666666666666665</v>
          </cell>
        </row>
        <row r="60">
          <cell r="G60">
            <v>26501</v>
          </cell>
          <cell r="H60" t="str">
            <v>&gt; 600</v>
          </cell>
          <cell r="I60">
            <v>4</v>
          </cell>
          <cell r="J60">
            <v>96</v>
          </cell>
          <cell r="K60"/>
          <cell r="L60"/>
          <cell r="M60"/>
          <cell r="N60"/>
          <cell r="O60"/>
          <cell r="P60"/>
          <cell r="Q60"/>
          <cell r="R60"/>
          <cell r="S60"/>
          <cell r="T60">
            <v>6</v>
          </cell>
          <cell r="U60">
            <v>2</v>
          </cell>
          <cell r="V60">
            <v>3</v>
          </cell>
          <cell r="W60">
            <v>11</v>
          </cell>
          <cell r="X60">
            <v>2.75</v>
          </cell>
        </row>
        <row r="61">
          <cell r="G61">
            <v>22453</v>
          </cell>
          <cell r="H61" t="str">
            <v>&lt; 150</v>
          </cell>
          <cell r="I61">
            <v>12</v>
          </cell>
          <cell r="J61">
            <v>288</v>
          </cell>
          <cell r="K61">
            <v>1</v>
          </cell>
          <cell r="L61"/>
          <cell r="M61">
            <v>1</v>
          </cell>
          <cell r="N61">
            <v>1</v>
          </cell>
          <cell r="O61">
            <v>1</v>
          </cell>
          <cell r="P61"/>
          <cell r="Q61"/>
          <cell r="R61"/>
          <cell r="S61">
            <v>3</v>
          </cell>
          <cell r="T61"/>
          <cell r="U61"/>
          <cell r="V61">
            <v>1</v>
          </cell>
          <cell r="W61">
            <v>8</v>
          </cell>
          <cell r="X61">
            <v>0.66666666666666663</v>
          </cell>
        </row>
        <row r="62">
          <cell r="G62">
            <v>22775</v>
          </cell>
          <cell r="H62" t="str">
            <v>&lt; 150</v>
          </cell>
          <cell r="I62">
            <v>9</v>
          </cell>
          <cell r="J62">
            <v>216</v>
          </cell>
          <cell r="K62">
            <v>5</v>
          </cell>
          <cell r="L62"/>
          <cell r="M62"/>
          <cell r="N62">
            <v>2</v>
          </cell>
          <cell r="O62"/>
          <cell r="P62"/>
          <cell r="Q62"/>
          <cell r="R62"/>
          <cell r="S62"/>
          <cell r="T62"/>
          <cell r="U62"/>
          <cell r="V62"/>
          <cell r="W62">
            <v>7</v>
          </cell>
          <cell r="X62">
            <v>0.77777777777777779</v>
          </cell>
        </row>
        <row r="63">
          <cell r="G63">
            <v>23432</v>
          </cell>
          <cell r="H63" t="str">
            <v>&gt; 300</v>
          </cell>
          <cell r="I63">
            <v>12</v>
          </cell>
          <cell r="J63">
            <v>288</v>
          </cell>
          <cell r="K63"/>
          <cell r="L63">
            <v>1</v>
          </cell>
          <cell r="M63">
            <v>2</v>
          </cell>
          <cell r="N63"/>
          <cell r="O63"/>
          <cell r="P63"/>
          <cell r="Q63"/>
          <cell r="R63"/>
          <cell r="S63"/>
          <cell r="T63">
            <v>1</v>
          </cell>
          <cell r="U63">
            <v>2</v>
          </cell>
          <cell r="V63">
            <v>1</v>
          </cell>
          <cell r="W63">
            <v>7</v>
          </cell>
          <cell r="X63">
            <v>0.58333333333333337</v>
          </cell>
        </row>
        <row r="64">
          <cell r="G64">
            <v>22424</v>
          </cell>
          <cell r="H64" t="str">
            <v>&gt; 150</v>
          </cell>
          <cell r="I64">
            <v>3</v>
          </cell>
          <cell r="J64">
            <v>72</v>
          </cell>
          <cell r="K64">
            <v>7</v>
          </cell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>
            <v>7</v>
          </cell>
          <cell r="X64">
            <v>2.3333333333333335</v>
          </cell>
        </row>
        <row r="65">
          <cell r="G65">
            <v>22771</v>
          </cell>
          <cell r="H65" t="str">
            <v>&lt; 150</v>
          </cell>
          <cell r="I65">
            <v>12</v>
          </cell>
          <cell r="J65">
            <v>288</v>
          </cell>
          <cell r="K65"/>
          <cell r="L65"/>
          <cell r="M65"/>
          <cell r="N65">
            <v>2</v>
          </cell>
          <cell r="O65"/>
          <cell r="P65">
            <v>3</v>
          </cell>
          <cell r="Q65">
            <v>1</v>
          </cell>
          <cell r="R65"/>
          <cell r="S65"/>
          <cell r="T65"/>
          <cell r="U65"/>
          <cell r="V65"/>
          <cell r="W65">
            <v>6</v>
          </cell>
          <cell r="X65">
            <v>0.5</v>
          </cell>
        </row>
        <row r="66">
          <cell r="G66">
            <v>23560</v>
          </cell>
          <cell r="H66" t="str">
            <v>&gt; 300</v>
          </cell>
          <cell r="I66">
            <v>12</v>
          </cell>
          <cell r="J66">
            <v>288</v>
          </cell>
          <cell r="K66"/>
          <cell r="L66"/>
          <cell r="M66"/>
          <cell r="N66"/>
          <cell r="O66">
            <v>1</v>
          </cell>
          <cell r="P66">
            <v>2</v>
          </cell>
          <cell r="Q66"/>
          <cell r="R66">
            <v>1</v>
          </cell>
          <cell r="S66"/>
          <cell r="T66">
            <v>1</v>
          </cell>
          <cell r="U66"/>
          <cell r="V66">
            <v>1</v>
          </cell>
          <cell r="W66">
            <v>6</v>
          </cell>
          <cell r="X66">
            <v>0.5</v>
          </cell>
        </row>
        <row r="67">
          <cell r="G67">
            <v>27252</v>
          </cell>
          <cell r="H67" t="str">
            <v>&lt; 150</v>
          </cell>
          <cell r="I67">
            <v>3</v>
          </cell>
          <cell r="J67">
            <v>72</v>
          </cell>
          <cell r="K67"/>
          <cell r="L67"/>
          <cell r="M67"/>
          <cell r="N67"/>
          <cell r="O67"/>
          <cell r="P67"/>
          <cell r="Q67"/>
          <cell r="R67"/>
          <cell r="S67"/>
          <cell r="T67">
            <v>1</v>
          </cell>
          <cell r="U67"/>
          <cell r="V67">
            <v>5</v>
          </cell>
          <cell r="W67">
            <v>6</v>
          </cell>
          <cell r="X67">
            <v>2</v>
          </cell>
        </row>
        <row r="68">
          <cell r="G68">
            <v>21675</v>
          </cell>
          <cell r="H68" t="str">
            <v>&lt; 150</v>
          </cell>
          <cell r="I68">
            <v>9</v>
          </cell>
          <cell r="J68">
            <v>216</v>
          </cell>
          <cell r="K68">
            <v>2</v>
          </cell>
          <cell r="L68"/>
          <cell r="M68">
            <v>2</v>
          </cell>
          <cell r="N68"/>
          <cell r="O68">
            <v>1</v>
          </cell>
          <cell r="P68"/>
          <cell r="Q68"/>
          <cell r="R68"/>
          <cell r="S68"/>
          <cell r="T68"/>
          <cell r="U68"/>
          <cell r="V68"/>
          <cell r="W68">
            <v>5</v>
          </cell>
          <cell r="X68">
            <v>0.55555555555555558</v>
          </cell>
        </row>
        <row r="69">
          <cell r="G69">
            <v>26507</v>
          </cell>
          <cell r="H69" t="str">
            <v>&lt; 150</v>
          </cell>
          <cell r="I69">
            <v>5</v>
          </cell>
          <cell r="J69">
            <v>120</v>
          </cell>
          <cell r="K69"/>
          <cell r="L69"/>
          <cell r="M69"/>
          <cell r="N69"/>
          <cell r="O69"/>
          <cell r="P69"/>
          <cell r="Q69"/>
          <cell r="R69"/>
          <cell r="S69"/>
          <cell r="T69">
            <v>1</v>
          </cell>
          <cell r="U69">
            <v>2</v>
          </cell>
          <cell r="V69"/>
          <cell r="W69">
            <v>3</v>
          </cell>
          <cell r="X69">
            <v>0.6</v>
          </cell>
        </row>
        <row r="70">
          <cell r="G70">
            <v>26881</v>
          </cell>
          <cell r="H70" t="str">
            <v>&lt; 150</v>
          </cell>
          <cell r="I70">
            <v>4</v>
          </cell>
          <cell r="J70">
            <v>96</v>
          </cell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>
            <v>3</v>
          </cell>
          <cell r="V70"/>
          <cell r="W70">
            <v>3</v>
          </cell>
          <cell r="X70">
            <v>0.75</v>
          </cell>
        </row>
        <row r="71">
          <cell r="G71">
            <v>26595</v>
          </cell>
          <cell r="H71" t="str">
            <v>&lt; 150</v>
          </cell>
          <cell r="I71">
            <v>7</v>
          </cell>
          <cell r="J71">
            <v>168</v>
          </cell>
          <cell r="K71"/>
          <cell r="L71"/>
          <cell r="M71"/>
          <cell r="N71"/>
          <cell r="O71"/>
          <cell r="P71"/>
          <cell r="Q71">
            <v>1</v>
          </cell>
          <cell r="R71"/>
          <cell r="S71"/>
          <cell r="T71"/>
          <cell r="U71">
            <v>1</v>
          </cell>
          <cell r="V71"/>
          <cell r="W71">
            <v>2</v>
          </cell>
          <cell r="X71">
            <v>0.2857142857142857</v>
          </cell>
        </row>
        <row r="72">
          <cell r="G72">
            <v>22000</v>
          </cell>
          <cell r="H72" t="str">
            <v>&lt; 150</v>
          </cell>
          <cell r="I72">
            <v>8</v>
          </cell>
          <cell r="J72">
            <v>192</v>
          </cell>
          <cell r="K72"/>
          <cell r="L72">
            <v>2</v>
          </cell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>
            <v>2</v>
          </cell>
          <cell r="X72">
            <v>0.25</v>
          </cell>
        </row>
        <row r="73">
          <cell r="G73">
            <v>20502</v>
          </cell>
          <cell r="H73" t="str">
            <v>&lt; 150</v>
          </cell>
          <cell r="I73">
            <v>10</v>
          </cell>
          <cell r="J73">
            <v>240</v>
          </cell>
          <cell r="K73"/>
          <cell r="L73"/>
          <cell r="M73">
            <v>1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>
            <v>1</v>
          </cell>
          <cell r="X73">
            <v>0.1</v>
          </cell>
        </row>
        <row r="74">
          <cell r="G74">
            <v>23147</v>
          </cell>
          <cell r="H74" t="str">
            <v>&gt; 300</v>
          </cell>
          <cell r="I74">
            <v>12</v>
          </cell>
          <cell r="J74">
            <v>288</v>
          </cell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>
            <v>0</v>
          </cell>
        </row>
        <row r="75">
          <cell r="G75">
            <v>22452</v>
          </cell>
          <cell r="H75" t="str">
            <v>&lt; 150</v>
          </cell>
          <cell r="I75">
            <v>6</v>
          </cell>
          <cell r="J75">
            <v>144</v>
          </cell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>
            <v>0</v>
          </cell>
        </row>
        <row r="76">
          <cell r="G76">
            <v>21925</v>
          </cell>
          <cell r="H76" t="str">
            <v>&lt; 150</v>
          </cell>
          <cell r="I76">
            <v>7</v>
          </cell>
          <cell r="J76">
            <v>168</v>
          </cell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>
            <v>0</v>
          </cell>
        </row>
        <row r="77">
          <cell r="G77">
            <v>23146</v>
          </cell>
          <cell r="H77" t="str">
            <v>&lt; 150</v>
          </cell>
          <cell r="I77">
            <v>1</v>
          </cell>
          <cell r="J77">
            <v>24</v>
          </cell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>
            <v>0</v>
          </cell>
        </row>
        <row r="78">
          <cell r="G78">
            <v>20894</v>
          </cell>
          <cell r="H78" t="str">
            <v>Nil</v>
          </cell>
          <cell r="I78">
            <v>0</v>
          </cell>
          <cell r="J78">
            <v>0</v>
          </cell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 t="e">
            <v>#DIV/0!</v>
          </cell>
        </row>
        <row r="79">
          <cell r="G79">
            <v>21092</v>
          </cell>
          <cell r="H79" t="str">
            <v>Nil</v>
          </cell>
          <cell r="I79">
            <v>0</v>
          </cell>
          <cell r="J79">
            <v>0</v>
          </cell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 t="e">
            <v>#DIV/0!</v>
          </cell>
        </row>
        <row r="80">
          <cell r="G80">
            <v>24583</v>
          </cell>
          <cell r="H80" t="str">
            <v>Nil</v>
          </cell>
          <cell r="I80">
            <v>0</v>
          </cell>
          <cell r="J80">
            <v>0</v>
          </cell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 t="e">
            <v>#DIV/0!</v>
          </cell>
        </row>
        <row r="81">
          <cell r="G81">
            <v>20893</v>
          </cell>
          <cell r="H81" t="str">
            <v>Nil</v>
          </cell>
          <cell r="I81">
            <v>0</v>
          </cell>
          <cell r="J81">
            <v>0</v>
          </cell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 t="e">
            <v>#DIV/0!</v>
          </cell>
        </row>
        <row r="82">
          <cell r="G82">
            <v>22362</v>
          </cell>
          <cell r="H82" t="str">
            <v>Nil</v>
          </cell>
          <cell r="I82">
            <v>0</v>
          </cell>
          <cell r="J82">
            <v>0</v>
          </cell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 t="e">
            <v>#DIV/0!</v>
          </cell>
        </row>
        <row r="83">
          <cell r="G83">
            <v>22853</v>
          </cell>
          <cell r="H83" t="str">
            <v>Nil</v>
          </cell>
          <cell r="I83">
            <v>0</v>
          </cell>
          <cell r="J83">
            <v>0</v>
          </cell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 t="e">
            <v>#DIV/0!</v>
          </cell>
        </row>
        <row r="84">
          <cell r="G84">
            <v>23537</v>
          </cell>
          <cell r="H84" t="str">
            <v>Nil</v>
          </cell>
          <cell r="I84">
            <v>0</v>
          </cell>
          <cell r="J84">
            <v>0</v>
          </cell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 t="e">
            <v>#DIV/0!</v>
          </cell>
        </row>
      </sheetData>
      <sheetData sheetId="8"/>
      <sheetData sheetId="9">
        <row r="1">
          <cell r="G1" t="str">
            <v>KO Code</v>
          </cell>
          <cell r="H1" t="str">
            <v>TXN Category</v>
          </cell>
          <cell r="I1" t="str">
            <v>Month</v>
          </cell>
          <cell r="J1">
            <v>45383</v>
          </cell>
          <cell r="K1">
            <v>45413</v>
          </cell>
          <cell r="L1">
            <v>45444</v>
          </cell>
          <cell r="M1">
            <v>45474</v>
          </cell>
          <cell r="N1">
            <v>45505</v>
          </cell>
          <cell r="O1">
            <v>45536</v>
          </cell>
          <cell r="P1">
            <v>45566</v>
          </cell>
          <cell r="Q1">
            <v>45597</v>
          </cell>
          <cell r="R1">
            <v>45627</v>
          </cell>
          <cell r="S1">
            <v>45658</v>
          </cell>
          <cell r="T1">
            <v>45689</v>
          </cell>
          <cell r="U1">
            <v>45717</v>
          </cell>
          <cell r="V1" t="str">
            <v>Total Comm</v>
          </cell>
          <cell r="W1" t="str">
            <v>Average</v>
          </cell>
        </row>
        <row r="2">
          <cell r="G2">
            <v>21929</v>
          </cell>
          <cell r="H2" t="str">
            <v>&lt; 150</v>
          </cell>
          <cell r="I2">
            <v>12</v>
          </cell>
          <cell r="J2">
            <v>621.02</v>
          </cell>
          <cell r="K2">
            <v>806.88</v>
          </cell>
          <cell r="L2">
            <v>397.28</v>
          </cell>
          <cell r="M2">
            <v>435.6</v>
          </cell>
          <cell r="N2">
            <v>500.64</v>
          </cell>
          <cell r="O2">
            <v>508.88</v>
          </cell>
          <cell r="P2">
            <v>601.86</v>
          </cell>
          <cell r="Q2">
            <v>53.97</v>
          </cell>
          <cell r="R2">
            <v>203.988</v>
          </cell>
          <cell r="S2">
            <v>145.36000000000001</v>
          </cell>
          <cell r="T2">
            <v>69.8</v>
          </cell>
          <cell r="U2">
            <v>16</v>
          </cell>
          <cell r="V2">
            <v>4361.2780000000002</v>
          </cell>
          <cell r="W2">
            <v>363.43983333333335</v>
          </cell>
        </row>
        <row r="3">
          <cell r="G3">
            <v>26881</v>
          </cell>
          <cell r="H3" t="str">
            <v>&lt; 150</v>
          </cell>
          <cell r="I3">
            <v>4</v>
          </cell>
          <cell r="J3"/>
          <cell r="K3"/>
          <cell r="L3"/>
          <cell r="M3"/>
          <cell r="N3"/>
          <cell r="O3"/>
          <cell r="P3"/>
          <cell r="Q3"/>
          <cell r="R3">
            <v>653.20000000000005</v>
          </cell>
          <cell r="S3">
            <v>1023.5</v>
          </cell>
          <cell r="T3">
            <v>240.6</v>
          </cell>
          <cell r="U3">
            <v>49</v>
          </cell>
          <cell r="V3">
            <v>1966.3</v>
          </cell>
          <cell r="W3">
            <v>491.57499999999999</v>
          </cell>
        </row>
        <row r="4">
          <cell r="G4">
            <v>22771</v>
          </cell>
          <cell r="H4" t="str">
            <v>&lt; 150</v>
          </cell>
          <cell r="I4">
            <v>12</v>
          </cell>
          <cell r="J4">
            <v>214.27</v>
          </cell>
          <cell r="K4">
            <v>72</v>
          </cell>
          <cell r="L4">
            <v>310.2</v>
          </cell>
          <cell r="M4">
            <v>331.4</v>
          </cell>
          <cell r="N4">
            <v>374.6</v>
          </cell>
          <cell r="O4">
            <v>483.6</v>
          </cell>
          <cell r="P4">
            <v>442</v>
          </cell>
          <cell r="Q4">
            <v>523.63</v>
          </cell>
          <cell r="R4">
            <v>169.36</v>
          </cell>
          <cell r="S4">
            <v>230</v>
          </cell>
          <cell r="T4">
            <v>172</v>
          </cell>
          <cell r="U4">
            <v>206</v>
          </cell>
          <cell r="V4">
            <v>3529.0600000000004</v>
          </cell>
          <cell r="W4">
            <v>294.08833333333337</v>
          </cell>
        </row>
        <row r="5">
          <cell r="G5">
            <v>20502</v>
          </cell>
          <cell r="H5" t="str">
            <v>&lt; 150</v>
          </cell>
          <cell r="I5">
            <v>10</v>
          </cell>
          <cell r="J5">
            <v>123.46</v>
          </cell>
          <cell r="K5">
            <v>26.4</v>
          </cell>
          <cell r="L5">
            <v>27.4</v>
          </cell>
          <cell r="M5">
            <v>0.4</v>
          </cell>
          <cell r="N5">
            <v>67.75</v>
          </cell>
          <cell r="O5">
            <v>1.2</v>
          </cell>
          <cell r="P5">
            <v>16</v>
          </cell>
          <cell r="Q5"/>
          <cell r="R5">
            <v>6.12</v>
          </cell>
          <cell r="S5"/>
          <cell r="T5">
            <v>24</v>
          </cell>
          <cell r="U5">
            <v>207.25</v>
          </cell>
          <cell r="V5">
            <v>499.98</v>
          </cell>
          <cell r="W5">
            <v>49.998000000000005</v>
          </cell>
        </row>
        <row r="6">
          <cell r="G6">
            <v>21925</v>
          </cell>
          <cell r="H6" t="str">
            <v>&lt; 150</v>
          </cell>
          <cell r="I6">
            <v>7</v>
          </cell>
          <cell r="J6"/>
          <cell r="K6">
            <v>1.6</v>
          </cell>
          <cell r="L6">
            <v>1.6</v>
          </cell>
          <cell r="M6">
            <v>8.8000000000000007</v>
          </cell>
          <cell r="N6">
            <v>2</v>
          </cell>
          <cell r="O6"/>
          <cell r="P6">
            <v>48.75</v>
          </cell>
          <cell r="Q6">
            <v>1133.02</v>
          </cell>
          <cell r="R6">
            <v>4228.7232000000004</v>
          </cell>
          <cell r="S6"/>
          <cell r="T6"/>
          <cell r="U6">
            <v>219</v>
          </cell>
          <cell r="V6">
            <v>5643.4932000000008</v>
          </cell>
          <cell r="W6">
            <v>806.21331428571443</v>
          </cell>
        </row>
        <row r="7">
          <cell r="G7">
            <v>27252</v>
          </cell>
          <cell r="H7" t="str">
            <v>&lt; 150</v>
          </cell>
          <cell r="I7">
            <v>3</v>
          </cell>
          <cell r="J7"/>
          <cell r="K7"/>
          <cell r="L7"/>
          <cell r="M7"/>
          <cell r="N7"/>
          <cell r="O7"/>
          <cell r="P7"/>
          <cell r="Q7"/>
          <cell r="R7"/>
          <cell r="S7">
            <v>501.2</v>
          </cell>
          <cell r="T7">
            <v>73</v>
          </cell>
          <cell r="U7">
            <v>293</v>
          </cell>
          <cell r="V7">
            <v>867.2</v>
          </cell>
          <cell r="W7">
            <v>289.06666666666666</v>
          </cell>
        </row>
        <row r="8">
          <cell r="G8">
            <v>26595</v>
          </cell>
          <cell r="H8" t="str">
            <v>&lt; 150</v>
          </cell>
          <cell r="I8">
            <v>7</v>
          </cell>
          <cell r="J8"/>
          <cell r="K8"/>
          <cell r="L8"/>
          <cell r="M8"/>
          <cell r="N8"/>
          <cell r="O8">
            <v>18.600000000000001</v>
          </cell>
          <cell r="P8">
            <v>4846</v>
          </cell>
          <cell r="Q8">
            <v>374.41</v>
          </cell>
          <cell r="R8">
            <v>764.92</v>
          </cell>
          <cell r="S8">
            <v>733.2</v>
          </cell>
          <cell r="T8">
            <v>427.8</v>
          </cell>
          <cell r="U8">
            <v>299.75</v>
          </cell>
          <cell r="V8">
            <v>7464.68</v>
          </cell>
          <cell r="W8">
            <v>1066.3828571428571</v>
          </cell>
        </row>
        <row r="9">
          <cell r="G9">
            <v>20503</v>
          </cell>
          <cell r="H9" t="str">
            <v>&lt; 150</v>
          </cell>
          <cell r="I9">
            <v>12</v>
          </cell>
          <cell r="J9">
            <v>307.64</v>
          </cell>
          <cell r="K9">
            <v>471.5</v>
          </cell>
          <cell r="L9">
            <v>427.5</v>
          </cell>
          <cell r="M9">
            <v>649.91000000000008</v>
          </cell>
          <cell r="N9">
            <v>637.29</v>
          </cell>
          <cell r="O9">
            <v>136.19999999999999</v>
          </cell>
          <cell r="P9">
            <v>190.6</v>
          </cell>
          <cell r="Q9">
            <v>431.21</v>
          </cell>
          <cell r="R9">
            <v>641.33000000000004</v>
          </cell>
          <cell r="S9">
            <v>367.8</v>
          </cell>
          <cell r="T9">
            <v>23</v>
          </cell>
          <cell r="U9">
            <v>728.75</v>
          </cell>
          <cell r="V9">
            <v>5012.7299999999996</v>
          </cell>
          <cell r="W9">
            <v>417.72749999999996</v>
          </cell>
        </row>
        <row r="10">
          <cell r="G10">
            <v>22453</v>
          </cell>
          <cell r="H10" t="str">
            <v>&lt; 150</v>
          </cell>
          <cell r="I10">
            <v>12</v>
          </cell>
          <cell r="J10">
            <v>1330.69</v>
          </cell>
          <cell r="K10">
            <v>545.24</v>
          </cell>
          <cell r="L10">
            <v>675.24</v>
          </cell>
          <cell r="M10">
            <v>824.8</v>
          </cell>
          <cell r="N10">
            <v>842.6</v>
          </cell>
          <cell r="O10">
            <v>458.8</v>
          </cell>
          <cell r="P10">
            <v>577.6</v>
          </cell>
          <cell r="Q10">
            <v>362.72</v>
          </cell>
          <cell r="R10">
            <v>615.20000000000005</v>
          </cell>
          <cell r="S10">
            <v>877.8</v>
          </cell>
          <cell r="T10">
            <v>204.6</v>
          </cell>
          <cell r="U10">
            <v>765</v>
          </cell>
          <cell r="V10">
            <v>8080.2900000000018</v>
          </cell>
          <cell r="W10">
            <v>673.35750000000019</v>
          </cell>
        </row>
        <row r="11">
          <cell r="G11">
            <v>27249</v>
          </cell>
          <cell r="H11" t="str">
            <v>&lt; 150</v>
          </cell>
          <cell r="I11">
            <v>3</v>
          </cell>
          <cell r="J11"/>
          <cell r="K11"/>
          <cell r="L11"/>
          <cell r="M11"/>
          <cell r="N11"/>
          <cell r="O11"/>
          <cell r="P11"/>
          <cell r="Q11"/>
          <cell r="R11"/>
          <cell r="S11">
            <v>170.08</v>
          </cell>
          <cell r="T11">
            <v>850.68000000000006</v>
          </cell>
          <cell r="U11">
            <v>770.75</v>
          </cell>
          <cell r="V11">
            <v>1791.5100000000002</v>
          </cell>
          <cell r="W11">
            <v>597.17000000000007</v>
          </cell>
        </row>
        <row r="12">
          <cell r="G12">
            <v>26530</v>
          </cell>
          <cell r="H12" t="str">
            <v>&lt; 150</v>
          </cell>
          <cell r="I12">
            <v>6</v>
          </cell>
          <cell r="J12"/>
          <cell r="K12"/>
          <cell r="L12"/>
          <cell r="M12"/>
          <cell r="N12"/>
          <cell r="O12"/>
          <cell r="P12">
            <v>165.85</v>
          </cell>
          <cell r="Q12">
            <v>560.21</v>
          </cell>
          <cell r="R12">
            <v>857.07079999999996</v>
          </cell>
          <cell r="S12">
            <v>690.88</v>
          </cell>
          <cell r="T12">
            <v>437.4</v>
          </cell>
          <cell r="U12">
            <v>932.5</v>
          </cell>
          <cell r="V12">
            <v>3643.9108000000001</v>
          </cell>
          <cell r="W12">
            <v>607.31846666666672</v>
          </cell>
        </row>
        <row r="13">
          <cell r="G13">
            <v>24494</v>
          </cell>
          <cell r="H13" t="str">
            <v>&gt; 150</v>
          </cell>
          <cell r="I13">
            <v>12</v>
          </cell>
          <cell r="J13">
            <v>1793.45</v>
          </cell>
          <cell r="K13">
            <v>1363.6</v>
          </cell>
          <cell r="L13">
            <v>1640.4</v>
          </cell>
          <cell r="M13">
            <v>1020.2</v>
          </cell>
          <cell r="N13">
            <v>352</v>
          </cell>
          <cell r="O13">
            <v>1618.6</v>
          </cell>
          <cell r="P13">
            <v>1960.6</v>
          </cell>
          <cell r="Q13">
            <v>553.77</v>
          </cell>
          <cell r="R13">
            <v>860.36</v>
          </cell>
          <cell r="S13">
            <v>2163</v>
          </cell>
          <cell r="T13">
            <v>2078.5500000000002</v>
          </cell>
          <cell r="U13">
            <v>946.75</v>
          </cell>
          <cell r="V13">
            <v>16351.280000000002</v>
          </cell>
          <cell r="W13">
            <v>1362.6066666666668</v>
          </cell>
        </row>
        <row r="14">
          <cell r="G14">
            <v>23214</v>
          </cell>
          <cell r="H14" t="str">
            <v>&lt; 150</v>
          </cell>
          <cell r="I14">
            <v>12</v>
          </cell>
          <cell r="J14">
            <v>971.8</v>
          </cell>
          <cell r="K14">
            <v>908.5</v>
          </cell>
          <cell r="L14">
            <v>943</v>
          </cell>
          <cell r="M14">
            <v>946.15</v>
          </cell>
          <cell r="N14">
            <v>990.95</v>
          </cell>
          <cell r="O14">
            <v>410.8</v>
          </cell>
          <cell r="P14">
            <v>284.2</v>
          </cell>
          <cell r="Q14">
            <v>501.68</v>
          </cell>
          <cell r="R14">
            <v>1116.002</v>
          </cell>
          <cell r="S14">
            <v>1274.95</v>
          </cell>
          <cell r="T14">
            <v>875.75</v>
          </cell>
          <cell r="U14">
            <v>949.5</v>
          </cell>
          <cell r="V14">
            <v>10173.282000000001</v>
          </cell>
          <cell r="W14">
            <v>847.77350000000013</v>
          </cell>
        </row>
        <row r="15">
          <cell r="G15">
            <v>22768</v>
          </cell>
          <cell r="H15" t="str">
            <v>&gt; 150</v>
          </cell>
          <cell r="I15">
            <v>12</v>
          </cell>
          <cell r="J15">
            <v>1650.97</v>
          </cell>
          <cell r="K15">
            <v>1592.328</v>
          </cell>
          <cell r="L15">
            <v>2468.8739999999998</v>
          </cell>
          <cell r="M15">
            <v>1212.54</v>
          </cell>
          <cell r="N15">
            <v>1003.34</v>
          </cell>
          <cell r="O15">
            <v>1032.52</v>
          </cell>
          <cell r="P15">
            <v>511.96</v>
          </cell>
          <cell r="Q15">
            <v>647.73</v>
          </cell>
          <cell r="R15">
            <v>1923.5</v>
          </cell>
          <cell r="S15">
            <v>1572.2360000000001</v>
          </cell>
          <cell r="T15">
            <v>839.4</v>
          </cell>
          <cell r="U15">
            <v>1029</v>
          </cell>
          <cell r="V15">
            <v>15484.397999999999</v>
          </cell>
          <cell r="W15">
            <v>1290.3664999999999</v>
          </cell>
        </row>
        <row r="16">
          <cell r="G16">
            <v>27437</v>
          </cell>
          <cell r="H16" t="str">
            <v>&lt; 150</v>
          </cell>
          <cell r="I16">
            <v>2</v>
          </cell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>
            <v>421.78999999999996</v>
          </cell>
          <cell r="U16">
            <v>1087.75</v>
          </cell>
          <cell r="V16">
            <v>1509.54</v>
          </cell>
          <cell r="W16">
            <v>754.77</v>
          </cell>
        </row>
        <row r="17">
          <cell r="G17">
            <v>26507</v>
          </cell>
          <cell r="H17" t="str">
            <v>&lt; 150</v>
          </cell>
          <cell r="I17">
            <v>5</v>
          </cell>
          <cell r="J17"/>
          <cell r="K17"/>
          <cell r="L17"/>
          <cell r="M17"/>
          <cell r="N17"/>
          <cell r="O17"/>
          <cell r="P17"/>
          <cell r="Q17">
            <v>298.01</v>
          </cell>
          <cell r="R17">
            <v>730.38</v>
          </cell>
          <cell r="S17">
            <v>1393.4</v>
          </cell>
          <cell r="T17">
            <v>670.6</v>
          </cell>
          <cell r="U17">
            <v>1139</v>
          </cell>
          <cell r="V17">
            <v>4231.3899999999994</v>
          </cell>
          <cell r="W17">
            <v>846.27799999999991</v>
          </cell>
        </row>
        <row r="18">
          <cell r="G18">
            <v>25557</v>
          </cell>
          <cell r="H18" t="str">
            <v>&lt; 150</v>
          </cell>
          <cell r="I18">
            <v>12</v>
          </cell>
          <cell r="J18">
            <v>449.58</v>
          </cell>
          <cell r="K18">
            <v>419.6</v>
          </cell>
          <cell r="L18">
            <v>375.6</v>
          </cell>
          <cell r="M18">
            <v>568.6</v>
          </cell>
          <cell r="N18">
            <v>508.44</v>
          </cell>
          <cell r="O18">
            <v>292.2</v>
          </cell>
          <cell r="P18">
            <v>567.79999999999995</v>
          </cell>
          <cell r="Q18">
            <v>985.69</v>
          </cell>
          <cell r="R18">
            <v>1365.76</v>
          </cell>
          <cell r="S18">
            <v>1128.8</v>
          </cell>
          <cell r="T18">
            <v>1300.2</v>
          </cell>
          <cell r="U18">
            <v>1167.75</v>
          </cell>
          <cell r="V18">
            <v>9130.02</v>
          </cell>
          <cell r="W18">
            <v>760.83500000000004</v>
          </cell>
        </row>
        <row r="19">
          <cell r="G19">
            <v>23431</v>
          </cell>
          <cell r="H19" t="str">
            <v>&gt; 150</v>
          </cell>
          <cell r="I19">
            <v>12</v>
          </cell>
          <cell r="J19">
            <v>1833.51</v>
          </cell>
          <cell r="K19">
            <v>2616.2399999999998</v>
          </cell>
          <cell r="L19">
            <v>3251.36</v>
          </cell>
          <cell r="M19">
            <v>2038</v>
          </cell>
          <cell r="N19">
            <v>2511.1999999999998</v>
          </cell>
          <cell r="O19">
            <v>2599.52</v>
          </cell>
          <cell r="P19">
            <v>2482.8000000000002</v>
          </cell>
          <cell r="Q19">
            <v>1917.76</v>
          </cell>
          <cell r="R19">
            <v>2292.4364</v>
          </cell>
          <cell r="S19">
            <v>2569.3200000000002</v>
          </cell>
          <cell r="T19">
            <v>1267.5</v>
          </cell>
          <cell r="U19">
            <v>1193.5</v>
          </cell>
          <cell r="V19">
            <v>26573.146399999998</v>
          </cell>
          <cell r="W19">
            <v>2214.4288666666666</v>
          </cell>
        </row>
        <row r="20">
          <cell r="G20">
            <v>22452</v>
          </cell>
          <cell r="H20" t="str">
            <v>&lt; 150</v>
          </cell>
          <cell r="I20">
            <v>6</v>
          </cell>
          <cell r="J20"/>
          <cell r="K20"/>
          <cell r="L20"/>
          <cell r="M20"/>
          <cell r="N20"/>
          <cell r="O20"/>
          <cell r="P20">
            <v>24.6</v>
          </cell>
          <cell r="Q20">
            <v>174.09</v>
          </cell>
          <cell r="R20">
            <v>855.32</v>
          </cell>
          <cell r="S20">
            <v>869.4</v>
          </cell>
          <cell r="T20">
            <v>836.4</v>
          </cell>
          <cell r="U20">
            <v>1298</v>
          </cell>
          <cell r="V20">
            <v>4057.81</v>
          </cell>
          <cell r="W20">
            <v>676.30166666666662</v>
          </cell>
        </row>
        <row r="21">
          <cell r="G21">
            <v>23270</v>
          </cell>
          <cell r="H21" t="str">
            <v>&lt; 150</v>
          </cell>
          <cell r="I21">
            <v>12</v>
          </cell>
          <cell r="J21">
            <v>888.06</v>
          </cell>
          <cell r="K21">
            <v>603.6</v>
          </cell>
          <cell r="L21">
            <v>653.6</v>
          </cell>
          <cell r="M21">
            <v>1138.8</v>
          </cell>
          <cell r="N21">
            <v>980.88</v>
          </cell>
          <cell r="O21">
            <v>986.4</v>
          </cell>
          <cell r="P21">
            <v>1279.9000000000001</v>
          </cell>
          <cell r="Q21">
            <v>881.57</v>
          </cell>
          <cell r="R21">
            <v>1686.22</v>
          </cell>
          <cell r="S21">
            <v>2430.1999999999998</v>
          </cell>
          <cell r="T21">
            <v>2241.8000000000002</v>
          </cell>
          <cell r="U21">
            <v>1626</v>
          </cell>
          <cell r="V21">
            <v>15397.029999999999</v>
          </cell>
          <cell r="W21">
            <v>1283.0858333333333</v>
          </cell>
        </row>
        <row r="22">
          <cell r="G22">
            <v>24527</v>
          </cell>
          <cell r="H22" t="str">
            <v>&lt; 150</v>
          </cell>
          <cell r="I22">
            <v>12</v>
          </cell>
          <cell r="J22">
            <v>1037.1099999999999</v>
          </cell>
          <cell r="K22">
            <v>534.20000000000005</v>
          </cell>
          <cell r="L22">
            <v>702.2</v>
          </cell>
          <cell r="M22">
            <v>724.2</v>
          </cell>
          <cell r="N22">
            <v>1018</v>
          </cell>
          <cell r="O22">
            <v>876</v>
          </cell>
          <cell r="P22">
            <v>1138.4000000000001</v>
          </cell>
          <cell r="Q22">
            <v>1608.35</v>
          </cell>
          <cell r="R22">
            <v>2561.12</v>
          </cell>
          <cell r="S22">
            <v>3656.6</v>
          </cell>
          <cell r="T22">
            <v>2061.1999999999998</v>
          </cell>
          <cell r="U22">
            <v>1748.75</v>
          </cell>
          <cell r="V22">
            <v>17666.13</v>
          </cell>
          <cell r="W22">
            <v>1472.1775</v>
          </cell>
        </row>
        <row r="23">
          <cell r="G23">
            <v>22402</v>
          </cell>
          <cell r="H23" t="str">
            <v>&gt; 150</v>
          </cell>
          <cell r="I23">
            <v>12</v>
          </cell>
          <cell r="J23">
            <v>1514.4</v>
          </cell>
          <cell r="K23">
            <v>1532.8</v>
          </cell>
          <cell r="L23">
            <v>2001.45</v>
          </cell>
          <cell r="M23">
            <v>1643.95</v>
          </cell>
          <cell r="N23">
            <v>1286.8</v>
          </cell>
          <cell r="O23">
            <v>1173</v>
          </cell>
          <cell r="P23">
            <v>1715.6</v>
          </cell>
          <cell r="Q23">
            <v>1477.17</v>
          </cell>
          <cell r="R23">
            <v>2230.91</v>
          </cell>
          <cell r="S23">
            <v>1785.7</v>
          </cell>
          <cell r="T23">
            <v>1347.3</v>
          </cell>
          <cell r="U23">
            <v>1878.25</v>
          </cell>
          <cell r="V23">
            <v>19587.330000000002</v>
          </cell>
          <cell r="W23">
            <v>1632.2775000000001</v>
          </cell>
        </row>
        <row r="24">
          <cell r="G24">
            <v>27219</v>
          </cell>
          <cell r="H24" t="str">
            <v>&gt; 150</v>
          </cell>
          <cell r="I24">
            <v>3</v>
          </cell>
          <cell r="J24"/>
          <cell r="K24"/>
          <cell r="L24"/>
          <cell r="M24"/>
          <cell r="N24"/>
          <cell r="O24"/>
          <cell r="P24"/>
          <cell r="Q24"/>
          <cell r="R24"/>
          <cell r="S24">
            <v>2268.4</v>
          </cell>
          <cell r="T24">
            <v>2698.05</v>
          </cell>
          <cell r="U24">
            <v>2235</v>
          </cell>
          <cell r="V24">
            <v>7201.4500000000007</v>
          </cell>
          <cell r="W24">
            <v>2400.4833333333336</v>
          </cell>
        </row>
        <row r="25">
          <cell r="G25">
            <v>24495</v>
          </cell>
          <cell r="H25" t="str">
            <v>&gt; 150</v>
          </cell>
          <cell r="I25">
            <v>12</v>
          </cell>
          <cell r="J25">
            <v>2059.17</v>
          </cell>
          <cell r="K25">
            <v>1901.2</v>
          </cell>
          <cell r="L25">
            <v>2893.6</v>
          </cell>
          <cell r="M25">
            <v>1716.2</v>
          </cell>
          <cell r="N25">
            <v>3009.9</v>
          </cell>
          <cell r="O25">
            <v>1509</v>
          </cell>
          <cell r="P25">
            <v>2438.4</v>
          </cell>
          <cell r="Q25">
            <v>1172.49</v>
          </cell>
          <cell r="R25">
            <v>3108.8</v>
          </cell>
          <cell r="S25">
            <v>4233.6000000000004</v>
          </cell>
          <cell r="T25">
            <v>2925.8</v>
          </cell>
          <cell r="U25">
            <v>2438.25</v>
          </cell>
          <cell r="V25">
            <v>29406.41</v>
          </cell>
          <cell r="W25">
            <v>2450.5341666666668</v>
          </cell>
        </row>
        <row r="26">
          <cell r="G26">
            <v>22361</v>
          </cell>
          <cell r="H26" t="str">
            <v>&gt; 150</v>
          </cell>
          <cell r="I26">
            <v>12</v>
          </cell>
          <cell r="J26">
            <v>1947.04</v>
          </cell>
          <cell r="K26">
            <v>869.4</v>
          </cell>
          <cell r="L26">
            <v>1755</v>
          </cell>
          <cell r="M26">
            <v>2846.32</v>
          </cell>
          <cell r="N26">
            <v>4861.1000000000004</v>
          </cell>
          <cell r="O26">
            <v>2816.4</v>
          </cell>
          <cell r="P26">
            <v>4839.95</v>
          </cell>
          <cell r="Q26">
            <v>2718.44</v>
          </cell>
          <cell r="R26">
            <v>2513.2399999999998</v>
          </cell>
          <cell r="S26">
            <v>2806.55</v>
          </cell>
          <cell r="T26">
            <v>3070.45</v>
          </cell>
          <cell r="U26">
            <v>2565.5</v>
          </cell>
          <cell r="V26">
            <v>33609.39</v>
          </cell>
          <cell r="W26">
            <v>2800.7824999999998</v>
          </cell>
        </row>
        <row r="27">
          <cell r="G27">
            <v>22366</v>
          </cell>
          <cell r="H27" t="str">
            <v>&gt; 150</v>
          </cell>
          <cell r="I27">
            <v>12</v>
          </cell>
          <cell r="J27">
            <v>2704.18</v>
          </cell>
          <cell r="K27">
            <v>2448.3000000000002</v>
          </cell>
          <cell r="L27">
            <v>2314.5500000000002</v>
          </cell>
          <cell r="M27">
            <v>2217.12</v>
          </cell>
          <cell r="N27">
            <v>2378.0700000000002</v>
          </cell>
          <cell r="O27">
            <v>2469.48</v>
          </cell>
          <cell r="P27">
            <v>2713.24</v>
          </cell>
          <cell r="Q27">
            <v>2085.71</v>
          </cell>
          <cell r="R27">
            <v>2634.7779999999998</v>
          </cell>
          <cell r="S27">
            <v>2751.3</v>
          </cell>
          <cell r="T27">
            <v>2600.52</v>
          </cell>
          <cell r="U27">
            <v>2819.5</v>
          </cell>
          <cell r="V27">
            <v>30136.747999999996</v>
          </cell>
          <cell r="W27">
            <v>2511.3956666666663</v>
          </cell>
        </row>
        <row r="28">
          <cell r="G28">
            <v>27372</v>
          </cell>
          <cell r="H28" t="str">
            <v>&gt; 150</v>
          </cell>
          <cell r="I28">
            <v>3</v>
          </cell>
          <cell r="J28"/>
          <cell r="K28"/>
          <cell r="L28"/>
          <cell r="M28"/>
          <cell r="N28"/>
          <cell r="O28"/>
          <cell r="P28"/>
          <cell r="Q28"/>
          <cell r="R28"/>
          <cell r="S28">
            <v>157.32</v>
          </cell>
          <cell r="T28">
            <v>1712.846</v>
          </cell>
          <cell r="U28">
            <v>3060.75</v>
          </cell>
          <cell r="V28">
            <v>4930.9160000000002</v>
          </cell>
          <cell r="W28">
            <v>1643.6386666666667</v>
          </cell>
        </row>
        <row r="29">
          <cell r="G29">
            <v>26084</v>
          </cell>
          <cell r="H29" t="str">
            <v>&gt; 150</v>
          </cell>
          <cell r="I29">
            <v>9</v>
          </cell>
          <cell r="J29"/>
          <cell r="K29"/>
          <cell r="L29"/>
          <cell r="M29">
            <v>33.799999999999997</v>
          </cell>
          <cell r="N29">
            <v>236.6</v>
          </cell>
          <cell r="O29">
            <v>969.76</v>
          </cell>
          <cell r="P29">
            <v>1008.8</v>
          </cell>
          <cell r="Q29">
            <v>1342.72</v>
          </cell>
          <cell r="R29">
            <v>2664.1288</v>
          </cell>
          <cell r="S29">
            <v>3580.25</v>
          </cell>
          <cell r="T29">
            <v>2619.7600000000002</v>
          </cell>
          <cell r="U29">
            <v>3108.5</v>
          </cell>
          <cell r="V29">
            <v>15564.318800000001</v>
          </cell>
          <cell r="W29">
            <v>1729.3687555555557</v>
          </cell>
        </row>
        <row r="30">
          <cell r="G30">
            <v>27028</v>
          </cell>
          <cell r="H30" t="str">
            <v>&gt; 150</v>
          </cell>
          <cell r="I30">
            <v>4</v>
          </cell>
          <cell r="J30"/>
          <cell r="K30"/>
          <cell r="L30"/>
          <cell r="M30"/>
          <cell r="N30"/>
          <cell r="O30"/>
          <cell r="P30"/>
          <cell r="Q30"/>
          <cell r="R30">
            <v>60.72</v>
          </cell>
          <cell r="S30">
            <v>3850.95</v>
          </cell>
          <cell r="T30">
            <v>2307.4</v>
          </cell>
          <cell r="U30">
            <v>3178.75</v>
          </cell>
          <cell r="V30">
            <v>9397.82</v>
          </cell>
          <cell r="W30">
            <v>2349.4549999999999</v>
          </cell>
        </row>
        <row r="31">
          <cell r="G31">
            <v>22401</v>
          </cell>
          <cell r="H31" t="str">
            <v>&gt; 150</v>
          </cell>
          <cell r="I31">
            <v>12</v>
          </cell>
          <cell r="J31">
            <v>3403.97</v>
          </cell>
          <cell r="K31">
            <v>3505.2939999999999</v>
          </cell>
          <cell r="L31">
            <v>3890.3440000000001</v>
          </cell>
          <cell r="M31">
            <v>2670.35</v>
          </cell>
          <cell r="N31">
            <v>2607.6999999999998</v>
          </cell>
          <cell r="O31">
            <v>2600.5500000000002</v>
          </cell>
          <cell r="P31">
            <v>2437.3000000000002</v>
          </cell>
          <cell r="Q31">
            <v>2766.53</v>
          </cell>
          <cell r="R31">
            <v>3680.8359999999998</v>
          </cell>
          <cell r="S31">
            <v>3586.5</v>
          </cell>
          <cell r="T31">
            <v>1811.9</v>
          </cell>
          <cell r="U31">
            <v>3334.25</v>
          </cell>
          <cell r="V31">
            <v>36295.523999999998</v>
          </cell>
          <cell r="W31">
            <v>3024.627</v>
          </cell>
        </row>
        <row r="32">
          <cell r="G32">
            <v>23147</v>
          </cell>
          <cell r="H32" t="str">
            <v>&gt; 300</v>
          </cell>
          <cell r="I32">
            <v>12</v>
          </cell>
          <cell r="J32">
            <v>4493.99</v>
          </cell>
          <cell r="K32">
            <v>3199.76</v>
          </cell>
          <cell r="L32">
            <v>3695.56</v>
          </cell>
          <cell r="M32">
            <v>3427.8</v>
          </cell>
          <cell r="N32">
            <v>3358.16</v>
          </cell>
          <cell r="O32">
            <v>3257.08</v>
          </cell>
          <cell r="P32">
            <v>4302.92</v>
          </cell>
          <cell r="Q32">
            <v>3409.68</v>
          </cell>
          <cell r="R32">
            <v>2382.14</v>
          </cell>
          <cell r="S32">
            <v>2206.4</v>
          </cell>
          <cell r="T32">
            <v>2464.7159999999999</v>
          </cell>
          <cell r="U32">
            <v>3374</v>
          </cell>
          <cell r="V32">
            <v>39572.205999999998</v>
          </cell>
          <cell r="W32">
            <v>3297.683833333333</v>
          </cell>
        </row>
        <row r="33">
          <cell r="G33">
            <v>22400</v>
          </cell>
          <cell r="H33" t="str">
            <v>&gt; 300</v>
          </cell>
          <cell r="I33">
            <v>12</v>
          </cell>
          <cell r="J33">
            <v>3168.76</v>
          </cell>
          <cell r="K33">
            <v>1809.8</v>
          </cell>
          <cell r="L33">
            <v>3267.4</v>
          </cell>
          <cell r="M33">
            <v>2442.1999999999998</v>
          </cell>
          <cell r="N33">
            <v>3153</v>
          </cell>
          <cell r="O33">
            <v>2039.8</v>
          </cell>
          <cell r="P33">
            <v>3334.8</v>
          </cell>
          <cell r="Q33">
            <v>2941.68</v>
          </cell>
          <cell r="R33">
            <v>4727.29</v>
          </cell>
          <cell r="S33">
            <v>3898.6</v>
          </cell>
          <cell r="T33">
            <v>2357.1999999999998</v>
          </cell>
          <cell r="U33">
            <v>3837.75</v>
          </cell>
          <cell r="V33">
            <v>36978.28</v>
          </cell>
          <cell r="W33">
            <v>3081.5233333333331</v>
          </cell>
        </row>
        <row r="34">
          <cell r="G34">
            <v>23565</v>
          </cell>
          <cell r="H34" t="str">
            <v>&gt; 150</v>
          </cell>
          <cell r="I34">
            <v>12</v>
          </cell>
          <cell r="J34">
            <v>5524.29</v>
          </cell>
          <cell r="K34">
            <v>5451.8040000000001</v>
          </cell>
          <cell r="L34">
            <v>5182.8040000000001</v>
          </cell>
          <cell r="M34">
            <v>5351.8</v>
          </cell>
          <cell r="N34">
            <v>4476.95</v>
          </cell>
          <cell r="O34">
            <v>4332.8</v>
          </cell>
          <cell r="P34">
            <v>6730</v>
          </cell>
          <cell r="Q34">
            <v>4180.8999999999996</v>
          </cell>
          <cell r="R34">
            <v>6509.74</v>
          </cell>
          <cell r="S34">
            <v>6539.2</v>
          </cell>
          <cell r="T34">
            <v>4195.6000000000004</v>
          </cell>
          <cell r="U34">
            <v>3966.75</v>
          </cell>
          <cell r="V34">
            <v>62442.637999999999</v>
          </cell>
          <cell r="W34">
            <v>5203.5531666666666</v>
          </cell>
        </row>
        <row r="35">
          <cell r="G35">
            <v>27154</v>
          </cell>
          <cell r="H35" t="str">
            <v>&lt; 150</v>
          </cell>
          <cell r="I35">
            <v>3</v>
          </cell>
          <cell r="J35"/>
          <cell r="K35"/>
          <cell r="L35"/>
          <cell r="M35"/>
          <cell r="N35"/>
          <cell r="O35"/>
          <cell r="P35"/>
          <cell r="Q35"/>
          <cell r="R35"/>
          <cell r="S35">
            <v>139.4</v>
          </cell>
          <cell r="T35">
            <v>1427.6</v>
          </cell>
          <cell r="U35">
            <v>4022.75</v>
          </cell>
          <cell r="V35">
            <v>5589.75</v>
          </cell>
          <cell r="W35">
            <v>1863.25</v>
          </cell>
        </row>
        <row r="36">
          <cell r="G36">
            <v>26810</v>
          </cell>
          <cell r="H36" t="str">
            <v>&gt; 150</v>
          </cell>
          <cell r="I36">
            <v>4</v>
          </cell>
          <cell r="J36"/>
          <cell r="K36"/>
          <cell r="L36"/>
          <cell r="M36"/>
          <cell r="N36"/>
          <cell r="O36"/>
          <cell r="P36"/>
          <cell r="Q36"/>
          <cell r="R36">
            <v>865.51319999999998</v>
          </cell>
          <cell r="S36">
            <v>3589.2</v>
          </cell>
          <cell r="T36">
            <v>2997.55</v>
          </cell>
          <cell r="U36">
            <v>4030</v>
          </cell>
          <cell r="V36">
            <v>11482.263200000001</v>
          </cell>
          <cell r="W36">
            <v>2870.5658000000003</v>
          </cell>
        </row>
        <row r="37">
          <cell r="G37">
            <v>22365</v>
          </cell>
          <cell r="H37" t="str">
            <v>&gt; 450</v>
          </cell>
          <cell r="I37">
            <v>12</v>
          </cell>
          <cell r="J37">
            <v>4502.9799999999996</v>
          </cell>
          <cell r="K37">
            <v>4710.8</v>
          </cell>
          <cell r="L37">
            <v>4875.3500000000004</v>
          </cell>
          <cell r="M37">
            <v>4055.1</v>
          </cell>
          <cell r="N37">
            <v>5622.65</v>
          </cell>
          <cell r="O37">
            <v>3782.1</v>
          </cell>
          <cell r="P37">
            <v>4597</v>
          </cell>
          <cell r="Q37">
            <v>4256.03</v>
          </cell>
          <cell r="R37">
            <v>4678.5600000000004</v>
          </cell>
          <cell r="S37">
            <v>4424.3999999999996</v>
          </cell>
          <cell r="T37">
            <v>2922.75</v>
          </cell>
          <cell r="U37">
            <v>4109</v>
          </cell>
          <cell r="V37">
            <v>52536.719999999994</v>
          </cell>
          <cell r="W37">
            <v>4378.0599999999995</v>
          </cell>
        </row>
        <row r="38">
          <cell r="G38">
            <v>23433</v>
          </cell>
          <cell r="H38" t="str">
            <v>&gt; 300</v>
          </cell>
          <cell r="I38">
            <v>12</v>
          </cell>
          <cell r="J38">
            <v>3826.17</v>
          </cell>
          <cell r="K38">
            <v>3858.2</v>
          </cell>
          <cell r="L38">
            <v>4530.7</v>
          </cell>
          <cell r="M38">
            <v>4283.5640000000003</v>
          </cell>
          <cell r="N38">
            <v>4112.24</v>
          </cell>
          <cell r="O38">
            <v>3511.85</v>
          </cell>
          <cell r="P38">
            <v>4018.2</v>
          </cell>
          <cell r="Q38">
            <v>2746.55</v>
          </cell>
          <cell r="R38">
            <v>4698.0456000000004</v>
          </cell>
          <cell r="S38">
            <v>7291.96</v>
          </cell>
          <cell r="T38">
            <v>3246.6</v>
          </cell>
          <cell r="U38">
            <v>4135.5</v>
          </cell>
          <cell r="V38">
            <v>50259.57959999999</v>
          </cell>
          <cell r="W38">
            <v>4188.2982999999995</v>
          </cell>
        </row>
        <row r="39">
          <cell r="G39">
            <v>26015</v>
          </cell>
          <cell r="H39" t="str">
            <v>&gt; 150</v>
          </cell>
          <cell r="I39">
            <v>9</v>
          </cell>
          <cell r="J39"/>
          <cell r="K39"/>
          <cell r="L39"/>
          <cell r="M39">
            <v>0.4</v>
          </cell>
          <cell r="N39">
            <v>48</v>
          </cell>
          <cell r="O39">
            <v>255.8</v>
          </cell>
          <cell r="P39">
            <v>1559.55</v>
          </cell>
          <cell r="Q39">
            <v>2210.94</v>
          </cell>
          <cell r="R39">
            <v>3873.08</v>
          </cell>
          <cell r="S39">
            <v>4053.45</v>
          </cell>
          <cell r="T39">
            <v>2021.25</v>
          </cell>
          <cell r="U39">
            <v>4187</v>
          </cell>
          <cell r="V39">
            <v>18209.47</v>
          </cell>
          <cell r="W39">
            <v>2023.2744444444445</v>
          </cell>
        </row>
        <row r="40">
          <cell r="G40">
            <v>20983</v>
          </cell>
          <cell r="H40" t="str">
            <v>&gt; 450</v>
          </cell>
          <cell r="I40">
            <v>12</v>
          </cell>
          <cell r="J40">
            <v>3443.17</v>
          </cell>
          <cell r="K40">
            <v>4033.1120000000001</v>
          </cell>
          <cell r="L40">
            <v>4165.1120000000001</v>
          </cell>
          <cell r="M40">
            <v>4052.92</v>
          </cell>
          <cell r="N40">
            <v>3470.02</v>
          </cell>
          <cell r="O40">
            <v>3130.59</v>
          </cell>
          <cell r="P40">
            <v>4504.3999999999996</v>
          </cell>
          <cell r="Q40">
            <v>4462.3900000000003</v>
          </cell>
          <cell r="R40">
            <v>5687.6404000000002</v>
          </cell>
          <cell r="S40">
            <v>9744.6239999999998</v>
          </cell>
          <cell r="T40">
            <v>5689.7259999999997</v>
          </cell>
          <cell r="U40">
            <v>4436.75</v>
          </cell>
          <cell r="V40">
            <v>56820.454399999995</v>
          </cell>
          <cell r="W40">
            <v>4735.0378666666666</v>
          </cell>
        </row>
        <row r="41">
          <cell r="G41">
            <v>22128</v>
          </cell>
          <cell r="H41" t="str">
            <v>&gt; 450</v>
          </cell>
          <cell r="I41">
            <v>12</v>
          </cell>
          <cell r="J41">
            <v>5009.03</v>
          </cell>
          <cell r="K41">
            <v>6244.48</v>
          </cell>
          <cell r="L41">
            <v>6657.08</v>
          </cell>
          <cell r="M41">
            <v>5084.0240000000003</v>
          </cell>
          <cell r="N41">
            <v>5588.64</v>
          </cell>
          <cell r="O41">
            <v>4484.72</v>
          </cell>
          <cell r="P41">
            <v>5061.3999999999996</v>
          </cell>
          <cell r="Q41">
            <v>3708.2</v>
          </cell>
          <cell r="R41">
            <v>6045.26</v>
          </cell>
          <cell r="S41">
            <v>8662</v>
          </cell>
          <cell r="T41">
            <v>3837</v>
          </cell>
          <cell r="U41">
            <v>5070.75</v>
          </cell>
          <cell r="V41">
            <v>65452.583999999995</v>
          </cell>
          <cell r="W41">
            <v>5454.3819999999996</v>
          </cell>
        </row>
        <row r="42">
          <cell r="G42">
            <v>22775</v>
          </cell>
          <cell r="H42" t="str">
            <v>&lt; 150</v>
          </cell>
          <cell r="I42">
            <v>9</v>
          </cell>
          <cell r="J42">
            <v>1531.34</v>
          </cell>
          <cell r="K42">
            <v>2409.1799999999998</v>
          </cell>
          <cell r="L42">
            <v>759.88</v>
          </cell>
          <cell r="M42">
            <v>603.51</v>
          </cell>
          <cell r="N42">
            <v>652.07000000000005</v>
          </cell>
          <cell r="O42">
            <v>215.5</v>
          </cell>
          <cell r="P42">
            <v>200.98</v>
          </cell>
          <cell r="Q42">
            <v>1877.5</v>
          </cell>
          <cell r="R42">
            <v>2081.1435999999999</v>
          </cell>
          <cell r="S42">
            <v>585</v>
          </cell>
          <cell r="T42">
            <v>2170</v>
          </cell>
          <cell r="U42">
            <v>5120</v>
          </cell>
          <cell r="V42">
            <v>18206.103599999999</v>
          </cell>
          <cell r="W42">
            <v>2022.9003999999998</v>
          </cell>
        </row>
        <row r="43">
          <cell r="G43">
            <v>22404</v>
          </cell>
          <cell r="H43" t="str">
            <v>&gt; 300</v>
          </cell>
          <cell r="I43">
            <v>12</v>
          </cell>
          <cell r="J43">
            <v>3899.07</v>
          </cell>
          <cell r="K43">
            <v>3296.1</v>
          </cell>
          <cell r="L43">
            <v>4553.8140000000003</v>
          </cell>
          <cell r="M43">
            <v>3246.03</v>
          </cell>
          <cell r="N43">
            <v>2998</v>
          </cell>
          <cell r="O43">
            <v>2684.95</v>
          </cell>
          <cell r="P43">
            <v>3885.45</v>
          </cell>
          <cell r="Q43">
            <v>3126.33</v>
          </cell>
          <cell r="R43">
            <v>4461.0020000000004</v>
          </cell>
          <cell r="S43">
            <v>5714.19</v>
          </cell>
          <cell r="T43">
            <v>3745.63</v>
          </cell>
          <cell r="U43">
            <v>5169.25</v>
          </cell>
          <cell r="V43">
            <v>46779.816000000006</v>
          </cell>
          <cell r="W43">
            <v>3898.3180000000007</v>
          </cell>
        </row>
        <row r="44">
          <cell r="G44">
            <v>23560</v>
          </cell>
          <cell r="H44" t="str">
            <v>&gt; 300</v>
          </cell>
          <cell r="I44">
            <v>12</v>
          </cell>
          <cell r="J44">
            <v>5342.73</v>
          </cell>
          <cell r="K44">
            <v>2321.1999999999998</v>
          </cell>
          <cell r="L44">
            <v>2462.1999999999998</v>
          </cell>
          <cell r="M44">
            <v>4277.3999999999996</v>
          </cell>
          <cell r="N44">
            <v>4068.8</v>
          </cell>
          <cell r="O44">
            <v>3435.8</v>
          </cell>
          <cell r="P44">
            <v>5132.8</v>
          </cell>
          <cell r="Q44">
            <v>4227.93</v>
          </cell>
          <cell r="R44">
            <v>5645.96</v>
          </cell>
          <cell r="S44">
            <v>5402.4</v>
          </cell>
          <cell r="T44">
            <v>4128.8</v>
          </cell>
          <cell r="U44">
            <v>5344.25</v>
          </cell>
          <cell r="V44">
            <v>51790.270000000004</v>
          </cell>
          <cell r="W44">
            <v>4315.855833333334</v>
          </cell>
        </row>
        <row r="45">
          <cell r="G45">
            <v>26403</v>
          </cell>
          <cell r="H45" t="str">
            <v>&gt; 300</v>
          </cell>
          <cell r="I45">
            <v>7</v>
          </cell>
          <cell r="J45"/>
          <cell r="K45"/>
          <cell r="L45"/>
          <cell r="M45"/>
          <cell r="N45"/>
          <cell r="O45">
            <v>1605.4</v>
          </cell>
          <cell r="P45">
            <v>3094.96</v>
          </cell>
          <cell r="Q45">
            <v>3723</v>
          </cell>
          <cell r="R45">
            <v>4238.9219999999996</v>
          </cell>
          <cell r="S45">
            <v>6944.72</v>
          </cell>
          <cell r="T45">
            <v>5845.15</v>
          </cell>
          <cell r="U45">
            <v>5413.5</v>
          </cell>
          <cell r="V45">
            <v>30865.652000000002</v>
          </cell>
          <cell r="W45">
            <v>4409.3788571428577</v>
          </cell>
        </row>
        <row r="46">
          <cell r="G46">
            <v>21928</v>
          </cell>
          <cell r="H46" t="str">
            <v>&gt; 300</v>
          </cell>
          <cell r="I46">
            <v>10</v>
          </cell>
          <cell r="J46">
            <v>5700.6</v>
          </cell>
          <cell r="K46">
            <v>4489.5</v>
          </cell>
          <cell r="L46">
            <v>2680.2</v>
          </cell>
          <cell r="M46"/>
          <cell r="N46"/>
          <cell r="O46">
            <v>2793</v>
          </cell>
          <cell r="P46">
            <v>6261.6</v>
          </cell>
          <cell r="Q46">
            <v>4471.07</v>
          </cell>
          <cell r="R46">
            <v>5632.21</v>
          </cell>
          <cell r="S46">
            <v>6609.8</v>
          </cell>
          <cell r="T46">
            <v>5792.2</v>
          </cell>
          <cell r="U46">
            <v>5730.75</v>
          </cell>
          <cell r="V46">
            <v>50160.93</v>
          </cell>
          <cell r="W46">
            <v>5016.0929999999998</v>
          </cell>
        </row>
        <row r="47">
          <cell r="G47">
            <v>22130</v>
          </cell>
          <cell r="H47" t="str">
            <v>&gt; 150</v>
          </cell>
          <cell r="I47">
            <v>12</v>
          </cell>
          <cell r="J47">
            <v>5328.67</v>
          </cell>
          <cell r="K47">
            <v>5644.4</v>
          </cell>
          <cell r="L47">
            <v>6049.15</v>
          </cell>
          <cell r="M47">
            <v>3790.95</v>
          </cell>
          <cell r="N47">
            <v>4783</v>
          </cell>
          <cell r="O47">
            <v>3842.6</v>
          </cell>
          <cell r="P47">
            <v>4545</v>
          </cell>
          <cell r="Q47">
            <v>2433.88</v>
          </cell>
          <cell r="R47">
            <v>8861.4500000000007</v>
          </cell>
          <cell r="S47">
            <v>14781.987999999999</v>
          </cell>
          <cell r="T47">
            <v>2711.7460000000001</v>
          </cell>
          <cell r="U47">
            <v>5736.75</v>
          </cell>
          <cell r="V47">
            <v>68509.584000000003</v>
          </cell>
          <cell r="W47">
            <v>5709.1320000000005</v>
          </cell>
        </row>
        <row r="48">
          <cell r="G48">
            <v>23432</v>
          </cell>
          <cell r="H48" t="str">
            <v>&gt; 300</v>
          </cell>
          <cell r="I48">
            <v>12</v>
          </cell>
          <cell r="J48">
            <v>1996.34</v>
          </cell>
          <cell r="K48">
            <v>2168.65</v>
          </cell>
          <cell r="L48">
            <v>2244.65</v>
          </cell>
          <cell r="M48">
            <v>2441.4</v>
          </cell>
          <cell r="N48">
            <v>2203</v>
          </cell>
          <cell r="O48">
            <v>1511.4</v>
          </cell>
          <cell r="P48">
            <v>2062.35</v>
          </cell>
          <cell r="Q48">
            <v>2464.79</v>
          </cell>
          <cell r="R48">
            <v>3825.23</v>
          </cell>
          <cell r="S48">
            <v>7912.45</v>
          </cell>
          <cell r="T48">
            <v>5372.2</v>
          </cell>
          <cell r="U48">
            <v>6356</v>
          </cell>
          <cell r="V48">
            <v>40558.46</v>
          </cell>
          <cell r="W48">
            <v>3379.8716666666664</v>
          </cell>
        </row>
        <row r="49">
          <cell r="G49">
            <v>22773</v>
          </cell>
          <cell r="H49" t="str">
            <v>&gt; 300</v>
          </cell>
          <cell r="I49">
            <v>12</v>
          </cell>
          <cell r="J49">
            <v>2963.84</v>
          </cell>
          <cell r="K49">
            <v>2596.8000000000002</v>
          </cell>
          <cell r="L49">
            <v>2777.3</v>
          </cell>
          <cell r="M49">
            <v>2300.6639999999998</v>
          </cell>
          <cell r="N49">
            <v>2194.15</v>
          </cell>
          <cell r="O49">
            <v>1308.75</v>
          </cell>
          <cell r="P49">
            <v>4032.9</v>
          </cell>
          <cell r="Q49">
            <v>4763.78</v>
          </cell>
          <cell r="R49">
            <v>6011.17</v>
          </cell>
          <cell r="S49">
            <v>7435.55</v>
          </cell>
          <cell r="T49">
            <v>5438.1</v>
          </cell>
          <cell r="U49">
            <v>6371.75</v>
          </cell>
          <cell r="V49">
            <v>48194.754000000001</v>
          </cell>
          <cell r="W49">
            <v>4016.2294999999999</v>
          </cell>
        </row>
        <row r="50">
          <cell r="G50">
            <v>27220</v>
          </cell>
          <cell r="H50" t="str">
            <v>&gt; 300</v>
          </cell>
          <cell r="I50">
            <v>3</v>
          </cell>
          <cell r="J50"/>
          <cell r="K50"/>
          <cell r="L50"/>
          <cell r="M50"/>
          <cell r="N50"/>
          <cell r="O50"/>
          <cell r="P50"/>
          <cell r="Q50"/>
          <cell r="R50"/>
          <cell r="S50">
            <v>5867.24</v>
          </cell>
          <cell r="T50">
            <v>7441.7</v>
          </cell>
          <cell r="U50">
            <v>6378.75</v>
          </cell>
          <cell r="V50">
            <v>19687.689999999999</v>
          </cell>
          <cell r="W50">
            <v>6562.5633333333326</v>
          </cell>
        </row>
        <row r="51">
          <cell r="G51">
            <v>20322</v>
          </cell>
          <cell r="H51" t="str">
            <v>&gt; 450</v>
          </cell>
          <cell r="I51">
            <v>12</v>
          </cell>
          <cell r="J51">
            <v>6749.06</v>
          </cell>
          <cell r="K51">
            <v>5426.61</v>
          </cell>
          <cell r="L51">
            <v>7046.76</v>
          </cell>
          <cell r="M51">
            <v>4638.2</v>
          </cell>
          <cell r="N51">
            <v>6226.34</v>
          </cell>
          <cell r="O51">
            <v>4745.0600000000004</v>
          </cell>
          <cell r="P51">
            <v>5463.87</v>
          </cell>
          <cell r="Q51">
            <v>4947.4799999999996</v>
          </cell>
          <cell r="R51">
            <v>3963.22</v>
          </cell>
          <cell r="S51">
            <v>6100.59</v>
          </cell>
          <cell r="T51">
            <v>4882.1099999999997</v>
          </cell>
          <cell r="U51">
            <v>6576.5</v>
          </cell>
          <cell r="V51">
            <v>66765.8</v>
          </cell>
          <cell r="W51">
            <v>5563.8166666666666</v>
          </cell>
        </row>
        <row r="52">
          <cell r="G52">
            <v>23969</v>
          </cell>
          <cell r="H52" t="str">
            <v>&gt; 450</v>
          </cell>
          <cell r="I52">
            <v>12</v>
          </cell>
          <cell r="J52">
            <v>4943.24</v>
          </cell>
          <cell r="K52">
            <v>4221.3999999999996</v>
          </cell>
          <cell r="L52">
            <v>5112.45</v>
          </cell>
          <cell r="M52">
            <v>4291.3500000000004</v>
          </cell>
          <cell r="N52">
            <v>5335.3</v>
          </cell>
          <cell r="O52">
            <v>2871</v>
          </cell>
          <cell r="P52">
            <v>4601.6000000000004</v>
          </cell>
          <cell r="Q52">
            <v>4417.62</v>
          </cell>
          <cell r="R52">
            <v>4752.17</v>
          </cell>
          <cell r="S52">
            <v>7404.75</v>
          </cell>
          <cell r="T52">
            <v>4679.3</v>
          </cell>
          <cell r="U52">
            <v>6645.25</v>
          </cell>
          <cell r="V52">
            <v>59275.430000000008</v>
          </cell>
          <cell r="W52">
            <v>4939.6191666666673</v>
          </cell>
        </row>
        <row r="53">
          <cell r="G53">
            <v>26588</v>
          </cell>
          <cell r="H53" t="str">
            <v>&lt; 150</v>
          </cell>
          <cell r="I53">
            <v>7</v>
          </cell>
          <cell r="J53"/>
          <cell r="K53"/>
          <cell r="L53"/>
          <cell r="M53"/>
          <cell r="N53"/>
          <cell r="O53">
            <v>25</v>
          </cell>
          <cell r="P53">
            <v>1657.34</v>
          </cell>
          <cell r="Q53">
            <v>2144.7199999999998</v>
          </cell>
          <cell r="R53">
            <v>2784.33</v>
          </cell>
          <cell r="S53">
            <v>3550.68</v>
          </cell>
          <cell r="T53">
            <v>2401.16</v>
          </cell>
          <cell r="U53">
            <v>7043</v>
          </cell>
          <cell r="V53">
            <v>19606.23</v>
          </cell>
          <cell r="W53">
            <v>2800.89</v>
          </cell>
        </row>
        <row r="54">
          <cell r="G54">
            <v>23669</v>
          </cell>
          <cell r="H54" t="str">
            <v>&gt; 600</v>
          </cell>
          <cell r="I54">
            <v>12</v>
          </cell>
          <cell r="J54">
            <v>6692.98</v>
          </cell>
          <cell r="K54">
            <v>3409.15</v>
          </cell>
          <cell r="L54">
            <v>4548.8</v>
          </cell>
          <cell r="M54">
            <v>4342.6000000000004</v>
          </cell>
          <cell r="N54">
            <v>5535</v>
          </cell>
          <cell r="O54">
            <v>4942.3500000000004</v>
          </cell>
          <cell r="P54">
            <v>6818.8</v>
          </cell>
          <cell r="Q54">
            <v>5783.38</v>
          </cell>
          <cell r="R54">
            <v>8375.94</v>
          </cell>
          <cell r="S54">
            <v>9716.4</v>
          </cell>
          <cell r="T54">
            <v>6898.8</v>
          </cell>
          <cell r="U54">
            <v>7120.75</v>
          </cell>
          <cell r="V54">
            <v>74184.95</v>
          </cell>
          <cell r="W54">
            <v>6182.0791666666664</v>
          </cell>
        </row>
        <row r="55">
          <cell r="G55">
            <v>23429</v>
          </cell>
          <cell r="H55" t="str">
            <v>&gt; 600</v>
          </cell>
          <cell r="I55">
            <v>12</v>
          </cell>
          <cell r="J55">
            <v>5642.67</v>
          </cell>
          <cell r="K55">
            <v>8032.5</v>
          </cell>
          <cell r="L55">
            <v>7648.8</v>
          </cell>
          <cell r="M55">
            <v>5764.43</v>
          </cell>
          <cell r="N55">
            <v>6457.5</v>
          </cell>
          <cell r="O55">
            <v>6898.8</v>
          </cell>
          <cell r="P55">
            <v>8105.03</v>
          </cell>
          <cell r="Q55">
            <v>4875.08</v>
          </cell>
          <cell r="R55">
            <v>7066.88</v>
          </cell>
          <cell r="S55">
            <v>8865.75</v>
          </cell>
          <cell r="T55">
            <v>6453.6279999999997</v>
          </cell>
          <cell r="U55">
            <v>7123.25</v>
          </cell>
          <cell r="V55">
            <v>82934.317999999999</v>
          </cell>
          <cell r="W55">
            <v>6911.1931666666669</v>
          </cell>
        </row>
        <row r="56">
          <cell r="G56">
            <v>21091</v>
          </cell>
          <cell r="H56" t="str">
            <v>&gt; 150</v>
          </cell>
          <cell r="I56">
            <v>12</v>
          </cell>
          <cell r="J56">
            <v>1555.78</v>
          </cell>
          <cell r="K56">
            <v>2156.81</v>
          </cell>
          <cell r="L56">
            <v>2168.66</v>
          </cell>
          <cell r="M56">
            <v>1997.97</v>
          </cell>
          <cell r="N56">
            <v>2101.13</v>
          </cell>
          <cell r="O56">
            <v>2074.9899999999998</v>
          </cell>
          <cell r="P56">
            <v>1595.8</v>
          </cell>
          <cell r="Q56">
            <v>1595.36</v>
          </cell>
          <cell r="R56">
            <v>4478.076</v>
          </cell>
          <cell r="S56">
            <v>4558.08</v>
          </cell>
          <cell r="T56">
            <v>2672.8900000000003</v>
          </cell>
          <cell r="U56">
            <v>7217.75</v>
          </cell>
          <cell r="V56">
            <v>34173.296000000002</v>
          </cell>
          <cell r="W56">
            <v>2847.7746666666667</v>
          </cell>
        </row>
        <row r="57">
          <cell r="G57">
            <v>26501</v>
          </cell>
          <cell r="H57" t="str">
            <v>&gt; 600</v>
          </cell>
          <cell r="I57">
            <v>4</v>
          </cell>
          <cell r="J57"/>
          <cell r="K57"/>
          <cell r="L57"/>
          <cell r="M57"/>
          <cell r="N57"/>
          <cell r="O57"/>
          <cell r="P57"/>
          <cell r="Q57"/>
          <cell r="R57">
            <v>5024.6639999999998</v>
          </cell>
          <cell r="S57">
            <v>13704.088</v>
          </cell>
          <cell r="T57">
            <v>9458.7479999999996</v>
          </cell>
          <cell r="U57">
            <v>7767.25</v>
          </cell>
          <cell r="V57">
            <v>35954.75</v>
          </cell>
          <cell r="W57">
            <v>8988.6875</v>
          </cell>
        </row>
        <row r="58">
          <cell r="G58">
            <v>24153</v>
          </cell>
          <cell r="H58" t="str">
            <v>&gt; 600</v>
          </cell>
          <cell r="I58">
            <v>12</v>
          </cell>
          <cell r="J58">
            <v>6856.71</v>
          </cell>
          <cell r="K58">
            <v>5869.8</v>
          </cell>
          <cell r="L58">
            <v>5754.3</v>
          </cell>
          <cell r="M58">
            <v>5714.35</v>
          </cell>
          <cell r="N58">
            <v>7471.75</v>
          </cell>
          <cell r="O58">
            <v>3619.2</v>
          </cell>
          <cell r="P58">
            <v>7247.9</v>
          </cell>
          <cell r="Q58">
            <v>7590.39</v>
          </cell>
          <cell r="R58">
            <v>9568.66</v>
          </cell>
          <cell r="S58">
            <v>12082.35</v>
          </cell>
          <cell r="T58">
            <v>4298.8500000000004</v>
          </cell>
          <cell r="U58">
            <v>7984.5</v>
          </cell>
          <cell r="V58">
            <v>84058.760000000009</v>
          </cell>
          <cell r="W58">
            <v>7004.8966666666674</v>
          </cell>
        </row>
        <row r="59">
          <cell r="G59">
            <v>23178</v>
          </cell>
          <cell r="H59" t="str">
            <v>&gt; 600</v>
          </cell>
          <cell r="I59">
            <v>12</v>
          </cell>
          <cell r="J59">
            <v>6708.45</v>
          </cell>
          <cell r="K59">
            <v>5941.0379999999996</v>
          </cell>
          <cell r="L59">
            <v>6527.6880000000001</v>
          </cell>
          <cell r="M59">
            <v>7247.56</v>
          </cell>
          <cell r="N59">
            <v>7418.73</v>
          </cell>
          <cell r="O59">
            <v>6977.04</v>
          </cell>
          <cell r="P59">
            <v>7913.03</v>
          </cell>
          <cell r="Q59">
            <v>7375.83</v>
          </cell>
          <cell r="R59">
            <v>9511.3539999999994</v>
          </cell>
          <cell r="S59">
            <v>12849.683999999999</v>
          </cell>
          <cell r="T59">
            <v>8041.8</v>
          </cell>
          <cell r="U59">
            <v>8586.75</v>
          </cell>
          <cell r="V59">
            <v>95098.953999999998</v>
          </cell>
          <cell r="W59">
            <v>7924.9128333333329</v>
          </cell>
        </row>
        <row r="60">
          <cell r="G60">
            <v>26399</v>
          </cell>
          <cell r="H60" t="str">
            <v>&gt; 450</v>
          </cell>
          <cell r="I60">
            <v>7</v>
          </cell>
          <cell r="J60"/>
          <cell r="K60"/>
          <cell r="L60"/>
          <cell r="M60"/>
          <cell r="N60"/>
          <cell r="O60">
            <v>0.4</v>
          </cell>
          <cell r="P60">
            <v>2453.36</v>
          </cell>
          <cell r="Q60">
            <v>3165.45</v>
          </cell>
          <cell r="R60">
            <v>8133.4780000000001</v>
          </cell>
          <cell r="S60">
            <v>9006.7199999999993</v>
          </cell>
          <cell r="T60">
            <v>6372.17</v>
          </cell>
          <cell r="U60">
            <v>8682.5</v>
          </cell>
          <cell r="V60">
            <v>37814.078000000001</v>
          </cell>
          <cell r="W60">
            <v>5402.0111428571427</v>
          </cell>
        </row>
        <row r="61">
          <cell r="G61">
            <v>23142</v>
          </cell>
          <cell r="H61" t="str">
            <v>&gt; 300</v>
          </cell>
          <cell r="I61">
            <v>12</v>
          </cell>
          <cell r="J61">
            <v>2798.86</v>
          </cell>
          <cell r="K61">
            <v>2621.53</v>
          </cell>
          <cell r="L61">
            <v>4723.28</v>
          </cell>
          <cell r="M61">
            <v>2717.35</v>
          </cell>
          <cell r="N61">
            <v>3561.25</v>
          </cell>
          <cell r="O61">
            <v>2382.4</v>
          </cell>
          <cell r="P61">
            <v>3600.35</v>
          </cell>
          <cell r="Q61">
            <v>2539.91</v>
          </cell>
          <cell r="R61">
            <v>6074.9380000000001</v>
          </cell>
          <cell r="S61">
            <v>11496.75</v>
          </cell>
          <cell r="T61">
            <v>13725</v>
          </cell>
          <cell r="U61">
            <v>11107</v>
          </cell>
          <cell r="V61">
            <v>67348.618000000002</v>
          </cell>
          <cell r="W61">
            <v>5612.3848333333335</v>
          </cell>
        </row>
        <row r="62">
          <cell r="G62">
            <v>20509</v>
          </cell>
          <cell r="H62" t="str">
            <v>&gt; 600</v>
          </cell>
          <cell r="I62">
            <v>12</v>
          </cell>
          <cell r="J62">
            <v>5954.03</v>
          </cell>
          <cell r="K62">
            <v>6358.24</v>
          </cell>
          <cell r="L62">
            <v>6831.84</v>
          </cell>
          <cell r="M62">
            <v>6804.86</v>
          </cell>
          <cell r="N62">
            <v>8002.84</v>
          </cell>
          <cell r="O62">
            <v>6591.28</v>
          </cell>
          <cell r="P62">
            <v>7583.6</v>
          </cell>
          <cell r="Q62">
            <v>5528.03</v>
          </cell>
          <cell r="R62">
            <v>9971.7919999999995</v>
          </cell>
          <cell r="S62">
            <v>11701.34</v>
          </cell>
          <cell r="T62">
            <v>6718.31</v>
          </cell>
          <cell r="U62">
            <v>11545.75</v>
          </cell>
          <cell r="V62">
            <v>93591.911999999997</v>
          </cell>
          <cell r="W62">
            <v>7799.326</v>
          </cell>
        </row>
        <row r="63">
          <cell r="G63">
            <v>21926</v>
          </cell>
          <cell r="H63" t="str">
            <v>&gt; 300</v>
          </cell>
          <cell r="I63">
            <v>12</v>
          </cell>
          <cell r="J63">
            <v>4434.1400000000003</v>
          </cell>
          <cell r="K63">
            <v>4252.08</v>
          </cell>
          <cell r="L63">
            <v>6174.98</v>
          </cell>
          <cell r="M63">
            <v>4741.75</v>
          </cell>
          <cell r="N63">
            <v>5461.95</v>
          </cell>
          <cell r="O63">
            <v>4476.3500000000004</v>
          </cell>
          <cell r="P63">
            <v>5059.6000000000004</v>
          </cell>
          <cell r="Q63">
            <v>5095.92</v>
          </cell>
          <cell r="R63">
            <v>5413.49</v>
          </cell>
          <cell r="S63">
            <v>6173.55</v>
          </cell>
          <cell r="T63">
            <v>8012.85</v>
          </cell>
          <cell r="U63">
            <v>11683</v>
          </cell>
          <cell r="V63">
            <v>70979.66</v>
          </cell>
          <cell r="W63">
            <v>5914.9716666666673</v>
          </cell>
        </row>
        <row r="64">
          <cell r="G64">
            <v>21583</v>
          </cell>
          <cell r="H64" t="str">
            <v>&gt; 900</v>
          </cell>
          <cell r="I64">
            <v>12</v>
          </cell>
          <cell r="J64">
            <v>9331.26</v>
          </cell>
          <cell r="K64">
            <v>9136.4</v>
          </cell>
          <cell r="L64">
            <v>10524.5</v>
          </cell>
          <cell r="M64">
            <v>10288</v>
          </cell>
          <cell r="N64">
            <v>11104.25</v>
          </cell>
          <cell r="O64">
            <v>8767.7999999999993</v>
          </cell>
          <cell r="P64">
            <v>7027.25</v>
          </cell>
          <cell r="Q64">
            <v>11521.68</v>
          </cell>
          <cell r="R64">
            <v>14647.06</v>
          </cell>
          <cell r="S64">
            <v>18198.55</v>
          </cell>
          <cell r="T64">
            <v>14779.05</v>
          </cell>
          <cell r="U64">
            <v>11810.25</v>
          </cell>
          <cell r="V64">
            <v>137136.05000000002</v>
          </cell>
          <cell r="W64">
            <v>11428.004166666668</v>
          </cell>
        </row>
        <row r="65">
          <cell r="G65">
            <v>21998</v>
          </cell>
          <cell r="H65" t="str">
            <v>&gt; 900</v>
          </cell>
          <cell r="I65">
            <v>12</v>
          </cell>
          <cell r="J65">
            <v>15386.28</v>
          </cell>
          <cell r="K65">
            <v>12448.6</v>
          </cell>
          <cell r="L65">
            <v>14879.8</v>
          </cell>
          <cell r="M65">
            <v>13574.15</v>
          </cell>
          <cell r="N65">
            <v>13873.16</v>
          </cell>
          <cell r="O65">
            <v>11525.28</v>
          </cell>
          <cell r="P65">
            <v>10486.85</v>
          </cell>
          <cell r="Q65">
            <v>12570.96</v>
          </cell>
          <cell r="R65">
            <v>14232.8748</v>
          </cell>
          <cell r="S65">
            <v>16498.02</v>
          </cell>
          <cell r="T65">
            <v>15234.72</v>
          </cell>
          <cell r="U65">
            <v>17563</v>
          </cell>
          <cell r="V65">
            <v>168273.69480000003</v>
          </cell>
          <cell r="W65">
            <v>14022.807900000002</v>
          </cell>
        </row>
        <row r="66">
          <cell r="G66">
            <v>22346</v>
          </cell>
          <cell r="H66" t="str">
            <v>&gt; 900</v>
          </cell>
          <cell r="I66">
            <v>12</v>
          </cell>
          <cell r="J66">
            <v>11955.55</v>
          </cell>
          <cell r="K66">
            <v>7747.15</v>
          </cell>
          <cell r="L66">
            <v>11714.8</v>
          </cell>
          <cell r="M66">
            <v>8236.85</v>
          </cell>
          <cell r="N66">
            <v>10376.299999999999</v>
          </cell>
          <cell r="O66">
            <v>8790.9500000000007</v>
          </cell>
          <cell r="P66">
            <v>11111.5</v>
          </cell>
          <cell r="Q66">
            <v>8707.4</v>
          </cell>
          <cell r="R66">
            <v>14897.4</v>
          </cell>
          <cell r="S66">
            <v>17180.900000000001</v>
          </cell>
          <cell r="T66">
            <v>13854.55</v>
          </cell>
          <cell r="U66">
            <v>18963.5</v>
          </cell>
          <cell r="V66">
            <v>143536.84999999998</v>
          </cell>
          <cell r="W66">
            <v>11961.404166666665</v>
          </cell>
        </row>
        <row r="67">
          <cell r="G67">
            <v>21999</v>
          </cell>
          <cell r="H67" t="str">
            <v>&gt; 900</v>
          </cell>
          <cell r="I67">
            <v>12</v>
          </cell>
          <cell r="J67">
            <v>15120.1</v>
          </cell>
          <cell r="K67">
            <v>14152.941999999999</v>
          </cell>
          <cell r="L67">
            <v>15885.791999999999</v>
          </cell>
          <cell r="M67">
            <v>14516.32</v>
          </cell>
          <cell r="N67">
            <v>13911.84</v>
          </cell>
          <cell r="O67">
            <v>15165.26</v>
          </cell>
          <cell r="P67">
            <v>14465.8</v>
          </cell>
          <cell r="Q67">
            <v>13826.91</v>
          </cell>
          <cell r="R67">
            <v>14535.752</v>
          </cell>
          <cell r="S67">
            <v>19167.72</v>
          </cell>
          <cell r="T67">
            <v>19640.986000000001</v>
          </cell>
          <cell r="U67">
            <v>19964.5</v>
          </cell>
          <cell r="V67">
            <v>190353.92200000002</v>
          </cell>
          <cell r="W67">
            <v>15862.826833333334</v>
          </cell>
        </row>
        <row r="68">
          <cell r="G68">
            <v>22126</v>
          </cell>
          <cell r="H68" t="str">
            <v>&gt; 1500</v>
          </cell>
          <cell r="I68">
            <v>12</v>
          </cell>
          <cell r="J68">
            <v>15318.16</v>
          </cell>
          <cell r="K68">
            <v>14626.53</v>
          </cell>
          <cell r="L68">
            <v>15856.88</v>
          </cell>
          <cell r="M68">
            <v>12398.55</v>
          </cell>
          <cell r="N68">
            <v>14327.7</v>
          </cell>
          <cell r="O68">
            <v>12474.7</v>
          </cell>
          <cell r="P68">
            <v>18279.2</v>
          </cell>
          <cell r="Q68">
            <v>16959.3</v>
          </cell>
          <cell r="R68">
            <v>18621.074000000001</v>
          </cell>
          <cell r="S68">
            <v>23184.831999999999</v>
          </cell>
          <cell r="T68">
            <v>18883.650000000001</v>
          </cell>
          <cell r="U68">
            <v>22271.25</v>
          </cell>
          <cell r="V68">
            <v>203201.82599999997</v>
          </cell>
          <cell r="W68">
            <v>16933.485499999999</v>
          </cell>
        </row>
        <row r="69">
          <cell r="G69">
            <v>22131</v>
          </cell>
          <cell r="H69" t="str">
            <v>&gt; 1500</v>
          </cell>
          <cell r="I69">
            <v>12</v>
          </cell>
          <cell r="J69">
            <v>25049.85</v>
          </cell>
          <cell r="K69">
            <v>18280.900000000001</v>
          </cell>
          <cell r="L69">
            <v>18264</v>
          </cell>
          <cell r="M69">
            <v>17844.150000000001</v>
          </cell>
          <cell r="N69">
            <v>18417.599999999999</v>
          </cell>
          <cell r="O69">
            <v>15623.6</v>
          </cell>
          <cell r="P69">
            <v>16700.599999999999</v>
          </cell>
          <cell r="Q69">
            <v>15854.07</v>
          </cell>
          <cell r="R69">
            <v>18994.975999999999</v>
          </cell>
          <cell r="S69">
            <v>21351</v>
          </cell>
          <cell r="T69">
            <v>17227.48</v>
          </cell>
          <cell r="U69">
            <v>25473</v>
          </cell>
          <cell r="V69">
            <v>229081.22600000002</v>
          </cell>
          <cell r="W69">
            <v>19090.102166666667</v>
          </cell>
        </row>
        <row r="70">
          <cell r="G70">
            <v>22073</v>
          </cell>
          <cell r="H70" t="str">
            <v>&gt; 2000</v>
          </cell>
          <cell r="I70">
            <v>12</v>
          </cell>
          <cell r="J70">
            <v>36745.14</v>
          </cell>
          <cell r="K70">
            <v>31640.560000000001</v>
          </cell>
          <cell r="L70">
            <v>38142.550000000003</v>
          </cell>
          <cell r="M70">
            <v>20712.556</v>
          </cell>
          <cell r="N70">
            <v>18572.16</v>
          </cell>
          <cell r="O70">
            <v>17341.919999999998</v>
          </cell>
          <cell r="P70">
            <v>21560.720000000001</v>
          </cell>
          <cell r="Q70">
            <v>24433.26</v>
          </cell>
          <cell r="R70">
            <v>31193.146000000001</v>
          </cell>
          <cell r="S70">
            <v>30671.132000000001</v>
          </cell>
          <cell r="T70">
            <v>27986.682000000001</v>
          </cell>
          <cell r="U70">
            <v>32713.5</v>
          </cell>
          <cell r="V70">
            <v>331713.326</v>
          </cell>
          <cell r="W70">
            <v>27642.777166666667</v>
          </cell>
        </row>
        <row r="71">
          <cell r="G71">
            <v>22789</v>
          </cell>
          <cell r="H71" t="str">
            <v>&gt; 2000</v>
          </cell>
          <cell r="I71">
            <v>12</v>
          </cell>
          <cell r="J71">
            <v>22956.47</v>
          </cell>
          <cell r="K71">
            <v>24335.11</v>
          </cell>
          <cell r="L71">
            <v>25512.06</v>
          </cell>
          <cell r="M71">
            <v>19335.98</v>
          </cell>
          <cell r="N71">
            <v>23881.23</v>
          </cell>
          <cell r="O71">
            <v>19860.080000000002</v>
          </cell>
          <cell r="P71">
            <v>30445.51</v>
          </cell>
          <cell r="Q71">
            <v>28125.62</v>
          </cell>
          <cell r="R71">
            <v>56379.644</v>
          </cell>
          <cell r="S71">
            <v>56189.05</v>
          </cell>
          <cell r="T71">
            <v>34021.14</v>
          </cell>
          <cell r="U71">
            <v>41484.5</v>
          </cell>
          <cell r="V71">
            <v>382526.39400000003</v>
          </cell>
          <cell r="W71">
            <v>31877.199500000002</v>
          </cell>
        </row>
        <row r="72">
          <cell r="G72">
            <v>22002</v>
          </cell>
          <cell r="H72" t="str">
            <v>&lt; 150</v>
          </cell>
          <cell r="I72">
            <v>7</v>
          </cell>
          <cell r="J72">
            <v>1839.65</v>
          </cell>
          <cell r="K72">
            <v>1108.1099999999999</v>
          </cell>
          <cell r="L72">
            <v>1139.8</v>
          </cell>
          <cell r="M72">
            <v>1976.44</v>
          </cell>
          <cell r="N72">
            <v>1590.1</v>
          </cell>
          <cell r="O72">
            <v>1165.8</v>
          </cell>
          <cell r="P72">
            <v>211.72</v>
          </cell>
          <cell r="Q72"/>
          <cell r="R72"/>
          <cell r="S72"/>
          <cell r="T72"/>
          <cell r="U72"/>
          <cell r="V72">
            <v>9031.619999999999</v>
          </cell>
          <cell r="W72">
            <v>1290.2314285714285</v>
          </cell>
        </row>
        <row r="73">
          <cell r="G73">
            <v>22424</v>
          </cell>
          <cell r="H73" t="str">
            <v>&gt; 150</v>
          </cell>
          <cell r="I73">
            <v>3</v>
          </cell>
          <cell r="J73">
            <v>2928.27</v>
          </cell>
          <cell r="K73">
            <v>1785.8</v>
          </cell>
          <cell r="L73">
            <v>1770.8</v>
          </cell>
          <cell r="M73"/>
          <cell r="N73"/>
          <cell r="O73"/>
          <cell r="P73"/>
          <cell r="Q73"/>
          <cell r="R73"/>
          <cell r="S73"/>
          <cell r="T73"/>
          <cell r="U73"/>
          <cell r="V73">
            <v>6484.87</v>
          </cell>
          <cell r="W73">
            <v>2161.6233333333334</v>
          </cell>
        </row>
        <row r="74">
          <cell r="G74">
            <v>24437</v>
          </cell>
          <cell r="H74" t="str">
            <v>&lt; 150</v>
          </cell>
          <cell r="I74">
            <v>5</v>
          </cell>
          <cell r="J74">
            <v>1215.5999999999999</v>
          </cell>
          <cell r="K74">
            <v>821.08</v>
          </cell>
          <cell r="L74">
            <v>864.33</v>
          </cell>
          <cell r="M74">
            <v>711.4</v>
          </cell>
          <cell r="N74">
            <v>276.60000000000002</v>
          </cell>
          <cell r="O74"/>
          <cell r="P74"/>
          <cell r="Q74"/>
          <cell r="R74"/>
          <cell r="S74"/>
          <cell r="T74"/>
          <cell r="U74"/>
          <cell r="V74">
            <v>3889.0099999999998</v>
          </cell>
          <cell r="W74">
            <v>777.80199999999991</v>
          </cell>
        </row>
        <row r="75">
          <cell r="G75">
            <v>22000</v>
          </cell>
          <cell r="H75" t="str">
            <v>&lt; 150</v>
          </cell>
          <cell r="I75">
            <v>8</v>
          </cell>
          <cell r="J75">
            <v>270.56</v>
          </cell>
          <cell r="K75">
            <v>388.92</v>
          </cell>
          <cell r="L75">
            <v>353.92</v>
          </cell>
          <cell r="M75">
            <v>374.8</v>
          </cell>
          <cell r="N75">
            <v>556.79999999999995</v>
          </cell>
          <cell r="O75">
            <v>230.6</v>
          </cell>
          <cell r="P75">
            <v>331.8</v>
          </cell>
          <cell r="Q75">
            <v>94.96</v>
          </cell>
          <cell r="R75">
            <v>15</v>
          </cell>
          <cell r="S75"/>
          <cell r="T75"/>
          <cell r="U75"/>
          <cell r="V75">
            <v>2617.36</v>
          </cell>
          <cell r="W75">
            <v>327.17</v>
          </cell>
        </row>
        <row r="76">
          <cell r="G76">
            <v>21675</v>
          </cell>
          <cell r="H76" t="str">
            <v>&lt; 150</v>
          </cell>
          <cell r="I76">
            <v>9</v>
          </cell>
          <cell r="J76">
            <v>43.88</v>
          </cell>
          <cell r="K76">
            <v>64.2</v>
          </cell>
          <cell r="L76">
            <v>41.2</v>
          </cell>
          <cell r="M76">
            <v>0.8</v>
          </cell>
          <cell r="N76">
            <v>17.2</v>
          </cell>
          <cell r="O76">
            <v>116.8</v>
          </cell>
          <cell r="P76">
            <v>118</v>
          </cell>
          <cell r="Q76">
            <v>120.4</v>
          </cell>
          <cell r="R76">
            <v>47.52</v>
          </cell>
          <cell r="S76"/>
          <cell r="T76"/>
          <cell r="U76"/>
          <cell r="V76">
            <v>570</v>
          </cell>
          <cell r="W76">
            <v>63.333333333333336</v>
          </cell>
        </row>
        <row r="77">
          <cell r="G77">
            <v>23146</v>
          </cell>
          <cell r="H77" t="str">
            <v>&lt; 150</v>
          </cell>
          <cell r="I77">
            <v>1</v>
          </cell>
          <cell r="J77"/>
          <cell r="K77"/>
          <cell r="L77">
            <v>100</v>
          </cell>
          <cell r="M77">
            <v>34</v>
          </cell>
          <cell r="N77"/>
          <cell r="O77"/>
          <cell r="P77"/>
          <cell r="Q77"/>
          <cell r="R77"/>
          <cell r="S77"/>
          <cell r="T77"/>
          <cell r="U77"/>
          <cell r="V77">
            <v>134</v>
          </cell>
          <cell r="W77">
            <v>134</v>
          </cell>
        </row>
        <row r="78">
          <cell r="G78">
            <v>20894</v>
          </cell>
          <cell r="H78" t="str">
            <v>Nil</v>
          </cell>
          <cell r="I78">
            <v>0</v>
          </cell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>
            <v>0</v>
          </cell>
          <cell r="W78" t="e">
            <v>#DIV/0!</v>
          </cell>
        </row>
        <row r="79">
          <cell r="G79">
            <v>21092</v>
          </cell>
          <cell r="H79" t="str">
            <v>Nil</v>
          </cell>
          <cell r="I79">
            <v>0</v>
          </cell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>
            <v>0</v>
          </cell>
          <cell r="W79" t="e">
            <v>#DIV/0!</v>
          </cell>
        </row>
        <row r="80">
          <cell r="G80">
            <v>24583</v>
          </cell>
          <cell r="H80" t="str">
            <v>Nil</v>
          </cell>
          <cell r="I80">
            <v>0</v>
          </cell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>
            <v>0</v>
          </cell>
          <cell r="W80" t="e">
            <v>#DIV/0!</v>
          </cell>
        </row>
        <row r="81">
          <cell r="G81">
            <v>20893</v>
          </cell>
          <cell r="H81" t="str">
            <v>Nil</v>
          </cell>
          <cell r="I81">
            <v>0</v>
          </cell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>
            <v>0</v>
          </cell>
          <cell r="W81" t="e">
            <v>#DIV/0!</v>
          </cell>
        </row>
        <row r="82">
          <cell r="G82">
            <v>22362</v>
          </cell>
          <cell r="H82" t="str">
            <v>Nil</v>
          </cell>
          <cell r="I82">
            <v>0</v>
          </cell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>
            <v>0</v>
          </cell>
          <cell r="W82" t="e">
            <v>#DIV/0!</v>
          </cell>
        </row>
        <row r="83">
          <cell r="G83">
            <v>22853</v>
          </cell>
          <cell r="H83" t="str">
            <v>Nil</v>
          </cell>
          <cell r="I83">
            <v>0</v>
          </cell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>
            <v>0</v>
          </cell>
          <cell r="W83" t="e">
            <v>#DIV/0!</v>
          </cell>
        </row>
        <row r="84">
          <cell r="G84">
            <v>23537</v>
          </cell>
          <cell r="H84" t="str">
            <v>Nil</v>
          </cell>
          <cell r="I84">
            <v>0</v>
          </cell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>
            <v>0</v>
          </cell>
          <cell r="W84" t="e">
            <v>#DIV/0!</v>
          </cell>
        </row>
      </sheetData>
      <sheetData sheetId="10"/>
      <sheetData sheetId="11">
        <row r="1">
          <cell r="G1" t="str">
            <v>KO Code</v>
          </cell>
          <cell r="H1" t="str">
            <v>Month</v>
          </cell>
          <cell r="I1">
            <v>45383</v>
          </cell>
          <cell r="J1">
            <v>45413</v>
          </cell>
          <cell r="K1">
            <v>45444</v>
          </cell>
          <cell r="L1">
            <v>45474</v>
          </cell>
          <cell r="M1">
            <v>45505</v>
          </cell>
          <cell r="N1">
            <v>45536</v>
          </cell>
          <cell r="O1">
            <v>45566</v>
          </cell>
          <cell r="P1">
            <v>45597</v>
          </cell>
          <cell r="Q1">
            <v>45627</v>
          </cell>
          <cell r="R1">
            <v>45658</v>
          </cell>
          <cell r="S1">
            <v>45689</v>
          </cell>
          <cell r="T1">
            <v>45717</v>
          </cell>
          <cell r="U1" t="str">
            <v>Total txn</v>
          </cell>
          <cell r="V1" t="str">
            <v>Average</v>
          </cell>
          <cell r="W1" t="str">
            <v>Category</v>
          </cell>
        </row>
        <row r="2">
          <cell r="G2">
            <v>22789</v>
          </cell>
          <cell r="H2">
            <v>12</v>
          </cell>
          <cell r="I2">
            <v>1698</v>
          </cell>
          <cell r="J2">
            <v>1606</v>
          </cell>
          <cell r="K2">
            <v>1739</v>
          </cell>
          <cell r="L2">
            <v>1418</v>
          </cell>
          <cell r="M2">
            <v>1846</v>
          </cell>
          <cell r="N2">
            <v>1565</v>
          </cell>
          <cell r="O2">
            <v>2379</v>
          </cell>
          <cell r="P2">
            <v>2192</v>
          </cell>
          <cell r="Q2">
            <v>3903</v>
          </cell>
          <cell r="R2">
            <v>3691</v>
          </cell>
          <cell r="S2">
            <v>2335</v>
          </cell>
          <cell r="T2">
            <v>2864</v>
          </cell>
          <cell r="U2">
            <v>27236</v>
          </cell>
          <cell r="V2">
            <v>2269.6666666666665</v>
          </cell>
          <cell r="W2" t="str">
            <v>&gt; 2000</v>
          </cell>
        </row>
        <row r="3">
          <cell r="G3">
            <v>22073</v>
          </cell>
          <cell r="H3">
            <v>12</v>
          </cell>
          <cell r="I3">
            <v>2625</v>
          </cell>
          <cell r="J3">
            <v>1956</v>
          </cell>
          <cell r="K3">
            <v>2729</v>
          </cell>
          <cell r="L3">
            <v>1644</v>
          </cell>
          <cell r="M3">
            <v>1623</v>
          </cell>
          <cell r="N3">
            <v>1494</v>
          </cell>
          <cell r="O3">
            <v>2015</v>
          </cell>
          <cell r="P3">
            <v>2125</v>
          </cell>
          <cell r="Q3">
            <v>2646</v>
          </cell>
          <cell r="R3">
            <v>2322</v>
          </cell>
          <cell r="S3">
            <v>2156</v>
          </cell>
          <cell r="T3">
            <v>2577</v>
          </cell>
          <cell r="U3">
            <v>25912</v>
          </cell>
          <cell r="V3">
            <v>2159.3333333333335</v>
          </cell>
          <cell r="W3" t="str">
            <v>&gt; 2000</v>
          </cell>
        </row>
        <row r="4">
          <cell r="G4">
            <v>22126</v>
          </cell>
          <cell r="H4">
            <v>12</v>
          </cell>
          <cell r="I4">
            <v>1439</v>
          </cell>
          <cell r="J4">
            <v>1421</v>
          </cell>
          <cell r="K4">
            <v>1555</v>
          </cell>
          <cell r="L4">
            <v>1291</v>
          </cell>
          <cell r="M4">
            <v>1602</v>
          </cell>
          <cell r="N4">
            <v>1376</v>
          </cell>
          <cell r="O4">
            <v>2032</v>
          </cell>
          <cell r="P4">
            <v>1820</v>
          </cell>
          <cell r="Q4">
            <v>2137</v>
          </cell>
          <cell r="R4">
            <v>2334</v>
          </cell>
          <cell r="S4">
            <v>1538</v>
          </cell>
          <cell r="T4">
            <v>1951</v>
          </cell>
          <cell r="U4">
            <v>20496</v>
          </cell>
          <cell r="V4">
            <v>1708</v>
          </cell>
          <cell r="W4" t="str">
            <v>&gt; 1500</v>
          </cell>
        </row>
        <row r="5">
          <cell r="G5">
            <v>22131</v>
          </cell>
          <cell r="H5">
            <v>12</v>
          </cell>
          <cell r="I5">
            <v>1487</v>
          </cell>
          <cell r="J5">
            <v>1119</v>
          </cell>
          <cell r="K5">
            <v>1261</v>
          </cell>
          <cell r="L5">
            <v>1293</v>
          </cell>
          <cell r="M5">
            <v>1463</v>
          </cell>
          <cell r="N5">
            <v>1353</v>
          </cell>
          <cell r="O5">
            <v>1528</v>
          </cell>
          <cell r="P5">
            <v>1530</v>
          </cell>
          <cell r="Q5">
            <v>1865</v>
          </cell>
          <cell r="R5">
            <v>1961</v>
          </cell>
          <cell r="S5">
            <v>1536</v>
          </cell>
          <cell r="T5">
            <v>2134</v>
          </cell>
          <cell r="U5">
            <v>18530</v>
          </cell>
          <cell r="V5">
            <v>1544.1666666666667</v>
          </cell>
          <cell r="W5" t="str">
            <v>&gt; 1500</v>
          </cell>
        </row>
        <row r="6">
          <cell r="G6">
            <v>21998</v>
          </cell>
          <cell r="H6">
            <v>12</v>
          </cell>
          <cell r="I6">
            <v>1274</v>
          </cell>
          <cell r="J6">
            <v>1086</v>
          </cell>
          <cell r="K6">
            <v>1243</v>
          </cell>
          <cell r="L6">
            <v>1250</v>
          </cell>
          <cell r="M6">
            <v>1319</v>
          </cell>
          <cell r="N6">
            <v>1152</v>
          </cell>
          <cell r="O6">
            <v>1023</v>
          </cell>
          <cell r="P6">
            <v>1368</v>
          </cell>
          <cell r="Q6">
            <v>1412</v>
          </cell>
          <cell r="R6">
            <v>1475</v>
          </cell>
          <cell r="S6">
            <v>1308</v>
          </cell>
          <cell r="T6">
            <v>1584</v>
          </cell>
          <cell r="U6">
            <v>15494</v>
          </cell>
          <cell r="V6">
            <v>1291.1666666666667</v>
          </cell>
          <cell r="W6" t="str">
            <v>&gt; 900</v>
          </cell>
        </row>
        <row r="7">
          <cell r="G7">
            <v>21999</v>
          </cell>
          <cell r="H7">
            <v>12</v>
          </cell>
          <cell r="I7">
            <v>1158</v>
          </cell>
          <cell r="J7">
            <v>1090</v>
          </cell>
          <cell r="K7">
            <v>1162</v>
          </cell>
          <cell r="L7">
            <v>1166</v>
          </cell>
          <cell r="M7">
            <v>1209</v>
          </cell>
          <cell r="N7">
            <v>1194</v>
          </cell>
          <cell r="O7">
            <v>1253</v>
          </cell>
          <cell r="P7">
            <v>1271</v>
          </cell>
          <cell r="Q7">
            <v>1354</v>
          </cell>
          <cell r="R7">
            <v>1519</v>
          </cell>
          <cell r="S7">
            <v>1423</v>
          </cell>
          <cell r="T7">
            <v>1687</v>
          </cell>
          <cell r="U7">
            <v>15486</v>
          </cell>
          <cell r="V7">
            <v>1290.5</v>
          </cell>
          <cell r="W7" t="str">
            <v>&gt; 900</v>
          </cell>
        </row>
        <row r="8">
          <cell r="G8">
            <v>22346</v>
          </cell>
          <cell r="H8">
            <v>12</v>
          </cell>
          <cell r="I8">
            <v>1038</v>
          </cell>
          <cell r="J8">
            <v>705</v>
          </cell>
          <cell r="K8">
            <v>919</v>
          </cell>
          <cell r="L8">
            <v>830</v>
          </cell>
          <cell r="M8">
            <v>1020</v>
          </cell>
          <cell r="N8">
            <v>915</v>
          </cell>
          <cell r="O8">
            <v>1175</v>
          </cell>
          <cell r="P8">
            <v>953</v>
          </cell>
          <cell r="Q8">
            <v>1453</v>
          </cell>
          <cell r="R8">
            <v>1473</v>
          </cell>
          <cell r="S8">
            <v>1167</v>
          </cell>
          <cell r="T8">
            <v>1636</v>
          </cell>
          <cell r="U8">
            <v>13284</v>
          </cell>
          <cell r="V8">
            <v>1107</v>
          </cell>
          <cell r="W8" t="str">
            <v>&gt; 900</v>
          </cell>
        </row>
        <row r="9">
          <cell r="G9">
            <v>21583</v>
          </cell>
          <cell r="H9">
            <v>12</v>
          </cell>
          <cell r="I9">
            <v>977</v>
          </cell>
          <cell r="J9">
            <v>836</v>
          </cell>
          <cell r="K9">
            <v>899</v>
          </cell>
          <cell r="L9">
            <v>910</v>
          </cell>
          <cell r="M9">
            <v>1053</v>
          </cell>
          <cell r="N9">
            <v>808</v>
          </cell>
          <cell r="O9">
            <v>598</v>
          </cell>
          <cell r="P9">
            <v>1021</v>
          </cell>
          <cell r="Q9">
            <v>1280</v>
          </cell>
          <cell r="R9">
            <v>1384</v>
          </cell>
          <cell r="S9">
            <v>1227</v>
          </cell>
          <cell r="T9">
            <v>1046</v>
          </cell>
          <cell r="U9">
            <v>12039</v>
          </cell>
          <cell r="V9">
            <v>1003.25</v>
          </cell>
          <cell r="W9" t="str">
            <v>&gt; 900</v>
          </cell>
        </row>
        <row r="10">
          <cell r="G10">
            <v>23429</v>
          </cell>
          <cell r="H10">
            <v>12</v>
          </cell>
          <cell r="I10">
            <v>897</v>
          </cell>
          <cell r="J10">
            <v>987</v>
          </cell>
          <cell r="K10">
            <v>993</v>
          </cell>
          <cell r="L10">
            <v>801</v>
          </cell>
          <cell r="M10">
            <v>848</v>
          </cell>
          <cell r="N10">
            <v>832</v>
          </cell>
          <cell r="O10">
            <v>1017</v>
          </cell>
          <cell r="P10">
            <v>641</v>
          </cell>
          <cell r="Q10">
            <v>953</v>
          </cell>
          <cell r="R10">
            <v>1069</v>
          </cell>
          <cell r="S10">
            <v>792</v>
          </cell>
          <cell r="T10">
            <v>888</v>
          </cell>
          <cell r="U10">
            <v>10718</v>
          </cell>
          <cell r="V10">
            <v>893.16666666666663</v>
          </cell>
          <cell r="W10" t="str">
            <v>&gt; 600</v>
          </cell>
        </row>
        <row r="11">
          <cell r="G11">
            <v>23178</v>
          </cell>
          <cell r="H11">
            <v>12</v>
          </cell>
          <cell r="I11">
            <v>783</v>
          </cell>
          <cell r="J11">
            <v>552</v>
          </cell>
          <cell r="K11">
            <v>591</v>
          </cell>
          <cell r="L11">
            <v>796</v>
          </cell>
          <cell r="M11">
            <v>892</v>
          </cell>
          <cell r="N11">
            <v>870</v>
          </cell>
          <cell r="O11">
            <v>943</v>
          </cell>
          <cell r="P11">
            <v>884</v>
          </cell>
          <cell r="Q11">
            <v>1101</v>
          </cell>
          <cell r="R11">
            <v>1317</v>
          </cell>
          <cell r="S11">
            <v>822</v>
          </cell>
          <cell r="T11">
            <v>931</v>
          </cell>
          <cell r="U11">
            <v>10482</v>
          </cell>
          <cell r="V11">
            <v>873.5</v>
          </cell>
          <cell r="W11" t="str">
            <v>&gt; 600</v>
          </cell>
        </row>
        <row r="12">
          <cell r="G12">
            <v>26501</v>
          </cell>
          <cell r="H12">
            <v>4</v>
          </cell>
          <cell r="I12"/>
          <cell r="J12"/>
          <cell r="K12"/>
          <cell r="L12"/>
          <cell r="M12"/>
          <cell r="N12"/>
          <cell r="O12"/>
          <cell r="P12"/>
          <cell r="Q12">
            <v>391</v>
          </cell>
          <cell r="R12">
            <v>1045</v>
          </cell>
          <cell r="S12">
            <v>720</v>
          </cell>
          <cell r="T12">
            <v>584</v>
          </cell>
          <cell r="U12">
            <v>2740</v>
          </cell>
          <cell r="V12">
            <v>685</v>
          </cell>
          <cell r="W12" t="str">
            <v>&gt; 600</v>
          </cell>
        </row>
        <row r="13">
          <cell r="G13">
            <v>24153</v>
          </cell>
          <cell r="H13">
            <v>12</v>
          </cell>
          <cell r="I13">
            <v>673</v>
          </cell>
          <cell r="J13">
            <v>528</v>
          </cell>
          <cell r="K13">
            <v>528</v>
          </cell>
          <cell r="L13">
            <v>581</v>
          </cell>
          <cell r="M13">
            <v>747</v>
          </cell>
          <cell r="N13">
            <v>345</v>
          </cell>
          <cell r="O13">
            <v>750</v>
          </cell>
          <cell r="P13">
            <v>767</v>
          </cell>
          <cell r="Q13">
            <v>949</v>
          </cell>
          <cell r="R13">
            <v>1070</v>
          </cell>
          <cell r="S13">
            <v>374</v>
          </cell>
          <cell r="T13">
            <v>759</v>
          </cell>
          <cell r="U13">
            <v>8071</v>
          </cell>
          <cell r="V13">
            <v>672.58333333333337</v>
          </cell>
          <cell r="W13" t="str">
            <v>&gt; 600</v>
          </cell>
        </row>
        <row r="14">
          <cell r="G14">
            <v>20509</v>
          </cell>
          <cell r="H14">
            <v>12</v>
          </cell>
          <cell r="I14">
            <v>693</v>
          </cell>
          <cell r="J14">
            <v>639</v>
          </cell>
          <cell r="K14">
            <v>664</v>
          </cell>
          <cell r="L14">
            <v>625</v>
          </cell>
          <cell r="M14">
            <v>681</v>
          </cell>
          <cell r="N14">
            <v>556</v>
          </cell>
          <cell r="O14">
            <v>593</v>
          </cell>
          <cell r="P14">
            <v>433</v>
          </cell>
          <cell r="Q14">
            <v>772</v>
          </cell>
          <cell r="R14">
            <v>917</v>
          </cell>
          <cell r="S14">
            <v>528</v>
          </cell>
          <cell r="T14">
            <v>949</v>
          </cell>
          <cell r="U14">
            <v>8050</v>
          </cell>
          <cell r="V14">
            <v>670.83333333333337</v>
          </cell>
          <cell r="W14" t="str">
            <v>&gt; 600</v>
          </cell>
        </row>
        <row r="15">
          <cell r="G15">
            <v>23669</v>
          </cell>
          <cell r="H15">
            <v>12</v>
          </cell>
          <cell r="I15">
            <v>734</v>
          </cell>
          <cell r="J15">
            <v>292</v>
          </cell>
          <cell r="K15">
            <v>381</v>
          </cell>
          <cell r="L15">
            <v>383</v>
          </cell>
          <cell r="M15">
            <v>615</v>
          </cell>
          <cell r="N15">
            <v>553</v>
          </cell>
          <cell r="O15">
            <v>715</v>
          </cell>
          <cell r="P15">
            <v>682</v>
          </cell>
          <cell r="Q15">
            <v>815</v>
          </cell>
          <cell r="R15">
            <v>884</v>
          </cell>
          <cell r="S15">
            <v>582</v>
          </cell>
          <cell r="T15">
            <v>750</v>
          </cell>
          <cell r="U15">
            <v>7386</v>
          </cell>
          <cell r="V15">
            <v>615.5</v>
          </cell>
          <cell r="W15" t="str">
            <v>&gt; 600</v>
          </cell>
        </row>
        <row r="16">
          <cell r="G16">
            <v>22128</v>
          </cell>
          <cell r="H16">
            <v>12</v>
          </cell>
          <cell r="I16">
            <v>553</v>
          </cell>
          <cell r="J16">
            <v>679</v>
          </cell>
          <cell r="K16">
            <v>706</v>
          </cell>
          <cell r="L16">
            <v>556</v>
          </cell>
          <cell r="M16">
            <v>619</v>
          </cell>
          <cell r="N16">
            <v>514</v>
          </cell>
          <cell r="O16">
            <v>587</v>
          </cell>
          <cell r="P16">
            <v>432</v>
          </cell>
          <cell r="Q16">
            <v>612</v>
          </cell>
          <cell r="R16">
            <v>836</v>
          </cell>
          <cell r="S16">
            <v>418</v>
          </cell>
          <cell r="T16">
            <v>506</v>
          </cell>
          <cell r="U16">
            <v>7018</v>
          </cell>
          <cell r="V16">
            <v>584.83333333333337</v>
          </cell>
          <cell r="W16" t="str">
            <v>&gt; 450</v>
          </cell>
        </row>
        <row r="17">
          <cell r="G17">
            <v>26399</v>
          </cell>
          <cell r="H17">
            <v>7</v>
          </cell>
          <cell r="I17"/>
          <cell r="J17"/>
          <cell r="K17"/>
          <cell r="L17"/>
          <cell r="M17"/>
          <cell r="N17">
            <v>1</v>
          </cell>
          <cell r="O17">
            <v>297</v>
          </cell>
          <cell r="P17">
            <v>368</v>
          </cell>
          <cell r="Q17">
            <v>847</v>
          </cell>
          <cell r="R17">
            <v>886</v>
          </cell>
          <cell r="S17">
            <v>588</v>
          </cell>
          <cell r="T17">
            <v>926</v>
          </cell>
          <cell r="U17">
            <v>3913</v>
          </cell>
          <cell r="V17">
            <v>559</v>
          </cell>
          <cell r="W17" t="str">
            <v>&gt; 450</v>
          </cell>
        </row>
        <row r="18">
          <cell r="G18">
            <v>20983</v>
          </cell>
          <cell r="H18">
            <v>12</v>
          </cell>
          <cell r="I18">
            <v>471</v>
          </cell>
          <cell r="J18">
            <v>503</v>
          </cell>
          <cell r="K18">
            <v>503</v>
          </cell>
          <cell r="L18">
            <v>524</v>
          </cell>
          <cell r="M18">
            <v>450</v>
          </cell>
          <cell r="N18">
            <v>397</v>
          </cell>
          <cell r="O18">
            <v>601</v>
          </cell>
          <cell r="P18">
            <v>550</v>
          </cell>
          <cell r="Q18">
            <v>592</v>
          </cell>
          <cell r="R18">
            <v>818</v>
          </cell>
          <cell r="S18">
            <v>510</v>
          </cell>
          <cell r="T18">
            <v>452</v>
          </cell>
          <cell r="U18">
            <v>6371</v>
          </cell>
          <cell r="V18">
            <v>530.91666666666663</v>
          </cell>
          <cell r="W18" t="str">
            <v>&gt; 450</v>
          </cell>
        </row>
        <row r="19">
          <cell r="G19">
            <v>20322</v>
          </cell>
          <cell r="H19">
            <v>12</v>
          </cell>
          <cell r="I19">
            <v>688</v>
          </cell>
          <cell r="J19">
            <v>414</v>
          </cell>
          <cell r="K19">
            <v>508</v>
          </cell>
          <cell r="L19">
            <v>413</v>
          </cell>
          <cell r="M19">
            <v>560</v>
          </cell>
          <cell r="N19">
            <v>433</v>
          </cell>
          <cell r="O19">
            <v>509</v>
          </cell>
          <cell r="P19">
            <v>422</v>
          </cell>
          <cell r="Q19">
            <v>384</v>
          </cell>
          <cell r="R19">
            <v>521</v>
          </cell>
          <cell r="S19">
            <v>434</v>
          </cell>
          <cell r="T19">
            <v>629</v>
          </cell>
          <cell r="U19">
            <v>5915</v>
          </cell>
          <cell r="V19">
            <v>492.91666666666669</v>
          </cell>
          <cell r="W19" t="str">
            <v>&gt; 450</v>
          </cell>
        </row>
        <row r="20">
          <cell r="G20">
            <v>23969</v>
          </cell>
          <cell r="H20">
            <v>12</v>
          </cell>
          <cell r="I20">
            <v>502</v>
          </cell>
          <cell r="J20">
            <v>444</v>
          </cell>
          <cell r="K20">
            <v>502</v>
          </cell>
          <cell r="L20">
            <v>451</v>
          </cell>
          <cell r="M20">
            <v>533</v>
          </cell>
          <cell r="N20">
            <v>310</v>
          </cell>
          <cell r="O20">
            <v>495</v>
          </cell>
          <cell r="P20">
            <v>520</v>
          </cell>
          <cell r="Q20">
            <v>537</v>
          </cell>
          <cell r="R20">
            <v>670</v>
          </cell>
          <cell r="S20">
            <v>428</v>
          </cell>
          <cell r="T20">
            <v>493</v>
          </cell>
          <cell r="U20">
            <v>5885</v>
          </cell>
          <cell r="V20">
            <v>490.41666666666669</v>
          </cell>
          <cell r="W20" t="str">
            <v>&gt; 450</v>
          </cell>
        </row>
        <row r="21">
          <cell r="G21">
            <v>22365</v>
          </cell>
          <cell r="H21">
            <v>12</v>
          </cell>
          <cell r="I21">
            <v>541</v>
          </cell>
          <cell r="J21">
            <v>534</v>
          </cell>
          <cell r="K21">
            <v>536</v>
          </cell>
          <cell r="L21">
            <v>438</v>
          </cell>
          <cell r="M21">
            <v>565</v>
          </cell>
          <cell r="N21">
            <v>409</v>
          </cell>
          <cell r="O21">
            <v>499</v>
          </cell>
          <cell r="P21">
            <v>484</v>
          </cell>
          <cell r="Q21">
            <v>528</v>
          </cell>
          <cell r="R21">
            <v>507</v>
          </cell>
          <cell r="S21">
            <v>294</v>
          </cell>
          <cell r="T21">
            <v>414</v>
          </cell>
          <cell r="U21">
            <v>5749</v>
          </cell>
          <cell r="V21">
            <v>479.08333333333331</v>
          </cell>
          <cell r="W21" t="str">
            <v>&gt; 450</v>
          </cell>
        </row>
        <row r="22">
          <cell r="G22">
            <v>23433</v>
          </cell>
          <cell r="H22">
            <v>12</v>
          </cell>
          <cell r="I22">
            <v>488</v>
          </cell>
          <cell r="J22">
            <v>462</v>
          </cell>
          <cell r="K22">
            <v>476</v>
          </cell>
          <cell r="L22">
            <v>554</v>
          </cell>
          <cell r="M22">
            <v>520</v>
          </cell>
          <cell r="N22">
            <v>436</v>
          </cell>
          <cell r="O22">
            <v>442</v>
          </cell>
          <cell r="P22">
            <v>278</v>
          </cell>
          <cell r="Q22">
            <v>505</v>
          </cell>
          <cell r="R22">
            <v>597</v>
          </cell>
          <cell r="S22">
            <v>259</v>
          </cell>
          <cell r="T22">
            <v>346</v>
          </cell>
          <cell r="U22">
            <v>5363</v>
          </cell>
          <cell r="V22">
            <v>446.91666666666669</v>
          </cell>
          <cell r="W22" t="str">
            <v>&gt; 300</v>
          </cell>
        </row>
        <row r="23">
          <cell r="G23">
            <v>26403</v>
          </cell>
          <cell r="H23">
            <v>7</v>
          </cell>
          <cell r="I23"/>
          <cell r="J23"/>
          <cell r="K23"/>
          <cell r="L23"/>
          <cell r="M23"/>
          <cell r="N23">
            <v>191</v>
          </cell>
          <cell r="O23">
            <v>389</v>
          </cell>
          <cell r="P23">
            <v>419</v>
          </cell>
          <cell r="Q23">
            <v>467</v>
          </cell>
          <cell r="R23">
            <v>623</v>
          </cell>
          <cell r="S23">
            <v>534</v>
          </cell>
          <cell r="T23">
            <v>500</v>
          </cell>
          <cell r="U23">
            <v>3123</v>
          </cell>
          <cell r="V23">
            <v>446.14285714285717</v>
          </cell>
          <cell r="W23" t="str">
            <v>&gt; 300</v>
          </cell>
        </row>
        <row r="24">
          <cell r="G24">
            <v>23142</v>
          </cell>
          <cell r="H24">
            <v>12</v>
          </cell>
          <cell r="I24">
            <v>314</v>
          </cell>
          <cell r="J24">
            <v>274</v>
          </cell>
          <cell r="K24">
            <v>301</v>
          </cell>
          <cell r="L24">
            <v>284</v>
          </cell>
          <cell r="M24">
            <v>345</v>
          </cell>
          <cell r="N24">
            <v>296</v>
          </cell>
          <cell r="O24">
            <v>393</v>
          </cell>
          <cell r="P24">
            <v>310</v>
          </cell>
          <cell r="Q24">
            <v>576</v>
          </cell>
          <cell r="R24">
            <v>928</v>
          </cell>
          <cell r="S24">
            <v>724</v>
          </cell>
          <cell r="T24">
            <v>585</v>
          </cell>
          <cell r="U24">
            <v>5330</v>
          </cell>
          <cell r="V24">
            <v>444.16666666666669</v>
          </cell>
          <cell r="W24" t="str">
            <v>&gt; 300</v>
          </cell>
        </row>
        <row r="25">
          <cell r="G25">
            <v>21928</v>
          </cell>
          <cell r="H25">
            <v>10</v>
          </cell>
          <cell r="I25">
            <v>407</v>
          </cell>
          <cell r="J25">
            <v>259</v>
          </cell>
          <cell r="K25">
            <v>276</v>
          </cell>
          <cell r="L25"/>
          <cell r="M25"/>
          <cell r="N25">
            <v>284</v>
          </cell>
          <cell r="O25">
            <v>617</v>
          </cell>
          <cell r="P25">
            <v>441</v>
          </cell>
          <cell r="Q25">
            <v>572</v>
          </cell>
          <cell r="R25">
            <v>597</v>
          </cell>
          <cell r="S25">
            <v>472</v>
          </cell>
          <cell r="T25">
            <v>489</v>
          </cell>
          <cell r="U25">
            <v>4414</v>
          </cell>
          <cell r="V25">
            <v>441.4</v>
          </cell>
          <cell r="W25" t="str">
            <v>&gt; 300</v>
          </cell>
        </row>
        <row r="26">
          <cell r="G26">
            <v>22404</v>
          </cell>
          <cell r="H26">
            <v>12</v>
          </cell>
          <cell r="I26">
            <v>441</v>
          </cell>
          <cell r="J26">
            <v>330</v>
          </cell>
          <cell r="K26">
            <v>360</v>
          </cell>
          <cell r="L26">
            <v>443</v>
          </cell>
          <cell r="M26">
            <v>407</v>
          </cell>
          <cell r="N26">
            <v>381</v>
          </cell>
          <cell r="O26">
            <v>519</v>
          </cell>
          <cell r="P26">
            <v>455</v>
          </cell>
          <cell r="Q26">
            <v>500</v>
          </cell>
          <cell r="R26">
            <v>527</v>
          </cell>
          <cell r="S26">
            <v>343</v>
          </cell>
          <cell r="T26">
            <v>580</v>
          </cell>
          <cell r="U26">
            <v>5286</v>
          </cell>
          <cell r="V26">
            <v>440.5</v>
          </cell>
          <cell r="W26" t="str">
            <v>&gt; 300</v>
          </cell>
        </row>
        <row r="27">
          <cell r="G27">
            <v>27220</v>
          </cell>
          <cell r="H27">
            <v>3</v>
          </cell>
          <cell r="I27"/>
          <cell r="J27"/>
          <cell r="K27"/>
          <cell r="L27"/>
          <cell r="M27"/>
          <cell r="N27"/>
          <cell r="O27"/>
          <cell r="P27"/>
          <cell r="Q27"/>
          <cell r="R27">
            <v>367</v>
          </cell>
          <cell r="S27">
            <v>473</v>
          </cell>
          <cell r="T27">
            <v>424</v>
          </cell>
          <cell r="U27">
            <v>1264</v>
          </cell>
          <cell r="V27">
            <v>421.33333333333331</v>
          </cell>
          <cell r="W27" t="str">
            <v>&gt; 300</v>
          </cell>
        </row>
        <row r="28">
          <cell r="G28">
            <v>23432</v>
          </cell>
          <cell r="H28">
            <v>12</v>
          </cell>
          <cell r="I28">
            <v>284</v>
          </cell>
          <cell r="J28">
            <v>286</v>
          </cell>
          <cell r="K28">
            <v>286</v>
          </cell>
          <cell r="L28">
            <v>322</v>
          </cell>
          <cell r="M28">
            <v>296</v>
          </cell>
          <cell r="N28">
            <v>218</v>
          </cell>
          <cell r="O28">
            <v>276</v>
          </cell>
          <cell r="P28">
            <v>318</v>
          </cell>
          <cell r="Q28">
            <v>441</v>
          </cell>
          <cell r="R28">
            <v>736</v>
          </cell>
          <cell r="S28">
            <v>526</v>
          </cell>
          <cell r="T28">
            <v>711</v>
          </cell>
          <cell r="U28">
            <v>4700</v>
          </cell>
          <cell r="V28">
            <v>391.66666666666669</v>
          </cell>
          <cell r="W28" t="str">
            <v>&gt; 300</v>
          </cell>
        </row>
        <row r="29">
          <cell r="G29">
            <v>23560</v>
          </cell>
          <cell r="H29">
            <v>12</v>
          </cell>
          <cell r="I29">
            <v>401</v>
          </cell>
          <cell r="J29">
            <v>202</v>
          </cell>
          <cell r="K29">
            <v>213</v>
          </cell>
          <cell r="L29">
            <v>363</v>
          </cell>
          <cell r="M29">
            <v>339</v>
          </cell>
          <cell r="N29">
            <v>304</v>
          </cell>
          <cell r="O29">
            <v>467</v>
          </cell>
          <cell r="P29">
            <v>383</v>
          </cell>
          <cell r="Q29">
            <v>562</v>
          </cell>
          <cell r="R29">
            <v>495</v>
          </cell>
          <cell r="S29">
            <v>388</v>
          </cell>
          <cell r="T29">
            <v>453</v>
          </cell>
          <cell r="U29">
            <v>4570</v>
          </cell>
          <cell r="V29">
            <v>380.83333333333331</v>
          </cell>
          <cell r="W29" t="str">
            <v>&gt; 300</v>
          </cell>
        </row>
        <row r="30">
          <cell r="G30">
            <v>23147</v>
          </cell>
          <cell r="H30">
            <v>12</v>
          </cell>
          <cell r="I30">
            <v>542</v>
          </cell>
          <cell r="J30">
            <v>364</v>
          </cell>
          <cell r="K30">
            <v>416</v>
          </cell>
          <cell r="L30">
            <v>411</v>
          </cell>
          <cell r="M30">
            <v>378</v>
          </cell>
          <cell r="N30">
            <v>397</v>
          </cell>
          <cell r="O30">
            <v>499</v>
          </cell>
          <cell r="P30">
            <v>424</v>
          </cell>
          <cell r="Q30">
            <v>273</v>
          </cell>
          <cell r="R30">
            <v>254</v>
          </cell>
          <cell r="S30">
            <v>252</v>
          </cell>
          <cell r="T30">
            <v>354</v>
          </cell>
          <cell r="U30">
            <v>4564</v>
          </cell>
          <cell r="V30">
            <v>380.33333333333331</v>
          </cell>
          <cell r="W30" t="str">
            <v>&gt; 300</v>
          </cell>
        </row>
        <row r="31">
          <cell r="G31">
            <v>22773</v>
          </cell>
          <cell r="H31">
            <v>12</v>
          </cell>
          <cell r="I31">
            <v>317</v>
          </cell>
          <cell r="J31">
            <v>239</v>
          </cell>
          <cell r="K31">
            <v>241</v>
          </cell>
          <cell r="L31">
            <v>221</v>
          </cell>
          <cell r="M31">
            <v>210</v>
          </cell>
          <cell r="N31">
            <v>115</v>
          </cell>
          <cell r="O31">
            <v>403</v>
          </cell>
          <cell r="P31">
            <v>405</v>
          </cell>
          <cell r="Q31">
            <v>585</v>
          </cell>
          <cell r="R31">
            <v>635</v>
          </cell>
          <cell r="S31">
            <v>423</v>
          </cell>
          <cell r="T31">
            <v>537</v>
          </cell>
          <cell r="U31">
            <v>4331</v>
          </cell>
          <cell r="V31">
            <v>360.91666666666669</v>
          </cell>
          <cell r="W31" t="str">
            <v>&gt; 300</v>
          </cell>
        </row>
        <row r="32">
          <cell r="G32">
            <v>21926</v>
          </cell>
          <cell r="H32">
            <v>12</v>
          </cell>
          <cell r="I32">
            <v>246</v>
          </cell>
          <cell r="J32">
            <v>255</v>
          </cell>
          <cell r="K32">
            <v>297</v>
          </cell>
          <cell r="L32">
            <v>294</v>
          </cell>
          <cell r="M32">
            <v>388</v>
          </cell>
          <cell r="N32">
            <v>304</v>
          </cell>
          <cell r="O32">
            <v>362</v>
          </cell>
          <cell r="P32">
            <v>300</v>
          </cell>
          <cell r="Q32">
            <v>330</v>
          </cell>
          <cell r="R32">
            <v>339</v>
          </cell>
          <cell r="S32">
            <v>360</v>
          </cell>
          <cell r="T32">
            <v>418</v>
          </cell>
          <cell r="U32">
            <v>3893</v>
          </cell>
          <cell r="V32">
            <v>324.41666666666669</v>
          </cell>
          <cell r="W32" t="str">
            <v>&gt; 300</v>
          </cell>
        </row>
        <row r="33">
          <cell r="G33">
            <v>22400</v>
          </cell>
          <cell r="H33">
            <v>12</v>
          </cell>
          <cell r="I33">
            <v>365</v>
          </cell>
          <cell r="J33">
            <v>197</v>
          </cell>
          <cell r="K33">
            <v>265</v>
          </cell>
          <cell r="L33">
            <v>286</v>
          </cell>
          <cell r="M33">
            <v>350</v>
          </cell>
          <cell r="N33">
            <v>193</v>
          </cell>
          <cell r="O33">
            <v>328</v>
          </cell>
          <cell r="P33">
            <v>333</v>
          </cell>
          <cell r="Q33">
            <v>423</v>
          </cell>
          <cell r="R33">
            <v>345</v>
          </cell>
          <cell r="S33">
            <v>215</v>
          </cell>
          <cell r="T33">
            <v>381</v>
          </cell>
          <cell r="U33">
            <v>3681</v>
          </cell>
          <cell r="V33">
            <v>306.75</v>
          </cell>
          <cell r="W33" t="str">
            <v>&gt; 300</v>
          </cell>
        </row>
        <row r="34">
          <cell r="G34">
            <v>26810</v>
          </cell>
          <cell r="H34">
            <v>4</v>
          </cell>
          <cell r="I34"/>
          <cell r="J34"/>
          <cell r="K34"/>
          <cell r="L34"/>
          <cell r="M34"/>
          <cell r="N34"/>
          <cell r="O34"/>
          <cell r="P34"/>
          <cell r="Q34">
            <v>81</v>
          </cell>
          <cell r="R34">
            <v>320</v>
          </cell>
          <cell r="S34">
            <v>278</v>
          </cell>
          <cell r="T34">
            <v>457</v>
          </cell>
          <cell r="U34">
            <v>1136</v>
          </cell>
          <cell r="V34">
            <v>284</v>
          </cell>
          <cell r="W34" t="str">
            <v>&gt; 150</v>
          </cell>
        </row>
        <row r="35">
          <cell r="G35">
            <v>22424</v>
          </cell>
          <cell r="H35">
            <v>3</v>
          </cell>
          <cell r="I35">
            <v>369</v>
          </cell>
          <cell r="J35">
            <v>215</v>
          </cell>
          <cell r="K35">
            <v>215</v>
          </cell>
          <cell r="L35"/>
          <cell r="M35"/>
          <cell r="N35"/>
          <cell r="O35"/>
          <cell r="P35"/>
          <cell r="Q35"/>
          <cell r="R35"/>
          <cell r="S35"/>
          <cell r="T35"/>
          <cell r="U35">
            <v>799</v>
          </cell>
          <cell r="V35">
            <v>266.33333333333331</v>
          </cell>
          <cell r="W35" t="str">
            <v>&gt; 150</v>
          </cell>
        </row>
        <row r="36">
          <cell r="G36">
            <v>22130</v>
          </cell>
          <cell r="H36">
            <v>12</v>
          </cell>
          <cell r="I36">
            <v>259</v>
          </cell>
          <cell r="J36">
            <v>238</v>
          </cell>
          <cell r="K36">
            <v>238</v>
          </cell>
          <cell r="L36">
            <v>165</v>
          </cell>
          <cell r="M36">
            <v>185</v>
          </cell>
          <cell r="N36">
            <v>115</v>
          </cell>
          <cell r="O36">
            <v>149</v>
          </cell>
          <cell r="P36">
            <v>85</v>
          </cell>
          <cell r="Q36">
            <v>485</v>
          </cell>
          <cell r="R36">
            <v>784</v>
          </cell>
          <cell r="S36">
            <v>119</v>
          </cell>
          <cell r="T36">
            <v>287</v>
          </cell>
          <cell r="U36">
            <v>3109</v>
          </cell>
          <cell r="V36">
            <v>259.08333333333331</v>
          </cell>
          <cell r="W36" t="str">
            <v>&gt; 150</v>
          </cell>
        </row>
        <row r="37">
          <cell r="G37">
            <v>22401</v>
          </cell>
          <cell r="H37">
            <v>12</v>
          </cell>
          <cell r="I37">
            <v>262</v>
          </cell>
          <cell r="J37">
            <v>323</v>
          </cell>
          <cell r="K37">
            <v>323</v>
          </cell>
          <cell r="L37">
            <v>213</v>
          </cell>
          <cell r="M37">
            <v>216</v>
          </cell>
          <cell r="N37">
            <v>226</v>
          </cell>
          <cell r="O37">
            <v>208</v>
          </cell>
          <cell r="P37">
            <v>262</v>
          </cell>
          <cell r="Q37">
            <v>303</v>
          </cell>
          <cell r="R37">
            <v>313</v>
          </cell>
          <cell r="S37">
            <v>163</v>
          </cell>
          <cell r="T37">
            <v>264</v>
          </cell>
          <cell r="U37">
            <v>3076</v>
          </cell>
          <cell r="V37">
            <v>256.33333333333331</v>
          </cell>
          <cell r="W37" t="str">
            <v>&gt; 150</v>
          </cell>
        </row>
        <row r="38">
          <cell r="G38">
            <v>22366</v>
          </cell>
          <cell r="H38">
            <v>12</v>
          </cell>
          <cell r="I38">
            <v>245</v>
          </cell>
          <cell r="J38">
            <v>204</v>
          </cell>
          <cell r="K38">
            <v>206</v>
          </cell>
          <cell r="L38">
            <v>193</v>
          </cell>
          <cell r="M38">
            <v>228</v>
          </cell>
          <cell r="N38">
            <v>238</v>
          </cell>
          <cell r="O38">
            <v>254</v>
          </cell>
          <cell r="P38">
            <v>236</v>
          </cell>
          <cell r="Q38">
            <v>295</v>
          </cell>
          <cell r="R38">
            <v>268</v>
          </cell>
          <cell r="S38">
            <v>197</v>
          </cell>
          <cell r="T38">
            <v>274</v>
          </cell>
          <cell r="U38">
            <v>2838</v>
          </cell>
          <cell r="V38">
            <v>236.5</v>
          </cell>
          <cell r="W38" t="str">
            <v>&gt; 150</v>
          </cell>
        </row>
        <row r="39">
          <cell r="G39">
            <v>23431</v>
          </cell>
          <cell r="H39">
            <v>12</v>
          </cell>
          <cell r="I39">
            <v>214</v>
          </cell>
          <cell r="J39">
            <v>242</v>
          </cell>
          <cell r="K39">
            <v>272</v>
          </cell>
          <cell r="L39">
            <v>226</v>
          </cell>
          <cell r="M39">
            <v>280</v>
          </cell>
          <cell r="N39">
            <v>278</v>
          </cell>
          <cell r="O39">
            <v>300</v>
          </cell>
          <cell r="P39">
            <v>228</v>
          </cell>
          <cell r="Q39">
            <v>258</v>
          </cell>
          <cell r="R39">
            <v>275</v>
          </cell>
          <cell r="S39">
            <v>135</v>
          </cell>
          <cell r="T39">
            <v>120</v>
          </cell>
          <cell r="U39">
            <v>2828</v>
          </cell>
          <cell r="V39">
            <v>235.66666666666666</v>
          </cell>
          <cell r="W39" t="str">
            <v>&gt; 150</v>
          </cell>
        </row>
        <row r="40">
          <cell r="G40">
            <v>24495</v>
          </cell>
          <cell r="H40">
            <v>12</v>
          </cell>
          <cell r="I40">
            <v>176</v>
          </cell>
          <cell r="J40">
            <v>165</v>
          </cell>
          <cell r="K40">
            <v>227</v>
          </cell>
          <cell r="L40">
            <v>194</v>
          </cell>
          <cell r="M40">
            <v>332</v>
          </cell>
          <cell r="N40">
            <v>157</v>
          </cell>
          <cell r="O40">
            <v>244</v>
          </cell>
          <cell r="P40">
            <v>91</v>
          </cell>
          <cell r="Q40">
            <v>285</v>
          </cell>
          <cell r="R40">
            <v>366</v>
          </cell>
          <cell r="S40">
            <v>262</v>
          </cell>
          <cell r="T40">
            <v>181</v>
          </cell>
          <cell r="U40">
            <v>2680</v>
          </cell>
          <cell r="V40">
            <v>223.33333333333334</v>
          </cell>
          <cell r="W40" t="str">
            <v>&gt; 150</v>
          </cell>
        </row>
        <row r="41">
          <cell r="G41">
            <v>22361</v>
          </cell>
          <cell r="H41">
            <v>12</v>
          </cell>
          <cell r="I41">
            <v>165</v>
          </cell>
          <cell r="J41">
            <v>66</v>
          </cell>
          <cell r="K41">
            <v>110</v>
          </cell>
          <cell r="L41">
            <v>217</v>
          </cell>
          <cell r="M41">
            <v>292</v>
          </cell>
          <cell r="N41">
            <v>216</v>
          </cell>
          <cell r="O41">
            <v>442</v>
          </cell>
          <cell r="P41">
            <v>225</v>
          </cell>
          <cell r="Q41">
            <v>204</v>
          </cell>
          <cell r="R41">
            <v>205</v>
          </cell>
          <cell r="S41">
            <v>179</v>
          </cell>
          <cell r="T41">
            <v>165</v>
          </cell>
          <cell r="U41">
            <v>2486</v>
          </cell>
          <cell r="V41">
            <v>207.16666666666666</v>
          </cell>
          <cell r="W41" t="str">
            <v>&gt; 150</v>
          </cell>
        </row>
        <row r="42">
          <cell r="G42">
            <v>27219</v>
          </cell>
          <cell r="H42">
            <v>3</v>
          </cell>
          <cell r="I42"/>
          <cell r="J42"/>
          <cell r="K42"/>
          <cell r="L42"/>
          <cell r="M42"/>
          <cell r="N42"/>
          <cell r="O42"/>
          <cell r="P42"/>
          <cell r="Q42"/>
          <cell r="R42">
            <v>183</v>
          </cell>
          <cell r="S42">
            <v>203</v>
          </cell>
          <cell r="T42">
            <v>202</v>
          </cell>
          <cell r="U42">
            <v>588</v>
          </cell>
          <cell r="V42">
            <v>196</v>
          </cell>
          <cell r="W42" t="str">
            <v>&gt; 150</v>
          </cell>
        </row>
        <row r="43">
          <cell r="G43">
            <v>26084</v>
          </cell>
          <cell r="H43">
            <v>9</v>
          </cell>
          <cell r="I43"/>
          <cell r="J43"/>
          <cell r="K43"/>
          <cell r="L43">
            <v>5</v>
          </cell>
          <cell r="M43">
            <v>27</v>
          </cell>
          <cell r="N43">
            <v>125</v>
          </cell>
          <cell r="O43">
            <v>142</v>
          </cell>
          <cell r="P43">
            <v>179</v>
          </cell>
          <cell r="Q43">
            <v>305</v>
          </cell>
          <cell r="R43">
            <v>355</v>
          </cell>
          <cell r="S43">
            <v>286</v>
          </cell>
          <cell r="T43">
            <v>316</v>
          </cell>
          <cell r="U43">
            <v>1740</v>
          </cell>
          <cell r="V43">
            <v>193.33333333333334</v>
          </cell>
          <cell r="W43" t="str">
            <v>&gt; 150</v>
          </cell>
        </row>
        <row r="44">
          <cell r="G44">
            <v>23565</v>
          </cell>
          <cell r="H44">
            <v>12</v>
          </cell>
          <cell r="I44">
            <v>238</v>
          </cell>
          <cell r="J44">
            <v>239</v>
          </cell>
          <cell r="K44">
            <v>287</v>
          </cell>
          <cell r="L44">
            <v>199</v>
          </cell>
          <cell r="M44">
            <v>97</v>
          </cell>
          <cell r="N44">
            <v>136</v>
          </cell>
          <cell r="O44">
            <v>184</v>
          </cell>
          <cell r="P44">
            <v>103</v>
          </cell>
          <cell r="Q44">
            <v>193</v>
          </cell>
          <cell r="R44">
            <v>164</v>
          </cell>
          <cell r="S44">
            <v>148</v>
          </cell>
          <cell r="T44">
            <v>183</v>
          </cell>
          <cell r="U44">
            <v>2171</v>
          </cell>
          <cell r="V44">
            <v>180.91666666666666</v>
          </cell>
          <cell r="W44" t="str">
            <v>&gt; 150</v>
          </cell>
        </row>
        <row r="45">
          <cell r="G45">
            <v>27372</v>
          </cell>
          <cell r="H45">
            <v>3</v>
          </cell>
          <cell r="I45"/>
          <cell r="J45"/>
          <cell r="K45"/>
          <cell r="L45"/>
          <cell r="M45"/>
          <cell r="N45"/>
          <cell r="O45"/>
          <cell r="P45"/>
          <cell r="Q45"/>
          <cell r="R45">
            <v>10</v>
          </cell>
          <cell r="S45">
            <v>149</v>
          </cell>
          <cell r="T45">
            <v>381</v>
          </cell>
          <cell r="U45">
            <v>540</v>
          </cell>
          <cell r="V45">
            <v>180</v>
          </cell>
          <cell r="W45" t="str">
            <v>&gt; 150</v>
          </cell>
        </row>
        <row r="46">
          <cell r="G46">
            <v>26015</v>
          </cell>
          <cell r="H46">
            <v>9</v>
          </cell>
          <cell r="I46"/>
          <cell r="J46"/>
          <cell r="K46"/>
          <cell r="L46">
            <v>1</v>
          </cell>
          <cell r="M46">
            <v>9</v>
          </cell>
          <cell r="N46">
            <v>36</v>
          </cell>
          <cell r="O46">
            <v>151</v>
          </cell>
          <cell r="P46">
            <v>178</v>
          </cell>
          <cell r="Q46">
            <v>307</v>
          </cell>
          <cell r="R46">
            <v>351</v>
          </cell>
          <cell r="S46">
            <v>157</v>
          </cell>
          <cell r="T46">
            <v>363</v>
          </cell>
          <cell r="U46">
            <v>1553</v>
          </cell>
          <cell r="V46">
            <v>172.55555555555554</v>
          </cell>
          <cell r="W46" t="str">
            <v>&gt; 150</v>
          </cell>
        </row>
        <row r="47">
          <cell r="G47">
            <v>21091</v>
          </cell>
          <cell r="H47">
            <v>12</v>
          </cell>
          <cell r="I47">
            <v>142</v>
          </cell>
          <cell r="J47">
            <v>145</v>
          </cell>
          <cell r="K47">
            <v>159</v>
          </cell>
          <cell r="L47">
            <v>129</v>
          </cell>
          <cell r="M47">
            <v>150</v>
          </cell>
          <cell r="N47">
            <v>130</v>
          </cell>
          <cell r="O47">
            <v>116</v>
          </cell>
          <cell r="P47">
            <v>118</v>
          </cell>
          <cell r="Q47">
            <v>293</v>
          </cell>
          <cell r="R47">
            <v>256</v>
          </cell>
          <cell r="S47">
            <v>145</v>
          </cell>
          <cell r="T47">
            <v>229</v>
          </cell>
          <cell r="U47">
            <v>2012</v>
          </cell>
          <cell r="V47">
            <v>167.66666666666666</v>
          </cell>
          <cell r="W47" t="str">
            <v>&gt; 150</v>
          </cell>
        </row>
        <row r="48">
          <cell r="G48">
            <v>22768</v>
          </cell>
          <cell r="H48">
            <v>12</v>
          </cell>
          <cell r="I48">
            <v>203</v>
          </cell>
          <cell r="J48">
            <v>226</v>
          </cell>
          <cell r="K48">
            <v>287</v>
          </cell>
          <cell r="L48">
            <v>154</v>
          </cell>
          <cell r="M48">
            <v>112</v>
          </cell>
          <cell r="N48">
            <v>133</v>
          </cell>
          <cell r="O48">
            <v>75</v>
          </cell>
          <cell r="P48">
            <v>88</v>
          </cell>
          <cell r="Q48">
            <v>252</v>
          </cell>
          <cell r="R48">
            <v>176</v>
          </cell>
          <cell r="S48">
            <v>83</v>
          </cell>
          <cell r="T48">
            <v>160</v>
          </cell>
          <cell r="U48">
            <v>1949</v>
          </cell>
          <cell r="V48">
            <v>162.41666666666666</v>
          </cell>
          <cell r="W48" t="str">
            <v>&gt; 150</v>
          </cell>
        </row>
        <row r="49">
          <cell r="G49">
            <v>27028</v>
          </cell>
          <cell r="H49">
            <v>4</v>
          </cell>
          <cell r="I49"/>
          <cell r="J49"/>
          <cell r="K49"/>
          <cell r="L49"/>
          <cell r="M49"/>
          <cell r="N49"/>
          <cell r="O49"/>
          <cell r="P49"/>
          <cell r="Q49">
            <v>8</v>
          </cell>
          <cell r="R49">
            <v>235</v>
          </cell>
          <cell r="S49">
            <v>146</v>
          </cell>
          <cell r="T49">
            <v>238</v>
          </cell>
          <cell r="U49">
            <v>627</v>
          </cell>
          <cell r="V49">
            <v>156.75</v>
          </cell>
          <cell r="W49" t="str">
            <v>&gt; 150</v>
          </cell>
        </row>
        <row r="50">
          <cell r="G50">
            <v>22402</v>
          </cell>
          <cell r="H50">
            <v>12</v>
          </cell>
          <cell r="I50">
            <v>157</v>
          </cell>
          <cell r="J50">
            <v>129</v>
          </cell>
          <cell r="K50">
            <v>148</v>
          </cell>
          <cell r="L50">
            <v>185</v>
          </cell>
          <cell r="M50">
            <v>131</v>
          </cell>
          <cell r="N50">
            <v>122</v>
          </cell>
          <cell r="O50">
            <v>156</v>
          </cell>
          <cell r="P50">
            <v>170</v>
          </cell>
          <cell r="Q50">
            <v>219</v>
          </cell>
          <cell r="R50">
            <v>160</v>
          </cell>
          <cell r="S50">
            <v>105</v>
          </cell>
          <cell r="T50">
            <v>162</v>
          </cell>
          <cell r="U50">
            <v>1844</v>
          </cell>
          <cell r="V50">
            <v>153.66666666666666</v>
          </cell>
          <cell r="W50" t="str">
            <v>&gt; 150</v>
          </cell>
        </row>
        <row r="51">
          <cell r="G51">
            <v>24494</v>
          </cell>
          <cell r="H51">
            <v>12</v>
          </cell>
          <cell r="I51">
            <v>195</v>
          </cell>
          <cell r="J51">
            <v>185</v>
          </cell>
          <cell r="K51">
            <v>202</v>
          </cell>
          <cell r="L51">
            <v>134</v>
          </cell>
          <cell r="M51">
            <v>33</v>
          </cell>
          <cell r="N51">
            <v>180</v>
          </cell>
          <cell r="O51">
            <v>236</v>
          </cell>
          <cell r="P51">
            <v>59</v>
          </cell>
          <cell r="Q51">
            <v>101</v>
          </cell>
          <cell r="R51">
            <v>200</v>
          </cell>
          <cell r="S51">
            <v>173</v>
          </cell>
          <cell r="T51">
            <v>109</v>
          </cell>
          <cell r="U51">
            <v>1807</v>
          </cell>
          <cell r="V51">
            <v>150.58333333333334</v>
          </cell>
          <cell r="W51" t="str">
            <v>&gt; 150</v>
          </cell>
        </row>
        <row r="52">
          <cell r="G52">
            <v>26588</v>
          </cell>
          <cell r="H52">
            <v>7</v>
          </cell>
          <cell r="I52"/>
          <cell r="J52"/>
          <cell r="K52"/>
          <cell r="L52"/>
          <cell r="M52"/>
          <cell r="N52">
            <v>1</v>
          </cell>
          <cell r="O52">
            <v>117</v>
          </cell>
          <cell r="P52">
            <v>158</v>
          </cell>
          <cell r="Q52">
            <v>173</v>
          </cell>
          <cell r="R52">
            <v>223</v>
          </cell>
          <cell r="S52">
            <v>110</v>
          </cell>
          <cell r="T52">
            <v>228</v>
          </cell>
          <cell r="U52">
            <v>1010</v>
          </cell>
          <cell r="V52">
            <v>144.28571428571428</v>
          </cell>
          <cell r="W52" t="str">
            <v>&lt; 150</v>
          </cell>
        </row>
        <row r="53">
          <cell r="G53">
            <v>27154</v>
          </cell>
          <cell r="H53">
            <v>3</v>
          </cell>
          <cell r="I53"/>
          <cell r="J53"/>
          <cell r="K53"/>
          <cell r="L53"/>
          <cell r="M53"/>
          <cell r="N53"/>
          <cell r="O53"/>
          <cell r="P53"/>
          <cell r="Q53"/>
          <cell r="R53">
            <v>2</v>
          </cell>
          <cell r="S53">
            <v>128</v>
          </cell>
          <cell r="T53">
            <v>301</v>
          </cell>
          <cell r="U53">
            <v>431</v>
          </cell>
          <cell r="V53">
            <v>143.66666666666666</v>
          </cell>
          <cell r="W53" t="str">
            <v>&lt; 150</v>
          </cell>
        </row>
        <row r="54">
          <cell r="G54">
            <v>24527</v>
          </cell>
          <cell r="H54">
            <v>12</v>
          </cell>
          <cell r="I54">
            <v>137</v>
          </cell>
          <cell r="J54">
            <v>40</v>
          </cell>
          <cell r="K54">
            <v>40</v>
          </cell>
          <cell r="L54">
            <v>103</v>
          </cell>
          <cell r="M54">
            <v>104</v>
          </cell>
          <cell r="N54">
            <v>95</v>
          </cell>
          <cell r="O54">
            <v>129</v>
          </cell>
          <cell r="P54">
            <v>171</v>
          </cell>
          <cell r="Q54">
            <v>221</v>
          </cell>
          <cell r="R54">
            <v>262</v>
          </cell>
          <cell r="S54">
            <v>163</v>
          </cell>
          <cell r="T54">
            <v>150</v>
          </cell>
          <cell r="U54">
            <v>1615</v>
          </cell>
          <cell r="V54">
            <v>134.58333333333334</v>
          </cell>
          <cell r="W54" t="str">
            <v>&lt; 150</v>
          </cell>
        </row>
        <row r="55">
          <cell r="G55">
            <v>22002</v>
          </cell>
          <cell r="H55">
            <v>7</v>
          </cell>
          <cell r="I55">
            <v>178</v>
          </cell>
          <cell r="J55">
            <v>102</v>
          </cell>
          <cell r="K55">
            <v>121</v>
          </cell>
          <cell r="L55">
            <v>223</v>
          </cell>
          <cell r="M55">
            <v>163</v>
          </cell>
          <cell r="N55">
            <v>121</v>
          </cell>
          <cell r="O55">
            <v>22</v>
          </cell>
          <cell r="P55"/>
          <cell r="Q55"/>
          <cell r="R55"/>
          <cell r="S55"/>
          <cell r="T55"/>
          <cell r="U55">
            <v>930</v>
          </cell>
          <cell r="V55">
            <v>132.85714285714286</v>
          </cell>
          <cell r="W55" t="str">
            <v>&lt; 150</v>
          </cell>
        </row>
        <row r="56">
          <cell r="G56">
            <v>23270</v>
          </cell>
          <cell r="H56">
            <v>12</v>
          </cell>
          <cell r="I56">
            <v>80</v>
          </cell>
          <cell r="J56">
            <v>49</v>
          </cell>
          <cell r="K56">
            <v>49</v>
          </cell>
          <cell r="L56">
            <v>88</v>
          </cell>
          <cell r="M56">
            <v>83</v>
          </cell>
          <cell r="N56">
            <v>89</v>
          </cell>
          <cell r="O56">
            <v>113</v>
          </cell>
          <cell r="P56">
            <v>82</v>
          </cell>
          <cell r="Q56">
            <v>159</v>
          </cell>
          <cell r="R56">
            <v>191</v>
          </cell>
          <cell r="S56">
            <v>169</v>
          </cell>
          <cell r="T56">
            <v>141</v>
          </cell>
          <cell r="U56">
            <v>1293</v>
          </cell>
          <cell r="V56">
            <v>107.75</v>
          </cell>
          <cell r="W56" t="str">
            <v>&lt; 150</v>
          </cell>
        </row>
        <row r="57">
          <cell r="G57">
            <v>26595</v>
          </cell>
          <cell r="H57">
            <v>7</v>
          </cell>
          <cell r="I57"/>
          <cell r="J57"/>
          <cell r="K57"/>
          <cell r="L57"/>
          <cell r="M57"/>
          <cell r="N57">
            <v>3</v>
          </cell>
          <cell r="O57">
            <v>442</v>
          </cell>
          <cell r="P57">
            <v>31</v>
          </cell>
          <cell r="Q57">
            <v>83</v>
          </cell>
          <cell r="R57">
            <v>60</v>
          </cell>
          <cell r="S57">
            <v>30</v>
          </cell>
          <cell r="T57">
            <v>23</v>
          </cell>
          <cell r="U57">
            <v>672</v>
          </cell>
          <cell r="V57">
            <v>96</v>
          </cell>
          <cell r="W57" t="str">
            <v>&lt; 150</v>
          </cell>
        </row>
        <row r="58">
          <cell r="G58">
            <v>26530</v>
          </cell>
          <cell r="H58">
            <v>6</v>
          </cell>
          <cell r="I58"/>
          <cell r="J58"/>
          <cell r="K58"/>
          <cell r="L58"/>
          <cell r="M58"/>
          <cell r="N58"/>
          <cell r="O58">
            <v>22</v>
          </cell>
          <cell r="P58">
            <v>92</v>
          </cell>
          <cell r="Q58">
            <v>115</v>
          </cell>
          <cell r="R58">
            <v>87</v>
          </cell>
          <cell r="S58">
            <v>52</v>
          </cell>
          <cell r="T58">
            <v>102</v>
          </cell>
          <cell r="U58">
            <v>470</v>
          </cell>
          <cell r="V58">
            <v>78.333333333333329</v>
          </cell>
          <cell r="W58" t="str">
            <v>&lt; 150</v>
          </cell>
        </row>
        <row r="59">
          <cell r="G59">
            <v>26507</v>
          </cell>
          <cell r="H59">
            <v>5</v>
          </cell>
          <cell r="I59"/>
          <cell r="J59"/>
          <cell r="K59"/>
          <cell r="L59"/>
          <cell r="M59"/>
          <cell r="N59"/>
          <cell r="O59"/>
          <cell r="P59">
            <v>37</v>
          </cell>
          <cell r="Q59">
            <v>71</v>
          </cell>
          <cell r="R59">
            <v>102</v>
          </cell>
          <cell r="S59">
            <v>52</v>
          </cell>
          <cell r="T59">
            <v>116</v>
          </cell>
          <cell r="U59">
            <v>378</v>
          </cell>
          <cell r="V59">
            <v>75.599999999999994</v>
          </cell>
          <cell r="W59" t="str">
            <v>&lt; 150</v>
          </cell>
        </row>
        <row r="60">
          <cell r="G60">
            <v>22453</v>
          </cell>
          <cell r="H60">
            <v>12</v>
          </cell>
          <cell r="I60">
            <v>129</v>
          </cell>
          <cell r="J60">
            <v>52</v>
          </cell>
          <cell r="K60">
            <v>52</v>
          </cell>
          <cell r="L60">
            <v>82</v>
          </cell>
          <cell r="M60">
            <v>94</v>
          </cell>
          <cell r="N60">
            <v>50</v>
          </cell>
          <cell r="O60">
            <v>75</v>
          </cell>
          <cell r="P60">
            <v>52</v>
          </cell>
          <cell r="Q60">
            <v>64</v>
          </cell>
          <cell r="R60">
            <v>78</v>
          </cell>
          <cell r="S60">
            <v>26</v>
          </cell>
          <cell r="T60">
            <v>88</v>
          </cell>
          <cell r="U60">
            <v>842</v>
          </cell>
          <cell r="V60">
            <v>70.166666666666671</v>
          </cell>
          <cell r="W60" t="str">
            <v>&lt; 150</v>
          </cell>
        </row>
        <row r="61">
          <cell r="G61">
            <v>21925</v>
          </cell>
          <cell r="H61">
            <v>7</v>
          </cell>
          <cell r="I61"/>
          <cell r="J61">
            <v>3</v>
          </cell>
          <cell r="K61">
            <v>3</v>
          </cell>
          <cell r="L61">
            <v>2</v>
          </cell>
          <cell r="M61">
            <v>1</v>
          </cell>
          <cell r="N61"/>
          <cell r="O61"/>
          <cell r="P61">
            <v>88</v>
          </cell>
          <cell r="Q61">
            <v>300</v>
          </cell>
          <cell r="R61"/>
          <cell r="S61"/>
          <cell r="T61">
            <v>16</v>
          </cell>
          <cell r="U61">
            <v>413</v>
          </cell>
          <cell r="V61">
            <v>59</v>
          </cell>
          <cell r="W61" t="str">
            <v>&lt; 150</v>
          </cell>
        </row>
        <row r="62">
          <cell r="G62">
            <v>25557</v>
          </cell>
          <cell r="H62">
            <v>12</v>
          </cell>
          <cell r="I62">
            <v>32</v>
          </cell>
          <cell r="J62">
            <v>28</v>
          </cell>
          <cell r="K62">
            <v>28</v>
          </cell>
          <cell r="L62">
            <v>52</v>
          </cell>
          <cell r="M62">
            <v>42</v>
          </cell>
          <cell r="N62">
            <v>25</v>
          </cell>
          <cell r="O62">
            <v>43</v>
          </cell>
          <cell r="P62">
            <v>57</v>
          </cell>
          <cell r="Q62">
            <v>90</v>
          </cell>
          <cell r="R62">
            <v>77</v>
          </cell>
          <cell r="S62">
            <v>112</v>
          </cell>
          <cell r="T62">
            <v>97</v>
          </cell>
          <cell r="U62">
            <v>683</v>
          </cell>
          <cell r="V62">
            <v>56.916666666666664</v>
          </cell>
          <cell r="W62" t="str">
            <v>&lt; 150</v>
          </cell>
        </row>
        <row r="63">
          <cell r="G63">
            <v>22452</v>
          </cell>
          <cell r="H63">
            <v>6</v>
          </cell>
          <cell r="I63"/>
          <cell r="J63"/>
          <cell r="K63"/>
          <cell r="L63"/>
          <cell r="M63"/>
          <cell r="N63"/>
          <cell r="O63">
            <v>13</v>
          </cell>
          <cell r="P63">
            <v>15</v>
          </cell>
          <cell r="Q63">
            <v>72</v>
          </cell>
          <cell r="R63">
            <v>54</v>
          </cell>
          <cell r="S63">
            <v>58</v>
          </cell>
          <cell r="T63">
            <v>106</v>
          </cell>
          <cell r="U63">
            <v>318</v>
          </cell>
          <cell r="V63">
            <v>53</v>
          </cell>
          <cell r="W63" t="str">
            <v>&lt; 150</v>
          </cell>
        </row>
        <row r="64">
          <cell r="G64">
            <v>23214</v>
          </cell>
          <cell r="H64">
            <v>12</v>
          </cell>
          <cell r="I64">
            <v>54</v>
          </cell>
          <cell r="J64">
            <v>55</v>
          </cell>
          <cell r="K64">
            <v>59</v>
          </cell>
          <cell r="L64">
            <v>57</v>
          </cell>
          <cell r="M64">
            <v>59</v>
          </cell>
          <cell r="N64">
            <v>30</v>
          </cell>
          <cell r="O64">
            <v>22</v>
          </cell>
          <cell r="P64">
            <v>32</v>
          </cell>
          <cell r="Q64">
            <v>77</v>
          </cell>
          <cell r="R64">
            <v>83</v>
          </cell>
          <cell r="S64">
            <v>51</v>
          </cell>
          <cell r="T64">
            <v>56</v>
          </cell>
          <cell r="U64">
            <v>635</v>
          </cell>
          <cell r="V64">
            <v>52.916666666666664</v>
          </cell>
          <cell r="W64" t="str">
            <v>&lt; 150</v>
          </cell>
        </row>
        <row r="65">
          <cell r="G65">
            <v>24437</v>
          </cell>
          <cell r="H65">
            <v>5</v>
          </cell>
          <cell r="I65">
            <v>61</v>
          </cell>
          <cell r="J65">
            <v>42</v>
          </cell>
          <cell r="K65">
            <v>42</v>
          </cell>
          <cell r="L65">
            <v>44</v>
          </cell>
          <cell r="M65">
            <v>20</v>
          </cell>
          <cell r="N65"/>
          <cell r="O65"/>
          <cell r="P65"/>
          <cell r="Q65"/>
          <cell r="R65"/>
          <cell r="S65"/>
          <cell r="T65"/>
          <cell r="U65">
            <v>209</v>
          </cell>
          <cell r="V65">
            <v>41.8</v>
          </cell>
          <cell r="W65" t="str">
            <v>&lt; 150</v>
          </cell>
        </row>
        <row r="66">
          <cell r="G66">
            <v>27437</v>
          </cell>
          <cell r="H66">
            <v>2</v>
          </cell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>
            <v>26</v>
          </cell>
          <cell r="T66">
            <v>53</v>
          </cell>
          <cell r="U66">
            <v>79</v>
          </cell>
          <cell r="V66">
            <v>39.5</v>
          </cell>
          <cell r="W66" t="str">
            <v>&lt; 150</v>
          </cell>
        </row>
        <row r="67">
          <cell r="G67">
            <v>27249</v>
          </cell>
          <cell r="H67">
            <v>3</v>
          </cell>
          <cell r="I67"/>
          <cell r="J67"/>
          <cell r="K67"/>
          <cell r="L67"/>
          <cell r="M67"/>
          <cell r="N67"/>
          <cell r="O67"/>
          <cell r="P67"/>
          <cell r="Q67"/>
          <cell r="R67">
            <v>18</v>
          </cell>
          <cell r="S67">
            <v>43</v>
          </cell>
          <cell r="T67">
            <v>52</v>
          </cell>
          <cell r="U67">
            <v>113</v>
          </cell>
          <cell r="V67">
            <v>37.666666666666664</v>
          </cell>
          <cell r="W67" t="str">
            <v>&lt; 150</v>
          </cell>
        </row>
        <row r="68">
          <cell r="G68">
            <v>21929</v>
          </cell>
          <cell r="H68">
            <v>12</v>
          </cell>
          <cell r="I68">
            <v>58</v>
          </cell>
          <cell r="J68">
            <v>63</v>
          </cell>
          <cell r="K68">
            <v>69</v>
          </cell>
          <cell r="L68">
            <v>40</v>
          </cell>
          <cell r="M68">
            <v>43</v>
          </cell>
          <cell r="N68">
            <v>43</v>
          </cell>
          <cell r="O68">
            <v>65</v>
          </cell>
          <cell r="P68">
            <v>4</v>
          </cell>
          <cell r="Q68">
            <v>23</v>
          </cell>
          <cell r="R68">
            <v>13</v>
          </cell>
          <cell r="S68">
            <v>5</v>
          </cell>
          <cell r="T68">
            <v>2</v>
          </cell>
          <cell r="U68">
            <v>428</v>
          </cell>
          <cell r="V68">
            <v>35.666666666666664</v>
          </cell>
          <cell r="W68" t="str">
            <v>&lt; 150</v>
          </cell>
        </row>
        <row r="69">
          <cell r="G69">
            <v>22000</v>
          </cell>
          <cell r="H69">
            <v>8</v>
          </cell>
          <cell r="I69">
            <v>29</v>
          </cell>
          <cell r="J69">
            <v>34</v>
          </cell>
          <cell r="K69">
            <v>36</v>
          </cell>
          <cell r="L69">
            <v>35</v>
          </cell>
          <cell r="M69">
            <v>51</v>
          </cell>
          <cell r="N69">
            <v>23</v>
          </cell>
          <cell r="O69">
            <v>36</v>
          </cell>
          <cell r="P69">
            <v>8</v>
          </cell>
          <cell r="Q69"/>
          <cell r="R69"/>
          <cell r="S69"/>
          <cell r="T69"/>
          <cell r="U69">
            <v>252</v>
          </cell>
          <cell r="V69">
            <v>31.5</v>
          </cell>
          <cell r="W69" t="str">
            <v>&lt; 150</v>
          </cell>
        </row>
        <row r="70">
          <cell r="G70">
            <v>22775</v>
          </cell>
          <cell r="H70">
            <v>9</v>
          </cell>
          <cell r="I70">
            <v>80</v>
          </cell>
          <cell r="J70">
            <v>51</v>
          </cell>
          <cell r="K70">
            <v>66</v>
          </cell>
          <cell r="L70">
            <v>13</v>
          </cell>
          <cell r="M70">
            <v>20</v>
          </cell>
          <cell r="N70">
            <v>21</v>
          </cell>
          <cell r="O70">
            <v>18</v>
          </cell>
          <cell r="P70">
            <v>1</v>
          </cell>
          <cell r="Q70">
            <v>3</v>
          </cell>
          <cell r="R70"/>
          <cell r="S70"/>
          <cell r="T70"/>
          <cell r="U70">
            <v>273</v>
          </cell>
          <cell r="V70">
            <v>30.333333333333332</v>
          </cell>
          <cell r="W70" t="str">
            <v>&lt; 150</v>
          </cell>
        </row>
        <row r="71">
          <cell r="G71">
            <v>20503</v>
          </cell>
          <cell r="H71">
            <v>12</v>
          </cell>
          <cell r="I71">
            <v>21</v>
          </cell>
          <cell r="J71">
            <v>27</v>
          </cell>
          <cell r="K71">
            <v>27</v>
          </cell>
          <cell r="L71">
            <v>44</v>
          </cell>
          <cell r="M71">
            <v>34</v>
          </cell>
          <cell r="N71">
            <v>10</v>
          </cell>
          <cell r="O71">
            <v>9</v>
          </cell>
          <cell r="P71">
            <v>29</v>
          </cell>
          <cell r="Q71">
            <v>60</v>
          </cell>
          <cell r="R71">
            <v>24</v>
          </cell>
          <cell r="S71">
            <v>1</v>
          </cell>
          <cell r="T71">
            <v>23</v>
          </cell>
          <cell r="U71">
            <v>309</v>
          </cell>
          <cell r="V71">
            <v>25.75</v>
          </cell>
          <cell r="W71" t="str">
            <v>&lt; 150</v>
          </cell>
        </row>
        <row r="72">
          <cell r="G72">
            <v>27252</v>
          </cell>
          <cell r="H72">
            <v>3</v>
          </cell>
          <cell r="I72"/>
          <cell r="J72"/>
          <cell r="K72"/>
          <cell r="L72"/>
          <cell r="M72"/>
          <cell r="N72"/>
          <cell r="O72"/>
          <cell r="P72"/>
          <cell r="Q72"/>
          <cell r="R72">
            <v>44</v>
          </cell>
          <cell r="S72">
            <v>8</v>
          </cell>
          <cell r="T72">
            <v>24</v>
          </cell>
          <cell r="U72">
            <v>76</v>
          </cell>
          <cell r="V72">
            <v>25.333333333333332</v>
          </cell>
          <cell r="W72" t="str">
            <v>&lt; 150</v>
          </cell>
        </row>
        <row r="73">
          <cell r="G73">
            <v>26881</v>
          </cell>
          <cell r="H73">
            <v>4</v>
          </cell>
          <cell r="I73"/>
          <cell r="J73"/>
          <cell r="K73"/>
          <cell r="L73"/>
          <cell r="M73"/>
          <cell r="N73"/>
          <cell r="O73"/>
          <cell r="P73"/>
          <cell r="Q73">
            <v>31</v>
          </cell>
          <cell r="R73">
            <v>37</v>
          </cell>
          <cell r="S73">
            <v>15</v>
          </cell>
          <cell r="T73">
            <v>3</v>
          </cell>
          <cell r="U73">
            <v>86</v>
          </cell>
          <cell r="V73">
            <v>21.5</v>
          </cell>
          <cell r="W73" t="str">
            <v>&lt; 150</v>
          </cell>
        </row>
        <row r="74">
          <cell r="G74">
            <v>22771</v>
          </cell>
          <cell r="H74">
            <v>12</v>
          </cell>
          <cell r="I74">
            <v>18</v>
          </cell>
          <cell r="J74">
            <v>5</v>
          </cell>
          <cell r="K74">
            <v>16</v>
          </cell>
          <cell r="L74">
            <v>18</v>
          </cell>
          <cell r="M74">
            <v>16</v>
          </cell>
          <cell r="N74">
            <v>21</v>
          </cell>
          <cell r="O74">
            <v>18</v>
          </cell>
          <cell r="P74">
            <v>25</v>
          </cell>
          <cell r="Q74">
            <v>9</v>
          </cell>
          <cell r="R74">
            <v>8</v>
          </cell>
          <cell r="S74">
            <v>9</v>
          </cell>
          <cell r="T74">
            <v>11</v>
          </cell>
          <cell r="U74">
            <v>174</v>
          </cell>
          <cell r="V74">
            <v>14.5</v>
          </cell>
          <cell r="W74" t="str">
            <v>&lt; 150</v>
          </cell>
        </row>
        <row r="75">
          <cell r="G75">
            <v>21675</v>
          </cell>
          <cell r="H75">
            <v>9</v>
          </cell>
          <cell r="I75">
            <v>4</v>
          </cell>
          <cell r="J75">
            <v>7</v>
          </cell>
          <cell r="K75">
            <v>7</v>
          </cell>
          <cell r="L75">
            <v>1</v>
          </cell>
          <cell r="M75">
            <v>2</v>
          </cell>
          <cell r="N75">
            <v>13</v>
          </cell>
          <cell r="O75">
            <v>10</v>
          </cell>
          <cell r="P75">
            <v>9</v>
          </cell>
          <cell r="Q75">
            <v>4</v>
          </cell>
          <cell r="R75"/>
          <cell r="S75"/>
          <cell r="T75"/>
          <cell r="U75">
            <v>57</v>
          </cell>
          <cell r="V75">
            <v>6.333333333333333</v>
          </cell>
          <cell r="W75" t="str">
            <v>&lt; 150</v>
          </cell>
        </row>
        <row r="76">
          <cell r="G76">
            <v>20502</v>
          </cell>
          <cell r="H76">
            <v>10</v>
          </cell>
          <cell r="I76">
            <v>13</v>
          </cell>
          <cell r="J76">
            <v>5</v>
          </cell>
          <cell r="K76">
            <v>5</v>
          </cell>
          <cell r="L76">
            <v>1</v>
          </cell>
          <cell r="M76">
            <v>4</v>
          </cell>
          <cell r="N76">
            <v>2</v>
          </cell>
          <cell r="O76">
            <v>2</v>
          </cell>
          <cell r="P76"/>
          <cell r="Q76">
            <v>6</v>
          </cell>
          <cell r="R76"/>
          <cell r="S76">
            <v>2</v>
          </cell>
          <cell r="T76">
            <v>4</v>
          </cell>
          <cell r="U76">
            <v>44</v>
          </cell>
          <cell r="V76">
            <v>4.4000000000000004</v>
          </cell>
          <cell r="W76" t="str">
            <v>&lt; 150</v>
          </cell>
        </row>
        <row r="77">
          <cell r="G77">
            <v>23146</v>
          </cell>
          <cell r="H77">
            <v>1</v>
          </cell>
          <cell r="I77"/>
          <cell r="J77"/>
          <cell r="K77"/>
          <cell r="L77">
            <v>2</v>
          </cell>
          <cell r="M77"/>
          <cell r="N77"/>
          <cell r="O77"/>
          <cell r="P77"/>
          <cell r="Q77"/>
          <cell r="R77"/>
          <cell r="S77"/>
          <cell r="T77"/>
          <cell r="U77">
            <v>2</v>
          </cell>
          <cell r="V77">
            <v>2</v>
          </cell>
          <cell r="W77" t="str">
            <v>&lt; 150</v>
          </cell>
        </row>
        <row r="78">
          <cell r="G78">
            <v>20894</v>
          </cell>
          <cell r="H78">
            <v>0</v>
          </cell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 t="str">
            <v>Nil</v>
          </cell>
        </row>
        <row r="79">
          <cell r="G79">
            <v>21092</v>
          </cell>
          <cell r="H79">
            <v>0</v>
          </cell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 t="str">
            <v>Nil</v>
          </cell>
        </row>
        <row r="80">
          <cell r="G80">
            <v>24583</v>
          </cell>
          <cell r="H80">
            <v>0</v>
          </cell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 t="str">
            <v>Nil</v>
          </cell>
        </row>
        <row r="81">
          <cell r="G81">
            <v>20893</v>
          </cell>
          <cell r="H81">
            <v>0</v>
          </cell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 t="str">
            <v>Nil</v>
          </cell>
        </row>
        <row r="82">
          <cell r="G82">
            <v>22362</v>
          </cell>
          <cell r="H82">
            <v>0</v>
          </cell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 t="str">
            <v>Nil</v>
          </cell>
        </row>
        <row r="83">
          <cell r="G83">
            <v>22853</v>
          </cell>
          <cell r="H83">
            <v>0</v>
          </cell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 t="str">
            <v>Nil</v>
          </cell>
        </row>
        <row r="84">
          <cell r="G84">
            <v>23537</v>
          </cell>
          <cell r="H84">
            <v>0</v>
          </cell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 t="str">
            <v>Nil</v>
          </cell>
        </row>
      </sheetData>
      <sheetData sheetId="12">
        <row r="1">
          <cell r="G1" t="str">
            <v>KO Code</v>
          </cell>
          <cell r="H1" t="str">
            <v>Month</v>
          </cell>
          <cell r="I1">
            <v>45383</v>
          </cell>
          <cell r="J1">
            <v>45413</v>
          </cell>
          <cell r="K1">
            <v>45444</v>
          </cell>
          <cell r="L1">
            <v>45474</v>
          </cell>
          <cell r="M1">
            <v>45505</v>
          </cell>
          <cell r="N1">
            <v>45536</v>
          </cell>
          <cell r="O1">
            <v>45566</v>
          </cell>
          <cell r="P1">
            <v>45597</v>
          </cell>
          <cell r="Q1">
            <v>45627</v>
          </cell>
          <cell r="R1">
            <v>45658</v>
          </cell>
          <cell r="S1">
            <v>45689</v>
          </cell>
          <cell r="T1">
            <v>45717</v>
          </cell>
          <cell r="U1" t="str">
            <v>Total Comm</v>
          </cell>
          <cell r="V1" t="str">
            <v>Average</v>
          </cell>
        </row>
        <row r="2">
          <cell r="G2">
            <v>22073</v>
          </cell>
          <cell r="H2">
            <v>12</v>
          </cell>
          <cell r="I2">
            <v>28</v>
          </cell>
          <cell r="J2">
            <v>31</v>
          </cell>
          <cell r="K2"/>
          <cell r="L2">
            <v>27</v>
          </cell>
          <cell r="M2">
            <v>31</v>
          </cell>
          <cell r="N2">
            <v>27</v>
          </cell>
          <cell r="O2">
            <v>30</v>
          </cell>
          <cell r="P2">
            <v>27</v>
          </cell>
          <cell r="Q2">
            <v>31</v>
          </cell>
          <cell r="R2">
            <v>31</v>
          </cell>
          <cell r="S2">
            <v>27</v>
          </cell>
          <cell r="T2">
            <v>31</v>
          </cell>
          <cell r="U2">
            <v>321</v>
          </cell>
          <cell r="V2">
            <v>26.75</v>
          </cell>
        </row>
        <row r="3">
          <cell r="G3">
            <v>21926</v>
          </cell>
          <cell r="H3">
            <v>12</v>
          </cell>
          <cell r="I3">
            <v>28</v>
          </cell>
          <cell r="J3">
            <v>30</v>
          </cell>
          <cell r="K3"/>
          <cell r="L3">
            <v>26</v>
          </cell>
          <cell r="M3">
            <v>31</v>
          </cell>
          <cell r="N3">
            <v>27</v>
          </cell>
          <cell r="O3">
            <v>30</v>
          </cell>
          <cell r="P3">
            <v>26</v>
          </cell>
          <cell r="Q3">
            <v>30</v>
          </cell>
          <cell r="R3">
            <v>31</v>
          </cell>
          <cell r="S3">
            <v>27</v>
          </cell>
          <cell r="T3">
            <v>30</v>
          </cell>
          <cell r="U3">
            <v>316</v>
          </cell>
          <cell r="V3">
            <v>26.333333333333332</v>
          </cell>
        </row>
        <row r="4">
          <cell r="G4">
            <v>23560</v>
          </cell>
          <cell r="H4">
            <v>12</v>
          </cell>
          <cell r="I4">
            <v>28</v>
          </cell>
          <cell r="J4">
            <v>31</v>
          </cell>
          <cell r="K4"/>
          <cell r="L4">
            <v>27</v>
          </cell>
          <cell r="M4">
            <v>31</v>
          </cell>
          <cell r="N4">
            <v>27</v>
          </cell>
          <cell r="O4">
            <v>29</v>
          </cell>
          <cell r="P4">
            <v>26</v>
          </cell>
          <cell r="Q4">
            <v>30</v>
          </cell>
          <cell r="R4">
            <v>31</v>
          </cell>
          <cell r="S4">
            <v>26</v>
          </cell>
          <cell r="T4">
            <v>29</v>
          </cell>
          <cell r="U4">
            <v>315</v>
          </cell>
          <cell r="V4">
            <v>26.25</v>
          </cell>
        </row>
        <row r="5">
          <cell r="G5">
            <v>22789</v>
          </cell>
          <cell r="H5">
            <v>12</v>
          </cell>
          <cell r="I5">
            <v>28</v>
          </cell>
          <cell r="J5">
            <v>30</v>
          </cell>
          <cell r="K5"/>
          <cell r="L5">
            <v>27</v>
          </cell>
          <cell r="M5">
            <v>31</v>
          </cell>
          <cell r="N5">
            <v>27</v>
          </cell>
          <cell r="O5">
            <v>27</v>
          </cell>
          <cell r="P5">
            <v>27</v>
          </cell>
          <cell r="Q5">
            <v>31</v>
          </cell>
          <cell r="R5">
            <v>31</v>
          </cell>
          <cell r="S5">
            <v>25</v>
          </cell>
          <cell r="T5">
            <v>31</v>
          </cell>
          <cell r="U5">
            <v>315</v>
          </cell>
          <cell r="V5">
            <v>26.25</v>
          </cell>
        </row>
        <row r="6">
          <cell r="G6">
            <v>22131</v>
          </cell>
          <cell r="H6">
            <v>12</v>
          </cell>
          <cell r="I6">
            <v>28</v>
          </cell>
          <cell r="J6">
            <v>31</v>
          </cell>
          <cell r="K6"/>
          <cell r="L6">
            <v>27</v>
          </cell>
          <cell r="M6">
            <v>31</v>
          </cell>
          <cell r="N6">
            <v>27</v>
          </cell>
          <cell r="O6">
            <v>27</v>
          </cell>
          <cell r="P6">
            <v>27</v>
          </cell>
          <cell r="Q6">
            <v>30</v>
          </cell>
          <cell r="R6">
            <v>30</v>
          </cell>
          <cell r="S6">
            <v>26</v>
          </cell>
          <cell r="T6">
            <v>31</v>
          </cell>
          <cell r="U6">
            <v>315</v>
          </cell>
          <cell r="V6">
            <v>26.25</v>
          </cell>
        </row>
        <row r="7">
          <cell r="G7">
            <v>22126</v>
          </cell>
          <cell r="H7">
            <v>12</v>
          </cell>
          <cell r="I7">
            <v>27</v>
          </cell>
          <cell r="J7">
            <v>30</v>
          </cell>
          <cell r="K7"/>
          <cell r="L7">
            <v>27</v>
          </cell>
          <cell r="M7">
            <v>31</v>
          </cell>
          <cell r="N7">
            <v>27</v>
          </cell>
          <cell r="O7">
            <v>30</v>
          </cell>
          <cell r="P7">
            <v>27</v>
          </cell>
          <cell r="Q7">
            <v>31</v>
          </cell>
          <cell r="R7">
            <v>30</v>
          </cell>
          <cell r="S7">
            <v>23</v>
          </cell>
          <cell r="T7">
            <v>30</v>
          </cell>
          <cell r="U7">
            <v>313</v>
          </cell>
          <cell r="V7">
            <v>26.083333333333332</v>
          </cell>
        </row>
        <row r="8">
          <cell r="G8">
            <v>20983</v>
          </cell>
          <cell r="H8">
            <v>12</v>
          </cell>
          <cell r="I8">
            <v>28</v>
          </cell>
          <cell r="J8">
            <v>31</v>
          </cell>
          <cell r="K8"/>
          <cell r="L8">
            <v>27</v>
          </cell>
          <cell r="M8">
            <v>31</v>
          </cell>
          <cell r="N8">
            <v>26</v>
          </cell>
          <cell r="O8">
            <v>29</v>
          </cell>
          <cell r="P8">
            <v>27</v>
          </cell>
          <cell r="Q8">
            <v>27</v>
          </cell>
          <cell r="R8">
            <v>31</v>
          </cell>
          <cell r="S8">
            <v>26</v>
          </cell>
          <cell r="T8">
            <v>30</v>
          </cell>
          <cell r="U8">
            <v>313</v>
          </cell>
          <cell r="V8">
            <v>26.083333333333332</v>
          </cell>
        </row>
        <row r="9">
          <cell r="G9">
            <v>23669</v>
          </cell>
          <cell r="H9">
            <v>12</v>
          </cell>
          <cell r="I9">
            <v>27</v>
          </cell>
          <cell r="J9">
            <v>29</v>
          </cell>
          <cell r="K9"/>
          <cell r="L9">
            <v>27</v>
          </cell>
          <cell r="M9">
            <v>31</v>
          </cell>
          <cell r="N9">
            <v>27</v>
          </cell>
          <cell r="O9">
            <v>29</v>
          </cell>
          <cell r="P9">
            <v>25</v>
          </cell>
          <cell r="Q9">
            <v>31</v>
          </cell>
          <cell r="R9">
            <v>31</v>
          </cell>
          <cell r="S9">
            <v>26</v>
          </cell>
          <cell r="T9">
            <v>30</v>
          </cell>
          <cell r="U9">
            <v>313</v>
          </cell>
          <cell r="V9">
            <v>26.083333333333332</v>
          </cell>
        </row>
        <row r="10">
          <cell r="G10">
            <v>21999</v>
          </cell>
          <cell r="H10">
            <v>12</v>
          </cell>
          <cell r="I10">
            <v>27</v>
          </cell>
          <cell r="J10">
            <v>29</v>
          </cell>
          <cell r="K10"/>
          <cell r="L10">
            <v>27</v>
          </cell>
          <cell r="M10">
            <v>31</v>
          </cell>
          <cell r="N10">
            <v>26</v>
          </cell>
          <cell r="O10">
            <v>28</v>
          </cell>
          <cell r="P10">
            <v>27</v>
          </cell>
          <cell r="Q10">
            <v>31</v>
          </cell>
          <cell r="R10">
            <v>31</v>
          </cell>
          <cell r="S10">
            <v>26</v>
          </cell>
          <cell r="T10">
            <v>30</v>
          </cell>
          <cell r="U10">
            <v>313</v>
          </cell>
          <cell r="V10">
            <v>26.083333333333332</v>
          </cell>
        </row>
        <row r="11">
          <cell r="G11">
            <v>22366</v>
          </cell>
          <cell r="H11">
            <v>12</v>
          </cell>
          <cell r="I11">
            <v>27</v>
          </cell>
          <cell r="J11">
            <v>30</v>
          </cell>
          <cell r="K11"/>
          <cell r="L11">
            <v>27</v>
          </cell>
          <cell r="M11">
            <v>30</v>
          </cell>
          <cell r="N11">
            <v>25</v>
          </cell>
          <cell r="O11">
            <v>29</v>
          </cell>
          <cell r="P11">
            <v>27</v>
          </cell>
          <cell r="Q11">
            <v>31</v>
          </cell>
          <cell r="R11">
            <v>31</v>
          </cell>
          <cell r="S11">
            <v>25</v>
          </cell>
          <cell r="T11">
            <v>31</v>
          </cell>
          <cell r="U11">
            <v>313</v>
          </cell>
          <cell r="V11">
            <v>26.083333333333332</v>
          </cell>
        </row>
        <row r="12">
          <cell r="G12">
            <v>22346</v>
          </cell>
          <cell r="H12">
            <v>12</v>
          </cell>
          <cell r="I12">
            <v>28</v>
          </cell>
          <cell r="J12">
            <v>31</v>
          </cell>
          <cell r="K12"/>
          <cell r="L12">
            <v>27</v>
          </cell>
          <cell r="M12">
            <v>31</v>
          </cell>
          <cell r="N12">
            <v>23</v>
          </cell>
          <cell r="O12">
            <v>30</v>
          </cell>
          <cell r="P12">
            <v>24</v>
          </cell>
          <cell r="Q12">
            <v>31</v>
          </cell>
          <cell r="R12">
            <v>31</v>
          </cell>
          <cell r="S12">
            <v>26</v>
          </cell>
          <cell r="T12">
            <v>31</v>
          </cell>
          <cell r="U12">
            <v>313</v>
          </cell>
          <cell r="V12">
            <v>26.083333333333332</v>
          </cell>
        </row>
        <row r="13">
          <cell r="G13">
            <v>23429</v>
          </cell>
          <cell r="H13">
            <v>12</v>
          </cell>
          <cell r="I13">
            <v>25</v>
          </cell>
          <cell r="J13">
            <v>31</v>
          </cell>
          <cell r="K13"/>
          <cell r="L13">
            <v>25</v>
          </cell>
          <cell r="M13">
            <v>31</v>
          </cell>
          <cell r="N13">
            <v>27</v>
          </cell>
          <cell r="O13">
            <v>29</v>
          </cell>
          <cell r="P13">
            <v>26</v>
          </cell>
          <cell r="Q13">
            <v>31</v>
          </cell>
          <cell r="R13">
            <v>31</v>
          </cell>
          <cell r="S13">
            <v>26</v>
          </cell>
          <cell r="T13">
            <v>29</v>
          </cell>
          <cell r="U13">
            <v>311</v>
          </cell>
          <cell r="V13">
            <v>25.916666666666668</v>
          </cell>
        </row>
        <row r="14">
          <cell r="G14">
            <v>22404</v>
          </cell>
          <cell r="H14">
            <v>12</v>
          </cell>
          <cell r="I14">
            <v>28</v>
          </cell>
          <cell r="J14">
            <v>31</v>
          </cell>
          <cell r="K14"/>
          <cell r="L14">
            <v>24</v>
          </cell>
          <cell r="M14">
            <v>31</v>
          </cell>
          <cell r="N14">
            <v>26</v>
          </cell>
          <cell r="O14">
            <v>30</v>
          </cell>
          <cell r="P14">
            <v>27</v>
          </cell>
          <cell r="Q14">
            <v>31</v>
          </cell>
          <cell r="R14">
            <v>30</v>
          </cell>
          <cell r="S14">
            <v>22</v>
          </cell>
          <cell r="T14">
            <v>30</v>
          </cell>
          <cell r="U14">
            <v>310</v>
          </cell>
          <cell r="V14">
            <v>25.833333333333332</v>
          </cell>
        </row>
        <row r="15">
          <cell r="G15">
            <v>23432</v>
          </cell>
          <cell r="H15">
            <v>12</v>
          </cell>
          <cell r="I15">
            <v>28</v>
          </cell>
          <cell r="J15">
            <v>27</v>
          </cell>
          <cell r="K15"/>
          <cell r="L15">
            <v>27</v>
          </cell>
          <cell r="M15">
            <v>31</v>
          </cell>
          <cell r="N15">
            <v>25</v>
          </cell>
          <cell r="O15">
            <v>28</v>
          </cell>
          <cell r="P15">
            <v>27</v>
          </cell>
          <cell r="Q15">
            <v>31</v>
          </cell>
          <cell r="R15">
            <v>30</v>
          </cell>
          <cell r="S15">
            <v>26</v>
          </cell>
          <cell r="T15">
            <v>30</v>
          </cell>
          <cell r="U15">
            <v>310</v>
          </cell>
          <cell r="V15">
            <v>25.833333333333332</v>
          </cell>
        </row>
        <row r="16">
          <cell r="G16">
            <v>20509</v>
          </cell>
          <cell r="H16">
            <v>12</v>
          </cell>
          <cell r="I16">
            <v>28</v>
          </cell>
          <cell r="J16">
            <v>31</v>
          </cell>
          <cell r="K16"/>
          <cell r="L16">
            <v>27</v>
          </cell>
          <cell r="M16">
            <v>31</v>
          </cell>
          <cell r="N16">
            <v>27</v>
          </cell>
          <cell r="O16">
            <v>30</v>
          </cell>
          <cell r="P16">
            <v>23</v>
          </cell>
          <cell r="Q16">
            <v>31</v>
          </cell>
          <cell r="R16">
            <v>31</v>
          </cell>
          <cell r="S16">
            <v>20</v>
          </cell>
          <cell r="T16">
            <v>31</v>
          </cell>
          <cell r="U16">
            <v>310</v>
          </cell>
          <cell r="V16">
            <v>25.833333333333332</v>
          </cell>
        </row>
        <row r="17">
          <cell r="G17">
            <v>21998</v>
          </cell>
          <cell r="H17">
            <v>12</v>
          </cell>
          <cell r="I17">
            <v>27</v>
          </cell>
          <cell r="J17">
            <v>31</v>
          </cell>
          <cell r="K17"/>
          <cell r="L17">
            <v>27</v>
          </cell>
          <cell r="M17">
            <v>30</v>
          </cell>
          <cell r="N17">
            <v>26</v>
          </cell>
          <cell r="O17">
            <v>25</v>
          </cell>
          <cell r="P17">
            <v>27</v>
          </cell>
          <cell r="Q17">
            <v>30</v>
          </cell>
          <cell r="R17">
            <v>30</v>
          </cell>
          <cell r="S17">
            <v>26</v>
          </cell>
          <cell r="T17">
            <v>31</v>
          </cell>
          <cell r="U17">
            <v>310</v>
          </cell>
          <cell r="V17">
            <v>25.833333333333332</v>
          </cell>
        </row>
        <row r="18">
          <cell r="G18">
            <v>23142</v>
          </cell>
          <cell r="H18">
            <v>12</v>
          </cell>
          <cell r="I18">
            <v>26</v>
          </cell>
          <cell r="J18">
            <v>30</v>
          </cell>
          <cell r="K18"/>
          <cell r="L18">
            <v>27</v>
          </cell>
          <cell r="M18">
            <v>29</v>
          </cell>
          <cell r="N18">
            <v>27</v>
          </cell>
          <cell r="O18">
            <v>25</v>
          </cell>
          <cell r="P18">
            <v>25</v>
          </cell>
          <cell r="Q18">
            <v>29</v>
          </cell>
          <cell r="R18">
            <v>28</v>
          </cell>
          <cell r="S18">
            <v>27</v>
          </cell>
          <cell r="T18">
            <v>29</v>
          </cell>
          <cell r="U18">
            <v>302</v>
          </cell>
          <cell r="V18">
            <v>25.166666666666668</v>
          </cell>
        </row>
        <row r="19">
          <cell r="G19">
            <v>23969</v>
          </cell>
          <cell r="H19">
            <v>12</v>
          </cell>
          <cell r="I19">
            <v>27</v>
          </cell>
          <cell r="J19">
            <v>31</v>
          </cell>
          <cell r="K19"/>
          <cell r="L19">
            <v>27</v>
          </cell>
          <cell r="M19">
            <v>31</v>
          </cell>
          <cell r="N19">
            <v>19</v>
          </cell>
          <cell r="O19">
            <v>27</v>
          </cell>
          <cell r="P19">
            <v>26</v>
          </cell>
          <cell r="Q19">
            <v>31</v>
          </cell>
          <cell r="R19">
            <v>31</v>
          </cell>
          <cell r="S19">
            <v>23</v>
          </cell>
          <cell r="T19">
            <v>28</v>
          </cell>
          <cell r="U19">
            <v>301</v>
          </cell>
          <cell r="V19">
            <v>25.083333333333332</v>
          </cell>
        </row>
        <row r="20">
          <cell r="G20">
            <v>22128</v>
          </cell>
          <cell r="H20">
            <v>12</v>
          </cell>
          <cell r="I20">
            <v>27</v>
          </cell>
          <cell r="J20">
            <v>29</v>
          </cell>
          <cell r="K20"/>
          <cell r="L20">
            <v>25</v>
          </cell>
          <cell r="M20">
            <v>30</v>
          </cell>
          <cell r="N20">
            <v>26</v>
          </cell>
          <cell r="O20">
            <v>26</v>
          </cell>
          <cell r="P20">
            <v>25</v>
          </cell>
          <cell r="Q20">
            <v>28</v>
          </cell>
          <cell r="R20">
            <v>29</v>
          </cell>
          <cell r="S20">
            <v>26</v>
          </cell>
          <cell r="T20">
            <v>30</v>
          </cell>
          <cell r="U20">
            <v>301</v>
          </cell>
          <cell r="V20">
            <v>25.083333333333332</v>
          </cell>
        </row>
        <row r="21">
          <cell r="G21">
            <v>24495</v>
          </cell>
          <cell r="H21">
            <v>12</v>
          </cell>
          <cell r="I21">
            <v>25</v>
          </cell>
          <cell r="J21">
            <v>29</v>
          </cell>
          <cell r="K21"/>
          <cell r="L21">
            <v>26</v>
          </cell>
          <cell r="M21">
            <v>30</v>
          </cell>
          <cell r="N21">
            <v>21</v>
          </cell>
          <cell r="O21">
            <v>29</v>
          </cell>
          <cell r="P21">
            <v>20</v>
          </cell>
          <cell r="Q21">
            <v>31</v>
          </cell>
          <cell r="R21">
            <v>31</v>
          </cell>
          <cell r="S21">
            <v>22</v>
          </cell>
          <cell r="T21">
            <v>29</v>
          </cell>
          <cell r="U21">
            <v>293</v>
          </cell>
          <cell r="V21">
            <v>24.416666666666668</v>
          </cell>
        </row>
        <row r="22">
          <cell r="G22">
            <v>22365</v>
          </cell>
          <cell r="H22">
            <v>12</v>
          </cell>
          <cell r="I22">
            <v>27</v>
          </cell>
          <cell r="J22">
            <v>30</v>
          </cell>
          <cell r="K22"/>
          <cell r="L22">
            <v>25</v>
          </cell>
          <cell r="M22">
            <v>31</v>
          </cell>
          <cell r="N22">
            <v>23</v>
          </cell>
          <cell r="O22">
            <v>26</v>
          </cell>
          <cell r="P22">
            <v>25</v>
          </cell>
          <cell r="Q22">
            <v>30</v>
          </cell>
          <cell r="R22">
            <v>31</v>
          </cell>
          <cell r="S22">
            <v>21</v>
          </cell>
          <cell r="T22">
            <v>22</v>
          </cell>
          <cell r="U22">
            <v>291</v>
          </cell>
          <cell r="V22">
            <v>24.25</v>
          </cell>
        </row>
        <row r="23">
          <cell r="G23">
            <v>23565</v>
          </cell>
          <cell r="H23">
            <v>12</v>
          </cell>
          <cell r="I23">
            <v>28</v>
          </cell>
          <cell r="J23">
            <v>28</v>
          </cell>
          <cell r="K23"/>
          <cell r="L23">
            <v>26</v>
          </cell>
          <cell r="M23">
            <v>27</v>
          </cell>
          <cell r="N23">
            <v>24</v>
          </cell>
          <cell r="O23">
            <v>25</v>
          </cell>
          <cell r="P23">
            <v>24</v>
          </cell>
          <cell r="Q23">
            <v>31</v>
          </cell>
          <cell r="R23">
            <v>30</v>
          </cell>
          <cell r="S23">
            <v>24</v>
          </cell>
          <cell r="T23">
            <v>24</v>
          </cell>
          <cell r="U23">
            <v>291</v>
          </cell>
          <cell r="V23">
            <v>24.25</v>
          </cell>
        </row>
        <row r="24">
          <cell r="G24">
            <v>21583</v>
          </cell>
          <cell r="H24">
            <v>12</v>
          </cell>
          <cell r="I24">
            <v>24</v>
          </cell>
          <cell r="J24">
            <v>30</v>
          </cell>
          <cell r="K24"/>
          <cell r="L24">
            <v>24</v>
          </cell>
          <cell r="M24">
            <v>31</v>
          </cell>
          <cell r="N24">
            <v>26</v>
          </cell>
          <cell r="O24">
            <v>22</v>
          </cell>
          <cell r="P24">
            <v>25</v>
          </cell>
          <cell r="Q24">
            <v>28</v>
          </cell>
          <cell r="R24">
            <v>29</v>
          </cell>
          <cell r="S24">
            <v>25</v>
          </cell>
          <cell r="T24">
            <v>27</v>
          </cell>
          <cell r="U24">
            <v>291</v>
          </cell>
          <cell r="V24">
            <v>24.25</v>
          </cell>
        </row>
        <row r="25">
          <cell r="G25">
            <v>22773</v>
          </cell>
          <cell r="H25">
            <v>12</v>
          </cell>
          <cell r="I25">
            <v>26</v>
          </cell>
          <cell r="J25">
            <v>27</v>
          </cell>
          <cell r="K25"/>
          <cell r="L25">
            <v>27</v>
          </cell>
          <cell r="M25">
            <v>28</v>
          </cell>
          <cell r="N25">
            <v>16</v>
          </cell>
          <cell r="O25">
            <v>28</v>
          </cell>
          <cell r="P25">
            <v>25</v>
          </cell>
          <cell r="Q25">
            <v>31</v>
          </cell>
          <cell r="R25">
            <v>30</v>
          </cell>
          <cell r="S25">
            <v>24</v>
          </cell>
          <cell r="T25">
            <v>29</v>
          </cell>
          <cell r="U25">
            <v>291</v>
          </cell>
          <cell r="V25">
            <v>24.25</v>
          </cell>
        </row>
        <row r="26">
          <cell r="G26">
            <v>22402</v>
          </cell>
          <cell r="H26">
            <v>12</v>
          </cell>
          <cell r="I26">
            <v>25</v>
          </cell>
          <cell r="J26">
            <v>27</v>
          </cell>
          <cell r="K26"/>
          <cell r="L26">
            <v>24</v>
          </cell>
          <cell r="M26">
            <v>30</v>
          </cell>
          <cell r="N26">
            <v>26</v>
          </cell>
          <cell r="O26">
            <v>26</v>
          </cell>
          <cell r="P26">
            <v>24</v>
          </cell>
          <cell r="Q26">
            <v>30</v>
          </cell>
          <cell r="R26">
            <v>29</v>
          </cell>
          <cell r="S26">
            <v>21</v>
          </cell>
          <cell r="T26">
            <v>28</v>
          </cell>
          <cell r="U26">
            <v>290</v>
          </cell>
          <cell r="V26">
            <v>24.166666666666668</v>
          </cell>
        </row>
        <row r="27">
          <cell r="G27">
            <v>20322</v>
          </cell>
          <cell r="H27">
            <v>12</v>
          </cell>
          <cell r="I27">
            <v>28</v>
          </cell>
          <cell r="J27">
            <v>31</v>
          </cell>
          <cell r="K27"/>
          <cell r="L27">
            <v>23</v>
          </cell>
          <cell r="M27">
            <v>30</v>
          </cell>
          <cell r="N27">
            <v>27</v>
          </cell>
          <cell r="O27">
            <v>30</v>
          </cell>
          <cell r="P27">
            <v>22</v>
          </cell>
          <cell r="Q27">
            <v>19</v>
          </cell>
          <cell r="R27">
            <v>28</v>
          </cell>
          <cell r="S27">
            <v>21</v>
          </cell>
          <cell r="T27">
            <v>31</v>
          </cell>
          <cell r="U27">
            <v>290</v>
          </cell>
          <cell r="V27">
            <v>24.166666666666668</v>
          </cell>
        </row>
        <row r="28">
          <cell r="G28">
            <v>23178</v>
          </cell>
          <cell r="H28">
            <v>12</v>
          </cell>
          <cell r="I28">
            <v>27</v>
          </cell>
          <cell r="J28">
            <v>28</v>
          </cell>
          <cell r="K28"/>
          <cell r="L28">
            <v>26</v>
          </cell>
          <cell r="M28">
            <v>30</v>
          </cell>
          <cell r="N28">
            <v>25</v>
          </cell>
          <cell r="O28">
            <v>24</v>
          </cell>
          <cell r="P28">
            <v>22</v>
          </cell>
          <cell r="Q28">
            <v>29</v>
          </cell>
          <cell r="R28">
            <v>29</v>
          </cell>
          <cell r="S28">
            <v>22</v>
          </cell>
          <cell r="T28">
            <v>27</v>
          </cell>
          <cell r="U28">
            <v>289</v>
          </cell>
          <cell r="V28">
            <v>24.083333333333332</v>
          </cell>
        </row>
        <row r="29">
          <cell r="G29">
            <v>21091</v>
          </cell>
          <cell r="H29">
            <v>12</v>
          </cell>
          <cell r="I29">
            <v>26</v>
          </cell>
          <cell r="J29">
            <v>30</v>
          </cell>
          <cell r="K29"/>
          <cell r="L29">
            <v>26</v>
          </cell>
          <cell r="M29">
            <v>28</v>
          </cell>
          <cell r="N29">
            <v>25</v>
          </cell>
          <cell r="O29">
            <v>25</v>
          </cell>
          <cell r="P29">
            <v>22</v>
          </cell>
          <cell r="Q29">
            <v>30</v>
          </cell>
          <cell r="R29">
            <v>24</v>
          </cell>
          <cell r="S29">
            <v>21</v>
          </cell>
          <cell r="T29">
            <v>29</v>
          </cell>
          <cell r="U29">
            <v>286</v>
          </cell>
          <cell r="V29">
            <v>23.833333333333332</v>
          </cell>
        </row>
        <row r="30">
          <cell r="G30">
            <v>24153</v>
          </cell>
          <cell r="H30">
            <v>12</v>
          </cell>
          <cell r="I30">
            <v>28</v>
          </cell>
          <cell r="J30">
            <v>29</v>
          </cell>
          <cell r="K30"/>
          <cell r="L30">
            <v>27</v>
          </cell>
          <cell r="M30">
            <v>29</v>
          </cell>
          <cell r="N30">
            <v>14</v>
          </cell>
          <cell r="O30">
            <v>28</v>
          </cell>
          <cell r="P30">
            <v>27</v>
          </cell>
          <cell r="Q30">
            <v>29</v>
          </cell>
          <cell r="R30">
            <v>30</v>
          </cell>
          <cell r="S30">
            <v>14</v>
          </cell>
          <cell r="T30">
            <v>31</v>
          </cell>
          <cell r="U30">
            <v>286</v>
          </cell>
          <cell r="V30">
            <v>23.833333333333332</v>
          </cell>
        </row>
        <row r="31">
          <cell r="G31">
            <v>22401</v>
          </cell>
          <cell r="H31">
            <v>12</v>
          </cell>
          <cell r="I31">
            <v>23</v>
          </cell>
          <cell r="J31">
            <v>26</v>
          </cell>
          <cell r="K31"/>
          <cell r="L31">
            <v>25</v>
          </cell>
          <cell r="M31">
            <v>30</v>
          </cell>
          <cell r="N31">
            <v>24</v>
          </cell>
          <cell r="O31">
            <v>24</v>
          </cell>
          <cell r="P31">
            <v>25</v>
          </cell>
          <cell r="Q31">
            <v>29</v>
          </cell>
          <cell r="R31">
            <v>28</v>
          </cell>
          <cell r="S31">
            <v>20</v>
          </cell>
          <cell r="T31">
            <v>29</v>
          </cell>
          <cell r="U31">
            <v>283</v>
          </cell>
          <cell r="V31">
            <v>23.583333333333332</v>
          </cell>
        </row>
        <row r="32">
          <cell r="G32">
            <v>23431</v>
          </cell>
          <cell r="H32">
            <v>12</v>
          </cell>
          <cell r="I32">
            <v>26</v>
          </cell>
          <cell r="J32">
            <v>29</v>
          </cell>
          <cell r="K32"/>
          <cell r="L32">
            <v>23</v>
          </cell>
          <cell r="M32">
            <v>28</v>
          </cell>
          <cell r="N32">
            <v>24</v>
          </cell>
          <cell r="O32">
            <v>23</v>
          </cell>
          <cell r="P32">
            <v>24</v>
          </cell>
          <cell r="Q32">
            <v>30</v>
          </cell>
          <cell r="R32">
            <v>27</v>
          </cell>
          <cell r="S32">
            <v>21</v>
          </cell>
          <cell r="T32">
            <v>25</v>
          </cell>
          <cell r="U32">
            <v>280</v>
          </cell>
          <cell r="V32">
            <v>23.333333333333332</v>
          </cell>
        </row>
        <row r="33">
          <cell r="G33">
            <v>23270</v>
          </cell>
          <cell r="H33">
            <v>12</v>
          </cell>
          <cell r="I33">
            <v>27</v>
          </cell>
          <cell r="J33">
            <v>20</v>
          </cell>
          <cell r="K33"/>
          <cell r="L33">
            <v>23</v>
          </cell>
          <cell r="M33">
            <v>29</v>
          </cell>
          <cell r="N33">
            <v>23</v>
          </cell>
          <cell r="O33">
            <v>28</v>
          </cell>
          <cell r="P33">
            <v>18</v>
          </cell>
          <cell r="Q33">
            <v>30</v>
          </cell>
          <cell r="R33">
            <v>31</v>
          </cell>
          <cell r="S33">
            <v>27</v>
          </cell>
          <cell r="T33">
            <v>23</v>
          </cell>
          <cell r="U33">
            <v>279</v>
          </cell>
          <cell r="V33">
            <v>23.25</v>
          </cell>
        </row>
        <row r="34">
          <cell r="G34">
            <v>23433</v>
          </cell>
          <cell r="H34">
            <v>12</v>
          </cell>
          <cell r="I34">
            <v>21</v>
          </cell>
          <cell r="J34">
            <v>22</v>
          </cell>
          <cell r="K34"/>
          <cell r="L34">
            <v>27</v>
          </cell>
          <cell r="M34">
            <v>28</v>
          </cell>
          <cell r="N34">
            <v>26</v>
          </cell>
          <cell r="O34">
            <v>28</v>
          </cell>
          <cell r="P34">
            <v>20</v>
          </cell>
          <cell r="Q34">
            <v>29</v>
          </cell>
          <cell r="R34">
            <v>31</v>
          </cell>
          <cell r="S34">
            <v>16</v>
          </cell>
          <cell r="T34">
            <v>29</v>
          </cell>
          <cell r="U34">
            <v>277</v>
          </cell>
          <cell r="V34">
            <v>23.083333333333332</v>
          </cell>
        </row>
        <row r="35">
          <cell r="G35">
            <v>23147</v>
          </cell>
          <cell r="H35">
            <v>12</v>
          </cell>
          <cell r="I35">
            <v>27</v>
          </cell>
          <cell r="J35">
            <v>28</v>
          </cell>
          <cell r="K35"/>
          <cell r="L35">
            <v>25</v>
          </cell>
          <cell r="M35">
            <v>30</v>
          </cell>
          <cell r="N35">
            <v>26</v>
          </cell>
          <cell r="O35">
            <v>30</v>
          </cell>
          <cell r="P35">
            <v>26</v>
          </cell>
          <cell r="Q35">
            <v>20</v>
          </cell>
          <cell r="R35">
            <v>20</v>
          </cell>
          <cell r="S35">
            <v>19</v>
          </cell>
          <cell r="T35">
            <v>24</v>
          </cell>
          <cell r="U35">
            <v>275</v>
          </cell>
          <cell r="V35">
            <v>22.916666666666668</v>
          </cell>
        </row>
        <row r="36">
          <cell r="G36">
            <v>22400</v>
          </cell>
          <cell r="H36">
            <v>12</v>
          </cell>
          <cell r="I36">
            <v>27</v>
          </cell>
          <cell r="J36">
            <v>24</v>
          </cell>
          <cell r="K36"/>
          <cell r="L36">
            <v>25</v>
          </cell>
          <cell r="M36">
            <v>27</v>
          </cell>
          <cell r="N36">
            <v>14</v>
          </cell>
          <cell r="O36">
            <v>27</v>
          </cell>
          <cell r="P36">
            <v>25</v>
          </cell>
          <cell r="Q36">
            <v>29</v>
          </cell>
          <cell r="R36">
            <v>28</v>
          </cell>
          <cell r="S36">
            <v>24</v>
          </cell>
          <cell r="T36">
            <v>25</v>
          </cell>
          <cell r="U36">
            <v>275</v>
          </cell>
          <cell r="V36">
            <v>22.916666666666668</v>
          </cell>
        </row>
        <row r="37">
          <cell r="G37">
            <v>22768</v>
          </cell>
          <cell r="H37">
            <v>12</v>
          </cell>
          <cell r="I37">
            <v>27</v>
          </cell>
          <cell r="J37">
            <v>29</v>
          </cell>
          <cell r="K37"/>
          <cell r="L37">
            <v>25</v>
          </cell>
          <cell r="M37">
            <v>29</v>
          </cell>
          <cell r="N37">
            <v>23</v>
          </cell>
          <cell r="O37">
            <v>19</v>
          </cell>
          <cell r="P37">
            <v>16</v>
          </cell>
          <cell r="Q37">
            <v>30</v>
          </cell>
          <cell r="R37">
            <v>29</v>
          </cell>
          <cell r="S37">
            <v>18</v>
          </cell>
          <cell r="T37">
            <v>24</v>
          </cell>
          <cell r="U37">
            <v>269</v>
          </cell>
          <cell r="V37">
            <v>22.416666666666668</v>
          </cell>
        </row>
        <row r="38">
          <cell r="G38">
            <v>24527</v>
          </cell>
          <cell r="H38">
            <v>12</v>
          </cell>
          <cell r="I38">
            <v>25</v>
          </cell>
          <cell r="J38">
            <v>20</v>
          </cell>
          <cell r="K38"/>
          <cell r="L38">
            <v>19</v>
          </cell>
          <cell r="M38">
            <v>25</v>
          </cell>
          <cell r="N38">
            <v>21</v>
          </cell>
          <cell r="O38">
            <v>26</v>
          </cell>
          <cell r="P38">
            <v>25</v>
          </cell>
          <cell r="Q38">
            <v>31</v>
          </cell>
          <cell r="R38">
            <v>31</v>
          </cell>
          <cell r="S38">
            <v>20</v>
          </cell>
          <cell r="T38">
            <v>25</v>
          </cell>
          <cell r="U38">
            <v>268</v>
          </cell>
          <cell r="V38">
            <v>22.333333333333332</v>
          </cell>
        </row>
        <row r="39">
          <cell r="G39">
            <v>22361</v>
          </cell>
          <cell r="H39">
            <v>12</v>
          </cell>
          <cell r="I39">
            <v>24</v>
          </cell>
          <cell r="J39">
            <v>24</v>
          </cell>
          <cell r="K39"/>
          <cell r="L39">
            <v>21</v>
          </cell>
          <cell r="M39">
            <v>26</v>
          </cell>
          <cell r="N39">
            <v>17</v>
          </cell>
          <cell r="O39">
            <v>25</v>
          </cell>
          <cell r="P39">
            <v>16</v>
          </cell>
          <cell r="Q39">
            <v>30</v>
          </cell>
          <cell r="R39">
            <v>27</v>
          </cell>
          <cell r="S39">
            <v>24</v>
          </cell>
          <cell r="T39">
            <v>26</v>
          </cell>
          <cell r="U39">
            <v>260</v>
          </cell>
          <cell r="V39">
            <v>21.666666666666668</v>
          </cell>
        </row>
        <row r="40">
          <cell r="G40">
            <v>24494</v>
          </cell>
          <cell r="H40">
            <v>12</v>
          </cell>
          <cell r="I40">
            <v>27</v>
          </cell>
          <cell r="J40">
            <v>25</v>
          </cell>
          <cell r="K40"/>
          <cell r="L40">
            <v>9</v>
          </cell>
          <cell r="M40">
            <v>11</v>
          </cell>
          <cell r="N40">
            <v>25</v>
          </cell>
          <cell r="O40">
            <v>29</v>
          </cell>
          <cell r="P40">
            <v>14</v>
          </cell>
          <cell r="Q40">
            <v>24</v>
          </cell>
          <cell r="R40">
            <v>25</v>
          </cell>
          <cell r="S40">
            <v>22</v>
          </cell>
          <cell r="T40">
            <v>23</v>
          </cell>
          <cell r="U40">
            <v>234</v>
          </cell>
          <cell r="V40">
            <v>19.5</v>
          </cell>
        </row>
        <row r="41">
          <cell r="G41">
            <v>23214</v>
          </cell>
          <cell r="H41">
            <v>12</v>
          </cell>
          <cell r="I41">
            <v>24</v>
          </cell>
          <cell r="J41">
            <v>20</v>
          </cell>
          <cell r="K41"/>
          <cell r="L41">
            <v>22</v>
          </cell>
          <cell r="M41">
            <v>20</v>
          </cell>
          <cell r="N41">
            <v>13</v>
          </cell>
          <cell r="O41">
            <v>16</v>
          </cell>
          <cell r="P41">
            <v>17</v>
          </cell>
          <cell r="Q41">
            <v>26</v>
          </cell>
          <cell r="R41">
            <v>26</v>
          </cell>
          <cell r="S41">
            <v>16</v>
          </cell>
          <cell r="T41">
            <v>21</v>
          </cell>
          <cell r="U41">
            <v>221</v>
          </cell>
          <cell r="V41">
            <v>18.416666666666668</v>
          </cell>
        </row>
        <row r="42">
          <cell r="G42">
            <v>21928</v>
          </cell>
          <cell r="H42">
            <v>10</v>
          </cell>
          <cell r="I42">
            <v>25</v>
          </cell>
          <cell r="J42">
            <v>23</v>
          </cell>
          <cell r="K42"/>
          <cell r="L42"/>
          <cell r="M42"/>
          <cell r="N42">
            <v>20</v>
          </cell>
          <cell r="O42">
            <v>29</v>
          </cell>
          <cell r="P42">
            <v>18</v>
          </cell>
          <cell r="Q42">
            <v>29</v>
          </cell>
          <cell r="R42">
            <v>24</v>
          </cell>
          <cell r="S42">
            <v>19</v>
          </cell>
          <cell r="T42">
            <v>29</v>
          </cell>
          <cell r="U42">
            <v>216</v>
          </cell>
          <cell r="V42">
            <v>21.6</v>
          </cell>
        </row>
        <row r="43">
          <cell r="G43">
            <v>25557</v>
          </cell>
          <cell r="H43">
            <v>12</v>
          </cell>
          <cell r="I43">
            <v>18</v>
          </cell>
          <cell r="J43">
            <v>15</v>
          </cell>
          <cell r="K43"/>
          <cell r="L43">
            <v>22</v>
          </cell>
          <cell r="M43">
            <v>16</v>
          </cell>
          <cell r="N43">
            <v>15</v>
          </cell>
          <cell r="O43">
            <v>20</v>
          </cell>
          <cell r="P43">
            <v>19</v>
          </cell>
          <cell r="Q43">
            <v>27</v>
          </cell>
          <cell r="R43">
            <v>26</v>
          </cell>
          <cell r="S43">
            <v>18</v>
          </cell>
          <cell r="T43">
            <v>18</v>
          </cell>
          <cell r="U43">
            <v>214</v>
          </cell>
          <cell r="V43">
            <v>17.833333333333332</v>
          </cell>
        </row>
        <row r="44">
          <cell r="G44">
            <v>22130</v>
          </cell>
          <cell r="H44">
            <v>12</v>
          </cell>
          <cell r="I44">
            <v>22</v>
          </cell>
          <cell r="J44">
            <v>20</v>
          </cell>
          <cell r="K44"/>
          <cell r="L44">
            <v>23</v>
          </cell>
          <cell r="M44">
            <v>23</v>
          </cell>
          <cell r="N44">
            <v>18</v>
          </cell>
          <cell r="O44">
            <v>17</v>
          </cell>
          <cell r="P44">
            <v>8</v>
          </cell>
          <cell r="Q44">
            <v>23</v>
          </cell>
          <cell r="R44">
            <v>28</v>
          </cell>
          <cell r="S44">
            <v>12</v>
          </cell>
          <cell r="T44">
            <v>20</v>
          </cell>
          <cell r="U44">
            <v>214</v>
          </cell>
          <cell r="V44">
            <v>17.833333333333332</v>
          </cell>
        </row>
        <row r="45">
          <cell r="G45">
            <v>26084</v>
          </cell>
          <cell r="H45">
            <v>9</v>
          </cell>
          <cell r="I45"/>
          <cell r="J45"/>
          <cell r="K45"/>
          <cell r="L45">
            <v>4</v>
          </cell>
          <cell r="M45">
            <v>17</v>
          </cell>
          <cell r="N45">
            <v>25</v>
          </cell>
          <cell r="O45">
            <v>16</v>
          </cell>
          <cell r="P45">
            <v>27</v>
          </cell>
          <cell r="Q45">
            <v>30</v>
          </cell>
          <cell r="R45">
            <v>30</v>
          </cell>
          <cell r="S45">
            <v>22</v>
          </cell>
          <cell r="T45">
            <v>29</v>
          </cell>
          <cell r="U45">
            <v>200</v>
          </cell>
          <cell r="V45">
            <v>22.222222222222221</v>
          </cell>
        </row>
        <row r="46">
          <cell r="G46">
            <v>26403</v>
          </cell>
          <cell r="H46">
            <v>7</v>
          </cell>
          <cell r="I46"/>
          <cell r="J46"/>
          <cell r="K46"/>
          <cell r="L46"/>
          <cell r="M46"/>
          <cell r="N46">
            <v>21</v>
          </cell>
          <cell r="O46">
            <v>30</v>
          </cell>
          <cell r="P46">
            <v>26</v>
          </cell>
          <cell r="Q46">
            <v>31</v>
          </cell>
          <cell r="R46">
            <v>31</v>
          </cell>
          <cell r="S46">
            <v>27</v>
          </cell>
          <cell r="T46">
            <v>31</v>
          </cell>
          <cell r="U46">
            <v>197</v>
          </cell>
          <cell r="V46">
            <v>28.142857142857142</v>
          </cell>
        </row>
        <row r="47">
          <cell r="G47">
            <v>26015</v>
          </cell>
          <cell r="H47">
            <v>9</v>
          </cell>
          <cell r="I47"/>
          <cell r="J47"/>
          <cell r="K47"/>
          <cell r="L47">
            <v>1</v>
          </cell>
          <cell r="M47">
            <v>2</v>
          </cell>
          <cell r="N47">
            <v>16</v>
          </cell>
          <cell r="O47">
            <v>28</v>
          </cell>
          <cell r="P47">
            <v>27</v>
          </cell>
          <cell r="Q47">
            <v>31</v>
          </cell>
          <cell r="R47">
            <v>29</v>
          </cell>
          <cell r="S47">
            <v>20</v>
          </cell>
          <cell r="T47">
            <v>29</v>
          </cell>
          <cell r="U47">
            <v>183</v>
          </cell>
          <cell r="V47">
            <v>20.333333333333332</v>
          </cell>
        </row>
        <row r="48">
          <cell r="G48">
            <v>22453</v>
          </cell>
          <cell r="H48">
            <v>12</v>
          </cell>
          <cell r="I48">
            <v>20</v>
          </cell>
          <cell r="J48">
            <v>20</v>
          </cell>
          <cell r="K48"/>
          <cell r="L48">
            <v>20</v>
          </cell>
          <cell r="M48">
            <v>18</v>
          </cell>
          <cell r="N48">
            <v>9</v>
          </cell>
          <cell r="O48">
            <v>10</v>
          </cell>
          <cell r="P48">
            <v>15</v>
          </cell>
          <cell r="Q48">
            <v>19</v>
          </cell>
          <cell r="R48">
            <v>18</v>
          </cell>
          <cell r="S48">
            <v>10</v>
          </cell>
          <cell r="T48">
            <v>22</v>
          </cell>
          <cell r="U48">
            <v>181</v>
          </cell>
          <cell r="V48">
            <v>15.083333333333334</v>
          </cell>
        </row>
        <row r="49">
          <cell r="G49">
            <v>26399</v>
          </cell>
          <cell r="H49">
            <v>7</v>
          </cell>
          <cell r="I49"/>
          <cell r="J49"/>
          <cell r="K49"/>
          <cell r="L49"/>
          <cell r="M49"/>
          <cell r="N49">
            <v>1</v>
          </cell>
          <cell r="O49">
            <v>28</v>
          </cell>
          <cell r="P49">
            <v>27</v>
          </cell>
          <cell r="Q49">
            <v>31</v>
          </cell>
          <cell r="R49">
            <v>29</v>
          </cell>
          <cell r="S49">
            <v>24</v>
          </cell>
          <cell r="T49">
            <v>31</v>
          </cell>
          <cell r="U49">
            <v>171</v>
          </cell>
          <cell r="V49">
            <v>24.428571428571427</v>
          </cell>
        </row>
        <row r="50">
          <cell r="G50">
            <v>26588</v>
          </cell>
          <cell r="H50">
            <v>7</v>
          </cell>
          <cell r="I50"/>
          <cell r="J50"/>
          <cell r="K50"/>
          <cell r="L50"/>
          <cell r="M50"/>
          <cell r="N50">
            <v>1</v>
          </cell>
          <cell r="O50">
            <v>25</v>
          </cell>
          <cell r="P50">
            <v>25</v>
          </cell>
          <cell r="Q50">
            <v>27</v>
          </cell>
          <cell r="R50">
            <v>30</v>
          </cell>
          <cell r="S50">
            <v>19</v>
          </cell>
          <cell r="T50">
            <v>29</v>
          </cell>
          <cell r="U50">
            <v>156</v>
          </cell>
          <cell r="V50">
            <v>22.285714285714285</v>
          </cell>
        </row>
        <row r="51">
          <cell r="G51">
            <v>20503</v>
          </cell>
          <cell r="H51">
            <v>12</v>
          </cell>
          <cell r="I51">
            <v>12</v>
          </cell>
          <cell r="J51">
            <v>14</v>
          </cell>
          <cell r="K51"/>
          <cell r="L51">
            <v>16</v>
          </cell>
          <cell r="M51">
            <v>12</v>
          </cell>
          <cell r="N51">
            <v>6</v>
          </cell>
          <cell r="O51">
            <v>8</v>
          </cell>
          <cell r="P51">
            <v>14</v>
          </cell>
          <cell r="Q51">
            <v>23</v>
          </cell>
          <cell r="R51">
            <v>10</v>
          </cell>
          <cell r="S51">
            <v>1</v>
          </cell>
          <cell r="T51">
            <v>13</v>
          </cell>
          <cell r="U51">
            <v>129</v>
          </cell>
          <cell r="V51">
            <v>10.75</v>
          </cell>
        </row>
        <row r="52">
          <cell r="G52">
            <v>26530</v>
          </cell>
          <cell r="H52">
            <v>6</v>
          </cell>
          <cell r="I52"/>
          <cell r="J52"/>
          <cell r="K52"/>
          <cell r="L52"/>
          <cell r="M52"/>
          <cell r="N52"/>
          <cell r="O52">
            <v>10</v>
          </cell>
          <cell r="P52">
            <v>20</v>
          </cell>
          <cell r="Q52">
            <v>24</v>
          </cell>
          <cell r="R52">
            <v>26</v>
          </cell>
          <cell r="S52">
            <v>17</v>
          </cell>
          <cell r="T52">
            <v>27</v>
          </cell>
          <cell r="U52">
            <v>124</v>
          </cell>
          <cell r="V52">
            <v>20.666666666666668</v>
          </cell>
        </row>
        <row r="53">
          <cell r="G53">
            <v>21929</v>
          </cell>
          <cell r="H53">
            <v>12</v>
          </cell>
          <cell r="I53">
            <v>18</v>
          </cell>
          <cell r="J53">
            <v>15</v>
          </cell>
          <cell r="K53"/>
          <cell r="L53">
            <v>17</v>
          </cell>
          <cell r="M53">
            <v>17</v>
          </cell>
          <cell r="N53">
            <v>16</v>
          </cell>
          <cell r="O53">
            <v>13</v>
          </cell>
          <cell r="P53">
            <v>4</v>
          </cell>
          <cell r="Q53">
            <v>7</v>
          </cell>
          <cell r="R53">
            <v>8</v>
          </cell>
          <cell r="S53">
            <v>4</v>
          </cell>
          <cell r="T53">
            <v>2</v>
          </cell>
          <cell r="U53">
            <v>121</v>
          </cell>
          <cell r="V53">
            <v>10.083333333333334</v>
          </cell>
        </row>
        <row r="54">
          <cell r="G54">
            <v>22771</v>
          </cell>
          <cell r="H54">
            <v>12</v>
          </cell>
          <cell r="I54">
            <v>11</v>
          </cell>
          <cell r="J54">
            <v>4</v>
          </cell>
          <cell r="K54"/>
          <cell r="L54">
            <v>11</v>
          </cell>
          <cell r="M54">
            <v>13</v>
          </cell>
          <cell r="N54">
            <v>14</v>
          </cell>
          <cell r="O54">
            <v>13</v>
          </cell>
          <cell r="P54">
            <v>15</v>
          </cell>
          <cell r="Q54">
            <v>7</v>
          </cell>
          <cell r="R54">
            <v>6</v>
          </cell>
          <cell r="S54">
            <v>7</v>
          </cell>
          <cell r="T54">
            <v>10</v>
          </cell>
          <cell r="U54">
            <v>111</v>
          </cell>
          <cell r="V54">
            <v>9.25</v>
          </cell>
        </row>
        <row r="55">
          <cell r="G55">
            <v>22002</v>
          </cell>
          <cell r="H55">
            <v>7</v>
          </cell>
          <cell r="I55">
            <v>19</v>
          </cell>
          <cell r="J55">
            <v>22</v>
          </cell>
          <cell r="K55"/>
          <cell r="L55">
            <v>23</v>
          </cell>
          <cell r="M55">
            <v>24</v>
          </cell>
          <cell r="N55">
            <v>19</v>
          </cell>
          <cell r="O55">
            <v>3</v>
          </cell>
          <cell r="P55"/>
          <cell r="Q55"/>
          <cell r="R55"/>
          <cell r="S55"/>
          <cell r="T55"/>
          <cell r="U55">
            <v>110</v>
          </cell>
          <cell r="V55">
            <v>15.714285714285714</v>
          </cell>
        </row>
        <row r="56">
          <cell r="G56">
            <v>22452</v>
          </cell>
          <cell r="H56">
            <v>6</v>
          </cell>
          <cell r="I56"/>
          <cell r="J56"/>
          <cell r="K56"/>
          <cell r="L56"/>
          <cell r="M56"/>
          <cell r="N56"/>
          <cell r="O56">
            <v>6</v>
          </cell>
          <cell r="P56">
            <v>10</v>
          </cell>
          <cell r="Q56">
            <v>27</v>
          </cell>
          <cell r="R56">
            <v>23</v>
          </cell>
          <cell r="S56">
            <v>18</v>
          </cell>
          <cell r="T56">
            <v>24</v>
          </cell>
          <cell r="U56">
            <v>108</v>
          </cell>
          <cell r="V56">
            <v>18</v>
          </cell>
        </row>
        <row r="57">
          <cell r="G57">
            <v>26810</v>
          </cell>
          <cell r="H57">
            <v>4</v>
          </cell>
          <cell r="I57"/>
          <cell r="J57"/>
          <cell r="K57"/>
          <cell r="L57"/>
          <cell r="M57"/>
          <cell r="N57"/>
          <cell r="O57"/>
          <cell r="P57"/>
          <cell r="Q57">
            <v>18</v>
          </cell>
          <cell r="R57">
            <v>28</v>
          </cell>
          <cell r="S57">
            <v>19</v>
          </cell>
          <cell r="T57">
            <v>26</v>
          </cell>
          <cell r="U57">
            <v>91</v>
          </cell>
          <cell r="V57">
            <v>22.75</v>
          </cell>
        </row>
        <row r="58">
          <cell r="G58">
            <v>26595</v>
          </cell>
          <cell r="H58">
            <v>7</v>
          </cell>
          <cell r="I58"/>
          <cell r="J58"/>
          <cell r="K58"/>
          <cell r="L58"/>
          <cell r="M58"/>
          <cell r="N58">
            <v>3</v>
          </cell>
          <cell r="O58">
            <v>18</v>
          </cell>
          <cell r="P58">
            <v>9</v>
          </cell>
          <cell r="Q58">
            <v>17</v>
          </cell>
          <cell r="R58">
            <v>20</v>
          </cell>
          <cell r="S58">
            <v>11</v>
          </cell>
          <cell r="T58">
            <v>10</v>
          </cell>
          <cell r="U58">
            <v>88</v>
          </cell>
          <cell r="V58">
            <v>12.571428571428571</v>
          </cell>
        </row>
        <row r="59">
          <cell r="G59">
            <v>26501</v>
          </cell>
          <cell r="H59">
            <v>4</v>
          </cell>
          <cell r="I59"/>
          <cell r="J59"/>
          <cell r="K59"/>
          <cell r="L59"/>
          <cell r="M59"/>
          <cell r="N59"/>
          <cell r="O59"/>
          <cell r="P59"/>
          <cell r="Q59">
            <v>21</v>
          </cell>
          <cell r="R59">
            <v>29</v>
          </cell>
          <cell r="S59">
            <v>19</v>
          </cell>
          <cell r="T59">
            <v>18</v>
          </cell>
          <cell r="U59">
            <v>87</v>
          </cell>
          <cell r="V59">
            <v>21.75</v>
          </cell>
        </row>
        <row r="60">
          <cell r="G60">
            <v>26507</v>
          </cell>
          <cell r="H60">
            <v>5</v>
          </cell>
          <cell r="I60"/>
          <cell r="J60"/>
          <cell r="K60"/>
          <cell r="L60"/>
          <cell r="M60"/>
          <cell r="N60"/>
          <cell r="O60"/>
          <cell r="P60">
            <v>7</v>
          </cell>
          <cell r="Q60">
            <v>18</v>
          </cell>
          <cell r="R60">
            <v>25</v>
          </cell>
          <cell r="S60">
            <v>12</v>
          </cell>
          <cell r="T60">
            <v>24</v>
          </cell>
          <cell r="U60">
            <v>86</v>
          </cell>
          <cell r="V60">
            <v>17.2</v>
          </cell>
        </row>
        <row r="61">
          <cell r="G61">
            <v>22000</v>
          </cell>
          <cell r="H61">
            <v>8</v>
          </cell>
          <cell r="I61">
            <v>15</v>
          </cell>
          <cell r="J61">
            <v>17</v>
          </cell>
          <cell r="K61"/>
          <cell r="L61">
            <v>12</v>
          </cell>
          <cell r="M61">
            <v>13</v>
          </cell>
          <cell r="N61">
            <v>11</v>
          </cell>
          <cell r="O61">
            <v>12</v>
          </cell>
          <cell r="P61">
            <v>5</v>
          </cell>
          <cell r="Q61"/>
          <cell r="R61"/>
          <cell r="S61"/>
          <cell r="T61"/>
          <cell r="U61">
            <v>85</v>
          </cell>
          <cell r="V61">
            <v>10.625</v>
          </cell>
        </row>
        <row r="62">
          <cell r="G62">
            <v>27220</v>
          </cell>
          <cell r="H62">
            <v>3</v>
          </cell>
          <cell r="I62"/>
          <cell r="J62"/>
          <cell r="K62"/>
          <cell r="L62"/>
          <cell r="M62"/>
          <cell r="N62"/>
          <cell r="O62"/>
          <cell r="P62"/>
          <cell r="Q62"/>
          <cell r="R62">
            <v>26</v>
          </cell>
          <cell r="S62">
            <v>24</v>
          </cell>
          <cell r="T62">
            <v>31</v>
          </cell>
          <cell r="U62">
            <v>81</v>
          </cell>
          <cell r="V62">
            <v>27</v>
          </cell>
        </row>
        <row r="63">
          <cell r="G63">
            <v>27028</v>
          </cell>
          <cell r="H63">
            <v>4</v>
          </cell>
          <cell r="I63"/>
          <cell r="J63"/>
          <cell r="K63"/>
          <cell r="L63"/>
          <cell r="M63"/>
          <cell r="N63"/>
          <cell r="O63"/>
          <cell r="P63"/>
          <cell r="Q63">
            <v>2</v>
          </cell>
          <cell r="R63">
            <v>26</v>
          </cell>
          <cell r="S63">
            <v>23</v>
          </cell>
          <cell r="T63">
            <v>29</v>
          </cell>
          <cell r="U63">
            <v>80</v>
          </cell>
          <cell r="V63">
            <v>20</v>
          </cell>
        </row>
        <row r="64">
          <cell r="G64">
            <v>27219</v>
          </cell>
          <cell r="H64">
            <v>3</v>
          </cell>
          <cell r="I64"/>
          <cell r="J64"/>
          <cell r="K64"/>
          <cell r="L64"/>
          <cell r="M64"/>
          <cell r="N64"/>
          <cell r="O64"/>
          <cell r="P64"/>
          <cell r="Q64"/>
          <cell r="R64">
            <v>25</v>
          </cell>
          <cell r="S64">
            <v>20</v>
          </cell>
          <cell r="T64">
            <v>23</v>
          </cell>
          <cell r="U64">
            <v>68</v>
          </cell>
          <cell r="V64">
            <v>22.666666666666668</v>
          </cell>
        </row>
        <row r="65">
          <cell r="G65">
            <v>21925</v>
          </cell>
          <cell r="H65">
            <v>7</v>
          </cell>
          <cell r="I65"/>
          <cell r="J65">
            <v>2</v>
          </cell>
          <cell r="K65"/>
          <cell r="L65">
            <v>2</v>
          </cell>
          <cell r="M65">
            <v>1</v>
          </cell>
          <cell r="N65"/>
          <cell r="O65"/>
          <cell r="P65">
            <v>21</v>
          </cell>
          <cell r="Q65">
            <v>30</v>
          </cell>
          <cell r="R65"/>
          <cell r="S65"/>
          <cell r="T65">
            <v>9</v>
          </cell>
          <cell r="U65">
            <v>65</v>
          </cell>
          <cell r="V65">
            <v>9.2857142857142865</v>
          </cell>
        </row>
        <row r="66">
          <cell r="G66">
            <v>22775</v>
          </cell>
          <cell r="H66">
            <v>9</v>
          </cell>
          <cell r="I66">
            <v>10</v>
          </cell>
          <cell r="J66">
            <v>13</v>
          </cell>
          <cell r="K66"/>
          <cell r="L66">
            <v>5</v>
          </cell>
          <cell r="M66">
            <v>10</v>
          </cell>
          <cell r="N66">
            <v>8</v>
          </cell>
          <cell r="O66">
            <v>6</v>
          </cell>
          <cell r="P66">
            <v>1</v>
          </cell>
          <cell r="Q66">
            <v>2</v>
          </cell>
          <cell r="R66"/>
          <cell r="S66"/>
          <cell r="T66"/>
          <cell r="U66">
            <v>55</v>
          </cell>
          <cell r="V66">
            <v>6.1111111111111107</v>
          </cell>
        </row>
        <row r="67">
          <cell r="G67">
            <v>27249</v>
          </cell>
          <cell r="H67">
            <v>3</v>
          </cell>
          <cell r="I67"/>
          <cell r="J67"/>
          <cell r="K67"/>
          <cell r="L67"/>
          <cell r="M67"/>
          <cell r="N67"/>
          <cell r="O67"/>
          <cell r="P67"/>
          <cell r="Q67"/>
          <cell r="R67">
            <v>12</v>
          </cell>
          <cell r="S67">
            <v>17</v>
          </cell>
          <cell r="T67">
            <v>26</v>
          </cell>
          <cell r="U67">
            <v>55</v>
          </cell>
          <cell r="V67">
            <v>18.333333333333332</v>
          </cell>
        </row>
        <row r="68">
          <cell r="G68">
            <v>27372</v>
          </cell>
          <cell r="H68">
            <v>3</v>
          </cell>
          <cell r="I68"/>
          <cell r="J68"/>
          <cell r="K68"/>
          <cell r="L68"/>
          <cell r="M68"/>
          <cell r="N68"/>
          <cell r="O68"/>
          <cell r="P68"/>
          <cell r="Q68"/>
          <cell r="R68">
            <v>4</v>
          </cell>
          <cell r="S68">
            <v>19</v>
          </cell>
          <cell r="T68">
            <v>31</v>
          </cell>
          <cell r="U68">
            <v>54</v>
          </cell>
          <cell r="V68">
            <v>18</v>
          </cell>
        </row>
        <row r="69">
          <cell r="G69">
            <v>24437</v>
          </cell>
          <cell r="H69">
            <v>5</v>
          </cell>
          <cell r="I69">
            <v>15</v>
          </cell>
          <cell r="J69">
            <v>17</v>
          </cell>
          <cell r="K69"/>
          <cell r="L69">
            <v>15</v>
          </cell>
          <cell r="M69">
            <v>7</v>
          </cell>
          <cell r="N69"/>
          <cell r="O69"/>
          <cell r="P69"/>
          <cell r="Q69"/>
          <cell r="R69"/>
          <cell r="S69"/>
          <cell r="T69"/>
          <cell r="U69">
            <v>54</v>
          </cell>
          <cell r="V69">
            <v>10.8</v>
          </cell>
        </row>
        <row r="70">
          <cell r="G70">
            <v>27154</v>
          </cell>
          <cell r="H70">
            <v>3</v>
          </cell>
          <cell r="I70"/>
          <cell r="J70"/>
          <cell r="K70"/>
          <cell r="L70"/>
          <cell r="M70"/>
          <cell r="N70"/>
          <cell r="O70"/>
          <cell r="P70"/>
          <cell r="Q70"/>
          <cell r="R70">
            <v>2</v>
          </cell>
          <cell r="S70">
            <v>21</v>
          </cell>
          <cell r="T70">
            <v>30</v>
          </cell>
          <cell r="U70">
            <v>53</v>
          </cell>
          <cell r="V70">
            <v>17.666666666666668</v>
          </cell>
        </row>
        <row r="71">
          <cell r="G71">
            <v>22424</v>
          </cell>
          <cell r="H71">
            <v>3</v>
          </cell>
          <cell r="I71">
            <v>25</v>
          </cell>
          <cell r="J71">
            <v>20</v>
          </cell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>
            <v>45</v>
          </cell>
          <cell r="V71">
            <v>15</v>
          </cell>
        </row>
        <row r="72">
          <cell r="G72">
            <v>27252</v>
          </cell>
          <cell r="H72">
            <v>3</v>
          </cell>
          <cell r="I72"/>
          <cell r="J72"/>
          <cell r="K72"/>
          <cell r="L72"/>
          <cell r="M72"/>
          <cell r="N72"/>
          <cell r="O72"/>
          <cell r="P72"/>
          <cell r="Q72"/>
          <cell r="R72">
            <v>15</v>
          </cell>
          <cell r="S72">
            <v>5</v>
          </cell>
          <cell r="T72">
            <v>12</v>
          </cell>
          <cell r="U72">
            <v>32</v>
          </cell>
          <cell r="V72">
            <v>10.666666666666666</v>
          </cell>
        </row>
        <row r="73">
          <cell r="G73">
            <v>27437</v>
          </cell>
          <cell r="H73">
            <v>2</v>
          </cell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>
            <v>13</v>
          </cell>
          <cell r="T73">
            <v>16</v>
          </cell>
          <cell r="U73">
            <v>29</v>
          </cell>
          <cell r="V73">
            <v>14.5</v>
          </cell>
        </row>
        <row r="74">
          <cell r="G74">
            <v>21675</v>
          </cell>
          <cell r="H74">
            <v>9</v>
          </cell>
          <cell r="I74">
            <v>3</v>
          </cell>
          <cell r="J74">
            <v>4</v>
          </cell>
          <cell r="K74"/>
          <cell r="L74">
            <v>1</v>
          </cell>
          <cell r="M74">
            <v>2</v>
          </cell>
          <cell r="N74">
            <v>7</v>
          </cell>
          <cell r="O74">
            <v>6</v>
          </cell>
          <cell r="P74">
            <v>3</v>
          </cell>
          <cell r="Q74">
            <v>3</v>
          </cell>
          <cell r="R74"/>
          <cell r="S74"/>
          <cell r="T74"/>
          <cell r="U74">
            <v>29</v>
          </cell>
          <cell r="V74">
            <v>3.2222222222222223</v>
          </cell>
        </row>
        <row r="75">
          <cell r="G75">
            <v>20502</v>
          </cell>
          <cell r="H75">
            <v>10</v>
          </cell>
          <cell r="I75">
            <v>7</v>
          </cell>
          <cell r="J75">
            <v>4</v>
          </cell>
          <cell r="K75"/>
          <cell r="L75">
            <v>1</v>
          </cell>
          <cell r="M75">
            <v>2</v>
          </cell>
          <cell r="N75">
            <v>1</v>
          </cell>
          <cell r="O75">
            <v>1</v>
          </cell>
          <cell r="P75"/>
          <cell r="Q75">
            <v>3</v>
          </cell>
          <cell r="R75"/>
          <cell r="S75">
            <v>2</v>
          </cell>
          <cell r="T75">
            <v>4</v>
          </cell>
          <cell r="U75">
            <v>25</v>
          </cell>
          <cell r="V75">
            <v>2.5</v>
          </cell>
        </row>
        <row r="76">
          <cell r="G76">
            <v>26881</v>
          </cell>
          <cell r="H76">
            <v>4</v>
          </cell>
          <cell r="I76"/>
          <cell r="J76"/>
          <cell r="K76"/>
          <cell r="L76"/>
          <cell r="M76"/>
          <cell r="N76"/>
          <cell r="O76"/>
          <cell r="P76"/>
          <cell r="Q76">
            <v>10</v>
          </cell>
          <cell r="R76">
            <v>5</v>
          </cell>
          <cell r="S76">
            <v>6</v>
          </cell>
          <cell r="T76">
            <v>3</v>
          </cell>
          <cell r="U76">
            <v>24</v>
          </cell>
          <cell r="V76">
            <v>6</v>
          </cell>
        </row>
        <row r="77">
          <cell r="G77">
            <v>23146</v>
          </cell>
          <cell r="H77">
            <v>1</v>
          </cell>
          <cell r="I77"/>
          <cell r="J77"/>
          <cell r="K77"/>
          <cell r="L77">
            <v>1</v>
          </cell>
          <cell r="M77"/>
          <cell r="N77"/>
          <cell r="O77"/>
          <cell r="P77"/>
          <cell r="Q77"/>
          <cell r="R77"/>
          <cell r="S77"/>
          <cell r="T77"/>
          <cell r="U77">
            <v>1</v>
          </cell>
          <cell r="V77">
            <v>1</v>
          </cell>
        </row>
        <row r="78">
          <cell r="G78">
            <v>20894</v>
          </cell>
          <cell r="H78">
            <v>0</v>
          </cell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 t="e">
            <v>#DIV/0!</v>
          </cell>
        </row>
        <row r="79">
          <cell r="G79">
            <v>21092</v>
          </cell>
          <cell r="H79">
            <v>0</v>
          </cell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 t="e">
            <v>#DIV/0!</v>
          </cell>
        </row>
        <row r="80">
          <cell r="G80">
            <v>24583</v>
          </cell>
          <cell r="H80">
            <v>0</v>
          </cell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 t="e">
            <v>#DIV/0!</v>
          </cell>
        </row>
        <row r="81">
          <cell r="G81">
            <v>20893</v>
          </cell>
          <cell r="H81">
            <v>0</v>
          </cell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 t="e">
            <v>#DIV/0!</v>
          </cell>
        </row>
        <row r="82">
          <cell r="G82">
            <v>22362</v>
          </cell>
          <cell r="H82">
            <v>0</v>
          </cell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 t="e">
            <v>#DIV/0!</v>
          </cell>
        </row>
        <row r="83">
          <cell r="G83">
            <v>22853</v>
          </cell>
          <cell r="H83">
            <v>0</v>
          </cell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 t="e">
            <v>#DIV/0!</v>
          </cell>
        </row>
        <row r="84">
          <cell r="G84">
            <v>23537</v>
          </cell>
          <cell r="H84">
            <v>0</v>
          </cell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 t="e">
            <v>#DIV/0!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ojit Mallick" refreshedDate="46272.693626967593" createdVersion="8" refreshedVersion="8" minRefreshableVersion="3" recordCount="104" xr:uid="{3723EBD9-D4C5-4803-8774-297094CF36D9}">
  <cacheSource type="worksheet">
    <worksheetSource ref="A1:W1048576" sheet="Comm"/>
  </cacheSource>
  <cacheFields count="23">
    <cacheField name="DC Name" numFmtId="0">
      <sharedItems containsBlank="1" count="15">
        <s v="Rajendra Kumar Bapari"/>
        <s v="Under Office (W Medinipur)"/>
        <s v="Souvik Maity"/>
        <s v="Under Office (Birbhum)"/>
        <s v="Rajiul Momin"/>
        <s v="Avi Sk"/>
        <s v="Sunil Biswas"/>
        <s v="Shyamalesh Sarkar"/>
        <s v="Chandi Charan Mahato"/>
        <s v="Santanu Bera"/>
        <s v="Manindra Nath Barman"/>
        <s v="Sanjoy Paul"/>
        <s v="Pijush Singha"/>
        <s v="Mousumi Sarkar"/>
        <m/>
      </sharedItems>
    </cacheField>
    <cacheField name="Status" numFmtId="0">
      <sharedItems containsBlank="1"/>
    </cacheField>
    <cacheField name="ZO Name" numFmtId="0">
      <sharedItems containsBlank="1"/>
    </cacheField>
    <cacheField name="Branch Name" numFmtId="0">
      <sharedItems containsBlank="1"/>
    </cacheField>
    <cacheField name="CSP Name" numFmtId="0">
      <sharedItems containsBlank="1"/>
    </cacheField>
    <cacheField name="Device ID" numFmtId="49">
      <sharedItems containsBlank="1"/>
    </cacheField>
    <cacheField name="KO Code" numFmtId="0">
      <sharedItems containsString="0" containsBlank="1" containsNumber="1" containsInteger="1" minValue="20322" maxValue="29799"/>
    </cacheField>
    <cacheField name="TXN Category" numFmtId="0">
      <sharedItems containsBlank="1" containsMixedTypes="1" containsNumber="1" containsInteger="1" minValue="0" maxValue="0"/>
    </cacheField>
    <cacheField name="Month" numFmtId="0">
      <sharedItems containsString="0" containsBlank="1" containsNumber="1" containsInteger="1" minValue="0" maxValue="6"/>
    </cacheField>
    <cacheField name="Apr-26" numFmtId="0">
      <sharedItems containsString="0" containsBlank="1" containsNumber="1" minValue="60" maxValue="33172"/>
    </cacheField>
    <cacheField name="May-26" numFmtId="0">
      <sharedItems containsString="0" containsBlank="1" containsNumber="1" minValue="18" maxValue="37083"/>
    </cacheField>
    <cacheField name="Jun-26" numFmtId="0">
      <sharedItems containsString="0" containsBlank="1" containsNumber="1" minValue="8" maxValue="31899.75"/>
    </cacheField>
    <cacheField name="Jul-26" numFmtId="0">
      <sharedItems containsString="0" containsBlank="1" containsNumber="1" minValue="39" maxValue="34082.25"/>
    </cacheField>
    <cacheField name="Aug-26" numFmtId="0">
      <sharedItems containsString="0" containsBlank="1" containsNumber="1" minValue="30" maxValue="49753"/>
    </cacheField>
    <cacheField name="Sep-26" numFmtId="0">
      <sharedItems containsNonDate="0" containsString="0" containsBlank="1"/>
    </cacheField>
    <cacheField name="Oct-26" numFmtId="0">
      <sharedItems containsNonDate="0" containsString="0" containsBlank="1"/>
    </cacheField>
    <cacheField name="Nov-26" numFmtId="0">
      <sharedItems containsNonDate="0" containsString="0" containsBlank="1"/>
    </cacheField>
    <cacheField name="Dec-26" numFmtId="0">
      <sharedItems containsNonDate="0" containsString="0" containsBlank="1"/>
    </cacheField>
    <cacheField name="Jan-27" numFmtId="0">
      <sharedItems containsNonDate="0" containsString="0" containsBlank="1"/>
    </cacheField>
    <cacheField name="Feb-27" numFmtId="0">
      <sharedItems containsNonDate="0" containsString="0" containsBlank="1"/>
    </cacheField>
    <cacheField name="Mar-27" numFmtId="0">
      <sharedItems containsNonDate="0" containsString="0" containsBlank="1"/>
    </cacheField>
    <cacheField name="Total Comm" numFmtId="0">
      <sharedItems containsString="0" containsBlank="1" containsNumber="1" minValue="46" maxValue="170263.5"/>
    </cacheField>
    <cacheField name="Average" numFmtId="0">
      <sharedItems containsBlank="1" containsMixedTypes="1" containsNumber="1" minValue="0" maxValue="28377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ojit Mallick" refreshedDate="46272.693627199071" createdVersion="8" refreshedVersion="8" minRefreshableVersion="3" recordCount="103" xr:uid="{9E9D39DA-441C-4BBD-8C19-741D6D2C1359}">
  <cacheSource type="worksheet">
    <worksheetSource ref="A1:J104" sheet="Data"/>
  </cacheSource>
  <cacheFields count="10">
    <cacheField name="KO Code" numFmtId="0">
      <sharedItems containsSemiMixedTypes="0" containsString="0" containsNumber="1" containsInteger="1" minValue="20322" maxValue="29799"/>
    </cacheField>
    <cacheField name="DC Name" numFmtId="0">
      <sharedItems count="15">
        <s v="Sunil Biswas"/>
        <s v="Chandi Charan Mahato"/>
        <s v="Rajendra Kumar Bapari"/>
        <s v="Santanu Bera"/>
        <s v="Souvik Maity"/>
        <s v="Under Office (W Medinipur)"/>
        <s v="Mousumi Sarkar"/>
        <s v="Manindra Nath Barman"/>
        <s v="Under Office (Birbhum)"/>
        <s v="Shyamalesh Sarkar"/>
        <s v="Avi Sk"/>
        <s v="Sanjoy Paul"/>
        <s v="Rajiul Momin"/>
        <s v="Pijush Singha"/>
        <s v="Sk Md Abul Hasan" u="1"/>
      </sharedItems>
    </cacheField>
    <cacheField name="Status" numFmtId="0">
      <sharedItems count="3">
        <s v="Inactive"/>
        <s v="Active"/>
        <s v="Not Active" u="1"/>
      </sharedItems>
    </cacheField>
    <cacheField name="ZO Name" numFmtId="0">
      <sharedItems count="4">
        <s v="Durgapur"/>
        <s v="Hooghly"/>
        <s v="Saltlake"/>
        <s v="Siliguri"/>
      </sharedItems>
    </cacheField>
    <cacheField name="Branch Name" numFmtId="0">
      <sharedItems/>
    </cacheField>
    <cacheField name="CSP Name" numFmtId="0">
      <sharedItems/>
    </cacheField>
    <cacheField name="Device ID" numFmtId="49">
      <sharedItems/>
    </cacheField>
    <cacheField name="Code Creation" numFmtId="14">
      <sharedItems containsSemiMixedTypes="0" containsNonDate="0" containsDate="1" containsString="0" minDate="2023-01-03T00:00:00" maxDate="2026-07-29T00:00:00"/>
    </cacheField>
    <cacheField name="Currrent Date" numFmtId="14">
      <sharedItems containsSemiMixedTypes="0" containsNonDate="0" containsDate="1" containsString="0" minDate="2026-09-07T00:00:00" maxDate="2026-09-08T00:00:00"/>
    </cacheField>
    <cacheField name="Age" numFmtId="166">
      <sharedItems containsSemiMixedTypes="0" containsString="0" containsNumber="1" minValue="0.11232876712328767" maxValue="3.67945205479452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ojit Mallick" refreshedDate="46272.693627546294" createdVersion="8" refreshedVersion="8" minRefreshableVersion="3" recordCount="103" xr:uid="{7C763798-9CBD-4AA1-AC5F-E5DCB3B3AC72}">
  <cacheSource type="worksheet">
    <worksheetSource ref="A1:W104" sheet="FI txn"/>
  </cacheSource>
  <cacheFields count="23">
    <cacheField name="DC Name" numFmtId="0">
      <sharedItems count="16">
        <s v="Rajendra Kumar Bapari"/>
        <s v="Under Office (W Medinipur)"/>
        <s v="Souvik Maity"/>
        <s v="Under Office (Birbhum)"/>
        <s v="Rajiul Momin"/>
        <s v="Avi Sk"/>
        <s v="Shyamalesh Sarkar"/>
        <s v="Sunil Biswas"/>
        <s v="Santanu Bera"/>
        <s v="Chandi Charan Mahato"/>
        <s v="Manindra Nath Barman"/>
        <s v="Sanjoy Paul"/>
        <s v="Pijush Singha"/>
        <s v="Mousumi Sarkar"/>
        <s v="Sk Md Abul Hasan" u="1"/>
        <s v="Sudip Saha" u="1"/>
      </sharedItems>
    </cacheField>
    <cacheField name="Status" numFmtId="0">
      <sharedItems/>
    </cacheField>
    <cacheField name="ZO Name" numFmtId="0">
      <sharedItems/>
    </cacheField>
    <cacheField name="Branch Name" numFmtId="0">
      <sharedItems/>
    </cacheField>
    <cacheField name="CSP Name" numFmtId="0">
      <sharedItems/>
    </cacheField>
    <cacheField name="Device ID" numFmtId="49">
      <sharedItems/>
    </cacheField>
    <cacheField name="KO Code" numFmtId="0">
      <sharedItems containsSemiMixedTypes="0" containsString="0" containsNumber="1" containsInteger="1" minValue="20322" maxValue="29799"/>
    </cacheField>
    <cacheField name="Month" numFmtId="164">
      <sharedItems containsSemiMixedTypes="0" containsString="0" containsNumber="1" containsInteger="1" minValue="0" maxValue="6"/>
    </cacheField>
    <cacheField name="Target" numFmtId="164">
      <sharedItems containsSemiMixedTypes="0" containsString="0" containsNumber="1" containsInteger="1" minValue="0" maxValue="1800"/>
    </cacheField>
    <cacheField name="Apr-26" numFmtId="164">
      <sharedItems containsString="0" containsBlank="1" containsNumber="1" containsInteger="1" minValue="5" maxValue="2626"/>
    </cacheField>
    <cacheField name="May-26" numFmtId="164">
      <sharedItems containsString="0" containsBlank="1" containsNumber="1" containsInteger="1" minValue="3" maxValue="2814"/>
    </cacheField>
    <cacheField name="Jun-26" numFmtId="164">
      <sharedItems containsString="0" containsBlank="1" containsNumber="1" containsInteger="1" minValue="1" maxValue="2318"/>
    </cacheField>
    <cacheField name="Jul-26" numFmtId="164">
      <sharedItems containsString="0" containsBlank="1" containsNumber="1" containsInteger="1" minValue="4" maxValue="2531"/>
    </cacheField>
    <cacheField name="Aug-26" numFmtId="164">
      <sharedItems containsString="0" containsBlank="1" containsNumber="1" containsInteger="1" minValue="4" maxValue="3160"/>
    </cacheField>
    <cacheField name="Sep-26" numFmtId="164">
      <sharedItems containsString="0" containsBlank="1" containsNumber="1" containsInteger="1" minValue="1" maxValue="587"/>
    </cacheField>
    <cacheField name="Oct-26" numFmtId="164">
      <sharedItems containsNonDate="0" containsString="0" containsBlank="1"/>
    </cacheField>
    <cacheField name="Nov-26" numFmtId="164">
      <sharedItems containsNonDate="0" containsString="0" containsBlank="1"/>
    </cacheField>
    <cacheField name="Dec-26" numFmtId="164">
      <sharedItems containsNonDate="0" containsString="0" containsBlank="1"/>
    </cacheField>
    <cacheField name="Jan-27" numFmtId="164">
      <sharedItems containsNonDate="0" containsString="0" containsBlank="1"/>
    </cacheField>
    <cacheField name="Feb-27" numFmtId="164">
      <sharedItems containsNonDate="0" containsString="0" containsBlank="1"/>
    </cacheField>
    <cacheField name="Mar-27" numFmtId="164">
      <sharedItems containsNonDate="0" containsString="0" containsBlank="1"/>
    </cacheField>
    <cacheField name="Total txn" numFmtId="164">
      <sharedItems containsString="0" containsBlank="1" containsNumber="1" containsInteger="1" minValue="2" maxValue="13308"/>
    </cacheField>
    <cacheField name="Average" numFmtId="164">
      <sharedItems containsBlank="1" containsMixedTypes="1" containsNumber="1" minValue="0" maxValue="22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ojit Mallick" refreshedDate="46272.693627546294" createdVersion="8" refreshedVersion="8" minRefreshableVersion="3" recordCount="103" xr:uid="{355D3496-C7C0-4105-901D-FFD392FBFB4A}">
  <cacheSource type="worksheet">
    <worksheetSource ref="A1:X104" sheet="SBY"/>
  </cacheSource>
  <cacheFields count="24">
    <cacheField name="DC Name" numFmtId="0">
      <sharedItems count="16">
        <s v="Under Office (W Medinipur)"/>
        <s v="Souvik Maity"/>
        <s v="Chandi Charan Mahato"/>
        <s v="Sunil Biswas"/>
        <s v="Manindra Nath Barman"/>
        <s v="Rajendra Kumar Bapari"/>
        <s v="Shyamalesh Sarkar"/>
        <s v="Pijush Singha"/>
        <s v="Under Office (Birbhum)"/>
        <s v="Sanjoy Paul"/>
        <s v="Avi Sk"/>
        <s v="Rajiul Momin"/>
        <s v="Santanu Bera"/>
        <s v="Mousumi Sarkar"/>
        <s v="Sk Md Abul Hasan" u="1"/>
        <s v="Sudip Saha" u="1"/>
      </sharedItems>
    </cacheField>
    <cacheField name="Status" numFmtId="0">
      <sharedItems/>
    </cacheField>
    <cacheField name="ZO Name" numFmtId="0">
      <sharedItems count="4">
        <s v="Hooghly"/>
        <s v="Durgapur"/>
        <s v="Siliguri"/>
        <s v="Saltlake"/>
      </sharedItems>
    </cacheField>
    <cacheField name="Branch Name" numFmtId="0">
      <sharedItems/>
    </cacheField>
    <cacheField name="CSP Name" numFmtId="0">
      <sharedItems/>
    </cacheField>
    <cacheField name="Device ID" numFmtId="49">
      <sharedItems/>
    </cacheField>
    <cacheField name="KO Code" numFmtId="0">
      <sharedItems containsSemiMixedTypes="0" containsString="0" containsNumber="1" containsInteger="1" minValue="20322" maxValue="29799"/>
    </cacheField>
    <cacheField name="TXN Category" numFmtId="0">
      <sharedItems containsMixedTypes="1" containsNumber="1" containsInteger="1" minValue="0" maxValue="0" count="11">
        <s v="&gt; 450"/>
        <s v="&gt; 600"/>
        <s v="&gt; 300"/>
        <s v="&gt; 150"/>
        <s v="&gt; 1500"/>
        <s v="&gt; 2000"/>
        <s v="&gt; 900"/>
        <s v="&lt; 150"/>
        <n v="0"/>
        <s v="Nill"/>
        <e v="#DIV/0!"/>
      </sharedItems>
    </cacheField>
    <cacheField name="Month" numFmtId="164">
      <sharedItems containsSemiMixedTypes="0" containsString="0" containsNumber="1" containsInteger="1" minValue="0" maxValue="6"/>
    </cacheField>
    <cacheField name="Target" numFmtId="164">
      <sharedItems containsSemiMixedTypes="0" containsString="0" containsNumber="1" containsInteger="1" minValue="0" maxValue="144"/>
    </cacheField>
    <cacheField name="Apr-26" numFmtId="164">
      <sharedItems containsString="0" containsBlank="1" containsNumber="1" containsInteger="1" minValue="1" maxValue="38"/>
    </cacheField>
    <cacheField name="May-26" numFmtId="164">
      <sharedItems containsString="0" containsBlank="1" containsNumber="1" containsInteger="1" minValue="1" maxValue="158"/>
    </cacheField>
    <cacheField name="Jun-26" numFmtId="164">
      <sharedItems containsString="0" containsBlank="1" containsNumber="1" containsInteger="1" minValue="1" maxValue="47"/>
    </cacheField>
    <cacheField name="Jul-26" numFmtId="164">
      <sharedItems containsString="0" containsBlank="1" containsNumber="1" containsInteger="1" minValue="1" maxValue="63"/>
    </cacheField>
    <cacheField name="Aug-26" numFmtId="164">
      <sharedItems containsString="0" containsBlank="1" containsNumber="1" containsInteger="1" minValue="1" maxValue="36"/>
    </cacheField>
    <cacheField name="Sep-26" numFmtId="164">
      <sharedItems containsString="0" containsBlank="1" containsNumber="1" containsInteger="1" minValue="1" maxValue="13"/>
    </cacheField>
    <cacheField name="Oct-26" numFmtId="164">
      <sharedItems containsNonDate="0" containsString="0" containsBlank="1"/>
    </cacheField>
    <cacheField name="Nov-26" numFmtId="164">
      <sharedItems containsNonDate="0" containsString="0" containsBlank="1"/>
    </cacheField>
    <cacheField name="Dec-26" numFmtId="164">
      <sharedItems containsNonDate="0" containsString="0" containsBlank="1"/>
    </cacheField>
    <cacheField name="Jan-27" numFmtId="164">
      <sharedItems containsNonDate="0" containsString="0" containsBlank="1"/>
    </cacheField>
    <cacheField name="Feb-27" numFmtId="164">
      <sharedItems containsNonDate="0" containsString="0" containsBlank="1"/>
    </cacheField>
    <cacheField name="Mar-27" numFmtId="164">
      <sharedItems containsNonDate="0" containsString="0" containsBlank="1"/>
    </cacheField>
    <cacheField name="Total SBY" numFmtId="164">
      <sharedItems containsString="0" containsBlank="1" containsNumber="1" containsInteger="1" minValue="1" maxValue="280"/>
    </cacheField>
    <cacheField name="Average" numFmtId="164">
      <sharedItems containsBlank="1" containsMixedTypes="1" containsNumber="1" minValue="0" maxValue="46.666666666666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ojit Mallick" refreshedDate="46272.693628009256" createdVersion="8" refreshedVersion="8" minRefreshableVersion="3" recordCount="103" xr:uid="{425420CD-B24F-4489-A526-2FF6B5574224}">
  <cacheSource type="worksheet">
    <worksheetSource ref="A1:X104" sheet="APY"/>
  </cacheSource>
  <cacheFields count="24">
    <cacheField name="DC Name" numFmtId="0">
      <sharedItems count="16">
        <s v="Under Office (W Medinipur)"/>
        <s v="Sunil Biswas"/>
        <s v="Rajendra Kumar Bapari"/>
        <s v="Shyamalesh Sarkar"/>
        <s v="Souvik Maity"/>
        <s v="Rajiul Momin"/>
        <s v="Santanu Bera"/>
        <s v="Manindra Nath Barman"/>
        <s v="Sanjoy Paul"/>
        <s v="Under Office (Birbhum)"/>
        <s v="Chandi Charan Mahato"/>
        <s v="Avi Sk"/>
        <s v="Pijush Singha"/>
        <s v="Mousumi Sarkar"/>
        <s v="Sk Md Abul Hasan" u="1"/>
        <s v="Sudip Saha" u="1"/>
      </sharedItems>
    </cacheField>
    <cacheField name="Status" numFmtId="0">
      <sharedItems/>
    </cacheField>
    <cacheField name="ZO Name" numFmtId="0">
      <sharedItems count="4">
        <s v="Hooghly"/>
        <s v="Durgapur"/>
        <s v="Siliguri"/>
        <s v="Saltlake"/>
      </sharedItems>
    </cacheField>
    <cacheField name="Branch Name" numFmtId="0">
      <sharedItems/>
    </cacheField>
    <cacheField name="CSP Name" numFmtId="0">
      <sharedItems/>
    </cacheField>
    <cacheField name="Device ID" numFmtId="49">
      <sharedItems/>
    </cacheField>
    <cacheField name="KO Code" numFmtId="0">
      <sharedItems containsSemiMixedTypes="0" containsString="0" containsNumber="1" containsInteger="1" minValue="20322" maxValue="29799"/>
    </cacheField>
    <cacheField name="TXN Category" numFmtId="0">
      <sharedItems containsMixedTypes="1" containsNumber="1" containsInteger="1" minValue="0" maxValue="0" count="11">
        <s v="&gt; 2000"/>
        <s v="&gt; 600"/>
        <s v="&gt; 900"/>
        <s v="&gt; 450"/>
        <s v="&lt; 150"/>
        <s v="&gt; 150"/>
        <s v="&gt; 300"/>
        <s v="&gt; 1500"/>
        <s v="Nill"/>
        <n v="0"/>
        <e v="#DIV/0!"/>
      </sharedItems>
    </cacheField>
    <cacheField name="Month" numFmtId="164">
      <sharedItems containsSemiMixedTypes="0" containsString="0" containsNumber="1" containsInteger="1" minValue="0" maxValue="6"/>
    </cacheField>
    <cacheField name="Target" numFmtId="164">
      <sharedItems containsSemiMixedTypes="0" containsString="0" containsNumber="1" containsInteger="1" minValue="0" maxValue="90"/>
    </cacheField>
    <cacheField name="Apr-26" numFmtId="164">
      <sharedItems containsString="0" containsBlank="1" containsNumber="1" containsInteger="1" minValue="1" maxValue="9"/>
    </cacheField>
    <cacheField name="May-26" numFmtId="164">
      <sharedItems containsString="0" containsBlank="1" containsNumber="1" containsInteger="1" minValue="1" maxValue="22"/>
    </cacheField>
    <cacheField name="Jun-26" numFmtId="164">
      <sharedItems containsString="0" containsBlank="1" containsNumber="1" containsInteger="1" minValue="1" maxValue="15"/>
    </cacheField>
    <cacheField name="Jul-26" numFmtId="164">
      <sharedItems containsString="0" containsBlank="1" containsNumber="1" containsInteger="1" minValue="1" maxValue="27"/>
    </cacheField>
    <cacheField name="Aug-26" numFmtId="164">
      <sharedItems containsString="0" containsBlank="1" containsNumber="1" containsInteger="1" minValue="1" maxValue="16"/>
    </cacheField>
    <cacheField name="Sep-26" numFmtId="164">
      <sharedItems containsString="0" containsBlank="1" containsNumber="1" containsInteger="1" minValue="1" maxValue="12"/>
    </cacheField>
    <cacheField name="Oct-26" numFmtId="164">
      <sharedItems containsNonDate="0" containsString="0" containsBlank="1"/>
    </cacheField>
    <cacheField name="Nov-26" numFmtId="164">
      <sharedItems containsNonDate="0" containsString="0" containsBlank="1"/>
    </cacheField>
    <cacheField name="Dec-26" numFmtId="164">
      <sharedItems containsNonDate="0" containsString="0" containsBlank="1"/>
    </cacheField>
    <cacheField name="Jan-27" numFmtId="164">
      <sharedItems containsNonDate="0" containsString="0" containsBlank="1"/>
    </cacheField>
    <cacheField name="Feb-27" numFmtId="164">
      <sharedItems containsNonDate="0" containsString="0" containsBlank="1"/>
    </cacheField>
    <cacheField name="Mar-27" numFmtId="164">
      <sharedItems containsNonDate="0" containsString="0" containsBlank="1"/>
    </cacheField>
    <cacheField name="Total APY" numFmtId="164">
      <sharedItems containsString="0" containsBlank="1" containsNumber="1" containsInteger="1" minValue="1" maxValue="82"/>
    </cacheField>
    <cacheField name="Average" numFmtId="164">
      <sharedItems containsBlank="1" containsMixedTypes="1" containsNumber="1" minValue="0" maxValue="13.66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ojit Mallick" refreshedDate="46272.693628356479" createdVersion="8" refreshedVersion="8" minRefreshableVersion="3" recordCount="103" xr:uid="{82F237B4-03BC-459A-9EFE-D3EC8C8A5185}">
  <cacheSource type="worksheet">
    <worksheetSource ref="A1:W104" sheet="AC"/>
  </cacheSource>
  <cacheFields count="23">
    <cacheField name="DC Name" numFmtId="0">
      <sharedItems count="16">
        <s v="Sunil Biswas"/>
        <s v="Chandi Charan Mahato"/>
        <s v="Shyamalesh Sarkar"/>
        <s v="Manindra Nath Barman"/>
        <s v="Souvik Maity"/>
        <s v="Pijush Singha"/>
        <s v="Under Office (W Medinipur)"/>
        <s v="Under Office (Birbhum)"/>
        <s v="Rajendra Kumar Bapari"/>
        <s v="Rajiul Momin"/>
        <s v="Sanjoy Paul"/>
        <s v="Santanu Bera"/>
        <s v="Avi Sk"/>
        <s v="Mousumi Sarkar"/>
        <s v="Sk Md Abul Hasan" u="1"/>
        <s v="Sudip Saha" u="1"/>
      </sharedItems>
    </cacheField>
    <cacheField name="Status" numFmtId="0">
      <sharedItems/>
    </cacheField>
    <cacheField name="ZO Name" numFmtId="0">
      <sharedItems count="4">
        <s v="Durgapur"/>
        <s v="Siliguri"/>
        <s v="Hooghly"/>
        <s v="Saltlake"/>
      </sharedItems>
    </cacheField>
    <cacheField name="Branch Name" numFmtId="0">
      <sharedItems/>
    </cacheField>
    <cacheField name="CSP Name" numFmtId="0">
      <sharedItems/>
    </cacheField>
    <cacheField name="Device ID" numFmtId="49">
      <sharedItems/>
    </cacheField>
    <cacheField name="KO Code" numFmtId="0">
      <sharedItems containsSemiMixedTypes="0" containsString="0" containsNumber="1" containsInteger="1" minValue="20322" maxValue="29799"/>
    </cacheField>
    <cacheField name="Month" numFmtId="164">
      <sharedItems containsSemiMixedTypes="0" containsString="0" containsNumber="1" containsInteger="1" minValue="0" maxValue="6"/>
    </cacheField>
    <cacheField name="Target" numFmtId="164">
      <sharedItems containsSemiMixedTypes="0" containsString="0" containsNumber="1" containsInteger="1" minValue="0" maxValue="180"/>
    </cacheField>
    <cacheField name="Apr-26" numFmtId="164">
      <sharedItems containsString="0" containsBlank="1" containsNumber="1" containsInteger="1" minValue="1" maxValue="54"/>
    </cacheField>
    <cacheField name="May-26" numFmtId="164">
      <sharedItems containsString="0" containsBlank="1" containsNumber="1" containsInteger="1" minValue="1" maxValue="170"/>
    </cacheField>
    <cacheField name="Jun-26" numFmtId="164">
      <sharedItems containsString="0" containsBlank="1" containsNumber="1" containsInteger="1" minValue="1" maxValue="57"/>
    </cacheField>
    <cacheField name="Jul-26" numFmtId="164">
      <sharedItems containsString="0" containsBlank="1" containsNumber="1" containsInteger="1" minValue="1" maxValue="99"/>
    </cacheField>
    <cacheField name="Aug-26" numFmtId="164">
      <sharedItems containsString="0" containsBlank="1" containsNumber="1" containsInteger="1" minValue="1" maxValue="45"/>
    </cacheField>
    <cacheField name="Sep-26" numFmtId="164">
      <sharedItems containsString="0" containsBlank="1" containsNumber="1" containsInteger="1" minValue="1" maxValue="9"/>
    </cacheField>
    <cacheField name="Oct-26" numFmtId="164">
      <sharedItems containsNonDate="0" containsString="0" containsBlank="1"/>
    </cacheField>
    <cacheField name="Nov-26" numFmtId="164">
      <sharedItems containsNonDate="0" containsString="0" containsBlank="1"/>
    </cacheField>
    <cacheField name="Dec-26" numFmtId="164">
      <sharedItems containsNonDate="0" containsString="0" containsBlank="1"/>
    </cacheField>
    <cacheField name="Jan-27" numFmtId="164">
      <sharedItems containsNonDate="0" containsString="0" containsBlank="1"/>
    </cacheField>
    <cacheField name="Feb-27" numFmtId="164">
      <sharedItems containsNonDate="0" containsString="0" containsBlank="1"/>
    </cacheField>
    <cacheField name="Mar-27" numFmtId="164">
      <sharedItems containsNonDate="0" containsString="0" containsBlank="1"/>
    </cacheField>
    <cacheField name="Total AC" numFmtId="164">
      <sharedItems containsString="0" containsBlank="1" containsNumber="1" containsInteger="1" minValue="1" maxValue="306"/>
    </cacheField>
    <cacheField name="Average" numFmtId="164">
      <sharedItems containsBlank="1" containsMixedTypes="1" containsNumber="1" minValue="0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ojit Mallick" refreshedDate="46272.693628587964" createdVersion="8" refreshedVersion="8" minRefreshableVersion="3" recordCount="103" xr:uid="{A021C6D6-C6E2-4ECF-8DD2-FEC6101981CD}">
  <cacheSource type="worksheet">
    <worksheetSource ref="A1:X104" sheet="JJBY"/>
  </cacheSource>
  <cacheFields count="24">
    <cacheField name="DC Name" numFmtId="0">
      <sharedItems count="16">
        <s v="Under Office (W Medinipur)"/>
        <s v="Souvik Maity"/>
        <s v="Sunil Biswas"/>
        <s v="Rajendra Kumar Bapari"/>
        <s v="Chandi Charan Mahato"/>
        <s v="Under Office (Birbhum)"/>
        <s v="Manindra Nath Barman"/>
        <s v="Shyamalesh Sarkar"/>
        <s v="Rajiul Momin"/>
        <s v="Pijush Singha"/>
        <s v="Sanjoy Paul"/>
        <s v="Avi Sk"/>
        <s v="Santanu Bera"/>
        <s v="Mousumi Sarkar"/>
        <s v="Sk Md Abul Hasan" u="1"/>
        <s v="Sudip Saha" u="1"/>
      </sharedItems>
    </cacheField>
    <cacheField name="Status" numFmtId="0">
      <sharedItems/>
    </cacheField>
    <cacheField name="ZO Name" numFmtId="0">
      <sharedItems count="4">
        <s v="Hooghly"/>
        <s v="Durgapur"/>
        <s v="Siliguri"/>
        <s v="Saltlake"/>
      </sharedItems>
    </cacheField>
    <cacheField name="Branch Name" numFmtId="0">
      <sharedItems/>
    </cacheField>
    <cacheField name="CSP Name" numFmtId="0">
      <sharedItems/>
    </cacheField>
    <cacheField name="Device ID" numFmtId="49">
      <sharedItems/>
    </cacheField>
    <cacheField name="KO Code" numFmtId="0">
      <sharedItems containsSemiMixedTypes="0" containsString="0" containsNumber="1" containsInteger="1" minValue="20322" maxValue="29799"/>
    </cacheField>
    <cacheField name="TXN Category" numFmtId="0">
      <sharedItems containsMixedTypes="1" containsNumber="1" containsInteger="1" minValue="0" maxValue="0" count="11">
        <s v="&gt; 450"/>
        <s v="&gt; 2000"/>
        <s v="&gt; 600"/>
        <s v="&gt; 300"/>
        <s v="&gt; 900"/>
        <s v="&gt; 150"/>
        <s v="&lt; 150"/>
        <s v="&gt; 1500"/>
        <s v="Nill"/>
        <n v="0"/>
        <e v="#DIV/0!"/>
      </sharedItems>
    </cacheField>
    <cacheField name="Month" numFmtId="164">
      <sharedItems containsSemiMixedTypes="0" containsString="0" containsNumber="1" containsInteger="1" minValue="0" maxValue="6"/>
    </cacheField>
    <cacheField name="Target" numFmtId="164">
      <sharedItems containsSemiMixedTypes="0" containsString="0" containsNumber="1" containsInteger="1" minValue="0" maxValue="72"/>
    </cacheField>
    <cacheField name="Apr-26" numFmtId="164">
      <sharedItems containsString="0" containsBlank="1" containsNumber="1" containsInteger="1" minValue="1" maxValue="27"/>
    </cacheField>
    <cacheField name="May-26" numFmtId="164">
      <sharedItems containsString="0" containsBlank="1" containsNumber="1" containsInteger="1" minValue="1" maxValue="89"/>
    </cacheField>
    <cacheField name="Jun-26" numFmtId="164">
      <sharedItems containsString="0" containsBlank="1" containsNumber="1" containsInteger="1" minValue="1" maxValue="26"/>
    </cacheField>
    <cacheField name="Jul-26" numFmtId="164">
      <sharedItems containsString="0" containsBlank="1" containsNumber="1" containsInteger="1" minValue="1" maxValue="32"/>
    </cacheField>
    <cacheField name="Aug-26" numFmtId="164">
      <sharedItems containsString="0" containsBlank="1" containsNumber="1" containsInteger="1" minValue="1" maxValue="52"/>
    </cacheField>
    <cacheField name="Sep-26" numFmtId="164">
      <sharedItems containsString="0" containsBlank="1" containsNumber="1" containsInteger="1" minValue="1" maxValue="17"/>
    </cacheField>
    <cacheField name="Oct-26" numFmtId="164">
      <sharedItems containsNonDate="0" containsString="0" containsBlank="1"/>
    </cacheField>
    <cacheField name="Nov-26" numFmtId="164">
      <sharedItems containsNonDate="0" containsString="0" containsBlank="1"/>
    </cacheField>
    <cacheField name="Dec-26" numFmtId="164">
      <sharedItems containsNonDate="0" containsString="0" containsBlank="1"/>
    </cacheField>
    <cacheField name="Jan-27" numFmtId="164">
      <sharedItems containsNonDate="0" containsString="0" containsBlank="1"/>
    </cacheField>
    <cacheField name="Feb-27" numFmtId="164">
      <sharedItems containsNonDate="0" containsString="0" containsBlank="1"/>
    </cacheField>
    <cacheField name="Mar-27" numFmtId="164">
      <sharedItems containsNonDate="0" containsString="0" containsBlank="1"/>
    </cacheField>
    <cacheField name="Total JJBY" numFmtId="164">
      <sharedItems containsString="0" containsBlank="1" containsNumber="1" containsInteger="1" minValue="1" maxValue="136"/>
    </cacheField>
    <cacheField name="Average" numFmtId="164">
      <sharedItems containsBlank="1" containsMixedTypes="1" containsNumber="1" minValue="0" maxValue="22.6666666666666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ojit Mallick" refreshedDate="46272.693629050926" createdVersion="8" refreshedVersion="8" minRefreshableVersion="3" recordCount="103" xr:uid="{B8493EE2-30CA-4C21-BEBF-6A292DDFC6FA}">
  <cacheSource type="worksheet">
    <worksheetSource ref="A1:W104" sheet="Comm"/>
  </cacheSource>
  <cacheFields count="23">
    <cacheField name="DC Name" numFmtId="0">
      <sharedItems count="16">
        <s v="Rajendra Kumar Bapari"/>
        <s v="Under Office (W Medinipur)"/>
        <s v="Souvik Maity"/>
        <s v="Under Office (Birbhum)"/>
        <s v="Rajiul Momin"/>
        <s v="Avi Sk"/>
        <s v="Sunil Biswas"/>
        <s v="Shyamalesh Sarkar"/>
        <s v="Chandi Charan Mahato"/>
        <s v="Santanu Bera"/>
        <s v="Manindra Nath Barman"/>
        <s v="Sanjoy Paul"/>
        <s v="Pijush Singha"/>
        <s v="Mousumi Sarkar"/>
        <s v="Sk Md Abul Hasan" u="1"/>
        <s v="Sudip Saha" u="1"/>
      </sharedItems>
    </cacheField>
    <cacheField name="Status" numFmtId="0">
      <sharedItems/>
    </cacheField>
    <cacheField name="ZO Name" numFmtId="0">
      <sharedItems/>
    </cacheField>
    <cacheField name="Branch Name" numFmtId="0">
      <sharedItems/>
    </cacheField>
    <cacheField name="CSP Name" numFmtId="0">
      <sharedItems/>
    </cacheField>
    <cacheField name="Device ID" numFmtId="49">
      <sharedItems/>
    </cacheField>
    <cacheField name="KO Code" numFmtId="0">
      <sharedItems containsSemiMixedTypes="0" containsString="0" containsNumber="1" containsInteger="1" minValue="20322" maxValue="29799"/>
    </cacheField>
    <cacheField name="TXN Category" numFmtId="0">
      <sharedItems containsMixedTypes="1" containsNumber="1" containsInteger="1" minValue="0" maxValue="0" count="11">
        <s v="&gt; 900"/>
        <s v="&gt; 2000"/>
        <s v="&gt; 1500"/>
        <s v="&gt; 300"/>
        <s v="&gt; 450"/>
        <s v="&gt; 600"/>
        <s v="&gt; 150"/>
        <s v="&lt; 150"/>
        <s v="Nill"/>
        <n v="0"/>
        <e v="#DIV/0!"/>
      </sharedItems>
    </cacheField>
    <cacheField name="Month" numFmtId="164">
      <sharedItems containsSemiMixedTypes="0" containsString="0" containsNumber="1" containsInteger="1" minValue="0" maxValue="6"/>
    </cacheField>
    <cacheField name="Apr-26" numFmtId="164">
      <sharedItems containsString="0" containsBlank="1" containsNumber="1" minValue="60" maxValue="33172"/>
    </cacheField>
    <cacheField name="May-26" numFmtId="164">
      <sharedItems containsString="0" containsBlank="1" containsNumber="1" minValue="18" maxValue="37083"/>
    </cacheField>
    <cacheField name="Jun-26" numFmtId="164">
      <sharedItems containsString="0" containsBlank="1" containsNumber="1" minValue="8" maxValue="31899.75"/>
    </cacheField>
    <cacheField name="Jul-26" numFmtId="164">
      <sharedItems containsString="0" containsBlank="1" containsNumber="1" minValue="39" maxValue="34082.25"/>
    </cacheField>
    <cacheField name="Aug-26" numFmtId="164">
      <sharedItems containsString="0" containsBlank="1" containsNumber="1" minValue="30" maxValue="49753"/>
    </cacheField>
    <cacheField name="Sep-26" numFmtId="164">
      <sharedItems containsNonDate="0" containsString="0" containsBlank="1"/>
    </cacheField>
    <cacheField name="Oct-26" numFmtId="164">
      <sharedItems containsNonDate="0" containsString="0" containsBlank="1"/>
    </cacheField>
    <cacheField name="Nov-26" numFmtId="164">
      <sharedItems containsNonDate="0" containsString="0" containsBlank="1"/>
    </cacheField>
    <cacheField name="Dec-26" numFmtId="164">
      <sharedItems containsNonDate="0" containsString="0" containsBlank="1"/>
    </cacheField>
    <cacheField name="Jan-27" numFmtId="164">
      <sharedItems containsNonDate="0" containsString="0" containsBlank="1"/>
    </cacheField>
    <cacheField name="Feb-27" numFmtId="164">
      <sharedItems containsNonDate="0" containsString="0" containsBlank="1"/>
    </cacheField>
    <cacheField name="Mar-27" numFmtId="164">
      <sharedItems containsNonDate="0" containsString="0" containsBlank="1"/>
    </cacheField>
    <cacheField name="Total Comm" numFmtId="164">
      <sharedItems containsString="0" containsBlank="1" containsNumber="1" minValue="46" maxValue="170263.5"/>
    </cacheField>
    <cacheField name="Average" numFmtId="164">
      <sharedItems containsBlank="1" containsMixedTypes="1" containsNumber="1" minValue="0" maxValue="28377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ojit Mallick" refreshedDate="46272.69362928241" createdVersion="8" refreshedVersion="8" minRefreshableVersion="3" recordCount="103" xr:uid="{2AD210B9-127A-4AD6-B545-4199739B530F}">
  <cacheSource type="worksheet">
    <worksheetSource ref="A1:X104" sheet="FI txn"/>
  </cacheSource>
  <cacheFields count="24">
    <cacheField name="DC Name" numFmtId="0">
      <sharedItems count="15">
        <s v="Rajendra Kumar Bapari"/>
        <s v="Under Office (W Medinipur)"/>
        <s v="Souvik Maity"/>
        <s v="Under Office (Birbhum)"/>
        <s v="Rajiul Momin"/>
        <s v="Avi Sk"/>
        <s v="Shyamalesh Sarkar"/>
        <s v="Sunil Biswas"/>
        <s v="Santanu Bera"/>
        <s v="Chandi Charan Mahato"/>
        <s v="Manindra Nath Barman"/>
        <s v="Sanjoy Paul"/>
        <s v="Pijush Singha"/>
        <s v="Mousumi Sarkar"/>
        <s v="Sk Md Abul Hasan" u="1"/>
      </sharedItems>
    </cacheField>
    <cacheField name="Status" numFmtId="0">
      <sharedItems/>
    </cacheField>
    <cacheField name="ZO Name" numFmtId="0">
      <sharedItems/>
    </cacheField>
    <cacheField name="Branch Name" numFmtId="0">
      <sharedItems/>
    </cacheField>
    <cacheField name="CSP Name" numFmtId="0">
      <sharedItems/>
    </cacheField>
    <cacheField name="Device ID" numFmtId="49">
      <sharedItems/>
    </cacheField>
    <cacheField name="KO Code" numFmtId="0">
      <sharedItems containsSemiMixedTypes="0" containsString="0" containsNumber="1" containsInteger="1" minValue="20322" maxValue="29799"/>
    </cacheField>
    <cacheField name="Month" numFmtId="164">
      <sharedItems containsSemiMixedTypes="0" containsString="0" containsNumber="1" containsInteger="1" minValue="0" maxValue="6"/>
    </cacheField>
    <cacheField name="Target" numFmtId="164">
      <sharedItems containsSemiMixedTypes="0" containsString="0" containsNumber="1" containsInteger="1" minValue="0" maxValue="1800"/>
    </cacheField>
    <cacheField name="Apr-26" numFmtId="164">
      <sharedItems containsString="0" containsBlank="1" containsNumber="1" containsInteger="1" minValue="5" maxValue="2626"/>
    </cacheField>
    <cacheField name="May-26" numFmtId="164">
      <sharedItems containsString="0" containsBlank="1" containsNumber="1" containsInteger="1" minValue="3" maxValue="2814"/>
    </cacheField>
    <cacheField name="Jun-26" numFmtId="164">
      <sharedItems containsString="0" containsBlank="1" containsNumber="1" containsInteger="1" minValue="1" maxValue="2318"/>
    </cacheField>
    <cacheField name="Jul-26" numFmtId="164">
      <sharedItems containsString="0" containsBlank="1" containsNumber="1" containsInteger="1" minValue="4" maxValue="2531"/>
    </cacheField>
    <cacheField name="Aug-26" numFmtId="164">
      <sharedItems containsString="0" containsBlank="1" containsNumber="1" containsInteger="1" minValue="4" maxValue="3160"/>
    </cacheField>
    <cacheField name="Sep-26" numFmtId="164">
      <sharedItems containsString="0" containsBlank="1" containsNumber="1" containsInteger="1" minValue="1" maxValue="587"/>
    </cacheField>
    <cacheField name="Oct-26" numFmtId="164">
      <sharedItems containsNonDate="0" containsString="0" containsBlank="1"/>
    </cacheField>
    <cacheField name="Nov-26" numFmtId="164">
      <sharedItems containsNonDate="0" containsString="0" containsBlank="1"/>
    </cacheField>
    <cacheField name="Dec-26" numFmtId="164">
      <sharedItems containsNonDate="0" containsString="0" containsBlank="1"/>
    </cacheField>
    <cacheField name="Jan-27" numFmtId="164">
      <sharedItems containsNonDate="0" containsString="0" containsBlank="1"/>
    </cacheField>
    <cacheField name="Feb-27" numFmtId="164">
      <sharedItems containsNonDate="0" containsString="0" containsBlank="1"/>
    </cacheField>
    <cacheField name="Mar-27" numFmtId="164">
      <sharedItems containsNonDate="0" containsString="0" containsBlank="1"/>
    </cacheField>
    <cacheField name="Total txn" numFmtId="164">
      <sharedItems containsString="0" containsBlank="1" containsNumber="1" containsInteger="1" minValue="2" maxValue="13308"/>
    </cacheField>
    <cacheField name="Average" numFmtId="164">
      <sharedItems containsBlank="1" containsMixedTypes="1" containsNumber="1" minValue="0" maxValue="2218"/>
    </cacheField>
    <cacheField name="Category" numFmtId="0">
      <sharedItems containsBlank="1" count="11">
        <s v="&gt; 900"/>
        <s v="&gt; 2000"/>
        <s v="&gt; 1500"/>
        <s v="&gt; 600"/>
        <s v="&gt; 450"/>
        <s v="&gt; 300"/>
        <s v="&gt; 150"/>
        <s v="&lt; 150"/>
        <m/>
        <s v="Nill"/>
        <e v="#DIV/0!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s v="Active"/>
    <s v="Durgapur"/>
    <s v="Kushodanga"/>
    <s v="Priti Das"/>
    <s v="3390315408"/>
    <n v="28176"/>
    <s v="&gt; 900"/>
    <n v="6"/>
    <n v="10425.5"/>
    <n v="9881.5"/>
    <n v="16285.25"/>
    <n v="27613.5"/>
    <n v="49753"/>
    <m/>
    <m/>
    <m/>
    <m/>
    <m/>
    <m/>
    <m/>
    <n v="113958.75"/>
    <n v="18993.125"/>
  </r>
  <r>
    <x v="1"/>
    <s v="Active"/>
    <s v="Hooghly"/>
    <s v="Palaschabrighat"/>
    <s v="Asima Bhunia"/>
    <s v="2390311420"/>
    <n v="22126"/>
    <s v="&gt; 2000"/>
    <n v="6"/>
    <n v="23358.5"/>
    <n v="19975"/>
    <n v="24224.5"/>
    <n v="26355.75"/>
    <n v="35917"/>
    <m/>
    <m/>
    <m/>
    <m/>
    <m/>
    <m/>
    <m/>
    <n v="129830.75"/>
    <n v="21638.458333333332"/>
  </r>
  <r>
    <x v="1"/>
    <s v="Active"/>
    <s v="Hooghly"/>
    <s v="Binpur"/>
    <s v="Debika Singha Patra"/>
    <s v="2390311962"/>
    <n v="22789"/>
    <s v="&gt; 2000"/>
    <n v="6"/>
    <n v="33172"/>
    <n v="37083"/>
    <n v="31899.75"/>
    <n v="34082.25"/>
    <n v="34026.5"/>
    <m/>
    <m/>
    <m/>
    <m/>
    <m/>
    <m/>
    <m/>
    <n v="170263.5"/>
    <n v="28377.25"/>
  </r>
  <r>
    <x v="1"/>
    <s v="Active"/>
    <s v="Hooghly"/>
    <s v="Khirpai"/>
    <s v="Sk Abbas Ali"/>
    <s v="2390311378"/>
    <n v="22073"/>
    <s v="&gt; 900"/>
    <n v="6"/>
    <n v="24752.5"/>
    <n v="24741.5"/>
    <n v="23878.75"/>
    <n v="27476"/>
    <n v="27801"/>
    <m/>
    <m/>
    <m/>
    <m/>
    <m/>
    <m/>
    <m/>
    <n v="128649.75"/>
    <n v="21441.625"/>
  </r>
  <r>
    <x v="2"/>
    <s v="Active"/>
    <s v="Hooghly"/>
    <s v="Rajhati"/>
    <s v="Arnnapurna Maji"/>
    <s v="3390311610"/>
    <n v="22346"/>
    <s v="&gt; 1500"/>
    <n v="6"/>
    <n v="20843.25"/>
    <n v="20225.75"/>
    <n v="15774.75"/>
    <n v="19754.5"/>
    <n v="21353.75"/>
    <m/>
    <m/>
    <m/>
    <m/>
    <m/>
    <m/>
    <m/>
    <n v="97952"/>
    <n v="16325.333333333334"/>
  </r>
  <r>
    <x v="1"/>
    <s v="Active"/>
    <s v="Hooghly"/>
    <s v="Ramjibanpur"/>
    <s v="Abhijit Modak"/>
    <s v="3390311425"/>
    <n v="22131"/>
    <s v="&gt; 1500"/>
    <n v="6"/>
    <n v="22716.5"/>
    <n v="22787.5"/>
    <n v="17543.5"/>
    <n v="19429.75"/>
    <n v="20244.25"/>
    <m/>
    <m/>
    <m/>
    <m/>
    <m/>
    <m/>
    <m/>
    <n v="102721.5"/>
    <n v="17120.25"/>
  </r>
  <r>
    <x v="3"/>
    <s v="Active"/>
    <s v="Siliguri"/>
    <s v="Jajigram"/>
    <s v="Mosaraf Sk"/>
    <s v="0140311323"/>
    <n v="21998"/>
    <s v="&gt; 900"/>
    <n v="6"/>
    <n v="12892"/>
    <n v="13435"/>
    <n v="14045"/>
    <n v="17355.5"/>
    <n v="18163"/>
    <m/>
    <m/>
    <m/>
    <m/>
    <m/>
    <m/>
    <m/>
    <n v="75890.5"/>
    <n v="12648.416666666666"/>
  </r>
  <r>
    <x v="3"/>
    <s v="Active"/>
    <s v="Siliguri"/>
    <s v="Paikar"/>
    <s v="Saheb Sk"/>
    <s v="0140311324"/>
    <n v="21999"/>
    <s v="&gt; 900"/>
    <n v="6"/>
    <n v="20519.25"/>
    <n v="18974"/>
    <n v="16085.75"/>
    <n v="17235.25"/>
    <n v="17796.25"/>
    <m/>
    <m/>
    <m/>
    <m/>
    <m/>
    <m/>
    <m/>
    <n v="90610.5"/>
    <n v="15101.75"/>
  </r>
  <r>
    <x v="1"/>
    <s v="Active"/>
    <s v="Hooghly"/>
    <s v="Kharar"/>
    <s v="Pinki Ghosh"/>
    <s v="2390311944"/>
    <n v="29368"/>
    <s v="&gt; 300"/>
    <n v="6"/>
    <n v="1782"/>
    <n v="9855"/>
    <n v="8681"/>
    <n v="8132"/>
    <n v="13270"/>
    <m/>
    <m/>
    <m/>
    <m/>
    <m/>
    <m/>
    <m/>
    <n v="41720"/>
    <n v="6953.333333333333"/>
  </r>
  <r>
    <x v="1"/>
    <s v="Active"/>
    <s v="Hooghly"/>
    <s v="Guiadaha"/>
    <s v="Munmun Chakraborty"/>
    <s v="2390312218"/>
    <n v="23142"/>
    <s v="&gt; 450"/>
    <n v="6"/>
    <n v="5756.25"/>
    <n v="5512.5"/>
    <n v="7078"/>
    <n v="8823"/>
    <n v="11995.75"/>
    <m/>
    <m/>
    <m/>
    <m/>
    <m/>
    <m/>
    <m/>
    <n v="39165.5"/>
    <n v="6527.583333333333"/>
  </r>
  <r>
    <x v="1"/>
    <s v="Active"/>
    <s v="Hooghly"/>
    <s v="Khirpai"/>
    <s v="Reshma Khatun"/>
    <s v="2390314453"/>
    <n v="26501"/>
    <s v="&gt; 450"/>
    <n v="6"/>
    <n v="10551.5"/>
    <n v="11424"/>
    <n v="10113.75"/>
    <n v="9831"/>
    <n v="11903"/>
    <m/>
    <m/>
    <m/>
    <m/>
    <m/>
    <m/>
    <m/>
    <n v="53823.25"/>
    <n v="8970.5416666666661"/>
  </r>
  <r>
    <x v="4"/>
    <s v="Active"/>
    <s v="Siliguri"/>
    <s v="Kaluari"/>
    <s v="Masidur Rahaman"/>
    <s v="2370310973"/>
    <n v="21583"/>
    <s v="&gt; 900"/>
    <n v="6"/>
    <n v="13621"/>
    <n v="12210"/>
    <n v="15242.25"/>
    <n v="12195.75"/>
    <n v="11772.5"/>
    <m/>
    <m/>
    <m/>
    <m/>
    <m/>
    <m/>
    <m/>
    <n v="65041.5"/>
    <n v="10840.25"/>
  </r>
  <r>
    <x v="1"/>
    <s v="Active"/>
    <s v="Hooghly"/>
    <s v="Bhairabpur"/>
    <s v="Srabani Chatterjee"/>
    <s v="2390312437"/>
    <n v="23429"/>
    <s v="&gt; 600"/>
    <n v="6"/>
    <n v="8283"/>
    <n v="6398.5"/>
    <n v="7930"/>
    <n v="9949"/>
    <n v="11717.5"/>
    <m/>
    <m/>
    <m/>
    <m/>
    <m/>
    <m/>
    <m/>
    <n v="44278"/>
    <n v="7379.666666666667"/>
  </r>
  <r>
    <x v="5"/>
    <s v="Active"/>
    <s v="Siliguri"/>
    <s v="Talgachi"/>
    <s v="Giridhari Sarkar"/>
    <s v="2410310083"/>
    <n v="20509"/>
    <s v="&gt; 600"/>
    <n v="6"/>
    <n v="11499.75"/>
    <n v="11397.5"/>
    <n v="10138.5"/>
    <n v="11705.25"/>
    <n v="11256.75"/>
    <m/>
    <m/>
    <m/>
    <m/>
    <m/>
    <m/>
    <m/>
    <n v="55997.75"/>
    <n v="9332.9583333333339"/>
  </r>
  <r>
    <x v="2"/>
    <s v="Active"/>
    <s v="Hooghly"/>
    <s v="Rajhati"/>
    <s v="Santanu Ghosh"/>
    <s v="3390314383"/>
    <n v="26399"/>
    <s v="&gt; 600"/>
    <n v="6"/>
    <n v="9975.75"/>
    <n v="10069.25"/>
    <n v="7285.25"/>
    <n v="11704.75"/>
    <n v="11232.25"/>
    <m/>
    <m/>
    <m/>
    <m/>
    <m/>
    <m/>
    <m/>
    <n v="50267.25"/>
    <n v="8377.875"/>
  </r>
  <r>
    <x v="2"/>
    <s v="Active"/>
    <s v="Hooghly"/>
    <s v="Jirat"/>
    <s v="Sahadeb Chakraborty"/>
    <s v="3390314204"/>
    <n v="26084"/>
    <s v="&gt; 600"/>
    <n v="6"/>
    <n v="8939.25"/>
    <n v="12096"/>
    <n v="11165.5"/>
    <n v="13827.25"/>
    <n v="10955.75"/>
    <m/>
    <m/>
    <m/>
    <m/>
    <m/>
    <m/>
    <m/>
    <n v="56983.75"/>
    <n v="9497.2916666666661"/>
  </r>
  <r>
    <x v="0"/>
    <s v="Active"/>
    <s v="Durgapur"/>
    <s v="Patuli"/>
    <s v="Satyajit Kar"/>
    <s v="3390314928"/>
    <n v="27154"/>
    <s v="&gt; 450"/>
    <n v="6"/>
    <n v="8492"/>
    <n v="9099"/>
    <n v="7996.25"/>
    <n v="8076.5"/>
    <n v="10802"/>
    <m/>
    <m/>
    <m/>
    <m/>
    <m/>
    <m/>
    <m/>
    <n v="44465.75"/>
    <n v="7410.958333333333"/>
  </r>
  <r>
    <x v="2"/>
    <s v="Active"/>
    <s v="Hooghly"/>
    <s v="Khanakul"/>
    <s v="Susobhan Patra"/>
    <s v="3390312968"/>
    <n v="24153"/>
    <s v="&gt; 450"/>
    <n v="6"/>
    <n v="7504"/>
    <n v="6622"/>
    <n v="5669"/>
    <n v="7755.75"/>
    <n v="10196.5"/>
    <m/>
    <m/>
    <m/>
    <m/>
    <m/>
    <m/>
    <m/>
    <n v="37747.25"/>
    <n v="6291.208333333333"/>
  </r>
  <r>
    <x v="1"/>
    <s v="Active"/>
    <s v="Hooghly"/>
    <s v="Nayabasat"/>
    <s v="Mousumi Chanda Dey"/>
    <s v="2390315855"/>
    <n v="29123"/>
    <s v="&gt; 450"/>
    <n v="6"/>
    <n v="3844.25"/>
    <n v="9008.75"/>
    <n v="3907.75"/>
    <n v="9610.25"/>
    <n v="9023"/>
    <m/>
    <m/>
    <m/>
    <m/>
    <m/>
    <m/>
    <m/>
    <n v="35394"/>
    <n v="5899"/>
  </r>
  <r>
    <x v="2"/>
    <s v="Active"/>
    <s v="Hooghly"/>
    <s v="Dhanyaghori"/>
    <s v="Pratik Chakraborty"/>
    <s v="3390311946"/>
    <n v="22773"/>
    <s v="&gt; 450"/>
    <n v="6"/>
    <n v="7118"/>
    <n v="7268.5"/>
    <n v="7071.5"/>
    <n v="7193.25"/>
    <n v="8555.5"/>
    <m/>
    <m/>
    <m/>
    <m/>
    <m/>
    <m/>
    <m/>
    <n v="37206.75"/>
    <n v="6201.125"/>
  </r>
  <r>
    <x v="6"/>
    <s v="Active"/>
    <s v="Durgapur"/>
    <s v="Santipur"/>
    <s v="Sahabul Mandal"/>
    <s v="2430315156"/>
    <n v="27630"/>
    <s v="&gt; 600"/>
    <n v="6"/>
    <n v="8325"/>
    <n v="8985"/>
    <n v="7814"/>
    <n v="9148"/>
    <n v="8291.5"/>
    <m/>
    <m/>
    <m/>
    <m/>
    <m/>
    <m/>
    <m/>
    <n v="42563.5"/>
    <n v="7093.916666666667"/>
  </r>
  <r>
    <x v="3"/>
    <s v="Active"/>
    <s v="Siliguri"/>
    <s v="Parsundi"/>
    <s v="Parimal Das"/>
    <s v="0140311628"/>
    <n v="22365"/>
    <s v="&gt; 600"/>
    <n v="6"/>
    <n v="6535"/>
    <n v="8141.5"/>
    <n v="7041.75"/>
    <n v="8550.5"/>
    <n v="8147"/>
    <m/>
    <m/>
    <m/>
    <m/>
    <m/>
    <m/>
    <m/>
    <n v="38415.75"/>
    <n v="6402.625"/>
  </r>
  <r>
    <x v="7"/>
    <s v="Active"/>
    <s v="Siliguri"/>
    <s v="Sagardighi Square"/>
    <s v="Ajit Modak"/>
    <s v="2200309916"/>
    <n v="20322"/>
    <s v="&gt; 450"/>
    <n v="6"/>
    <n v="6816.5"/>
    <n v="6311.5"/>
    <n v="6247"/>
    <n v="6672.75"/>
    <n v="8141.25"/>
    <m/>
    <m/>
    <m/>
    <m/>
    <m/>
    <m/>
    <m/>
    <n v="34189"/>
    <n v="5698.166666666667"/>
  </r>
  <r>
    <x v="1"/>
    <s v="Active"/>
    <s v="Hooghly"/>
    <s v="Nayabasat"/>
    <s v="Soumya Ghosh"/>
    <s v="2390314387"/>
    <n v="26403"/>
    <s v="&gt; 150"/>
    <n v="6"/>
    <n v="5403"/>
    <n v="5497.5"/>
    <n v="4609"/>
    <n v="5841"/>
    <n v="7648.5"/>
    <m/>
    <m/>
    <m/>
    <m/>
    <m/>
    <m/>
    <m/>
    <n v="28999"/>
    <n v="4833.166666666667"/>
  </r>
  <r>
    <x v="2"/>
    <s v="Active"/>
    <s v="Hooghly"/>
    <s v="Haripal"/>
    <s v="Sk Nasim Ali"/>
    <s v="3390312613"/>
    <n v="23669"/>
    <s v="&gt; 450"/>
    <n v="6"/>
    <n v="6448.5"/>
    <n v="6378.25"/>
    <n v="5400"/>
    <n v="6216"/>
    <n v="7187"/>
    <m/>
    <m/>
    <m/>
    <m/>
    <m/>
    <m/>
    <m/>
    <n v="31629.75"/>
    <n v="5271.625"/>
  </r>
  <r>
    <x v="2"/>
    <s v="Active"/>
    <s v="Hooghly"/>
    <s v="Khanakul"/>
    <s v="Sahanaj Parvin"/>
    <s v="3390312801"/>
    <n v="23969"/>
    <s v="&gt; 450"/>
    <n v="6"/>
    <n v="6287"/>
    <n v="5876.5"/>
    <n v="3947.75"/>
    <n v="6185.5"/>
    <n v="7110"/>
    <m/>
    <m/>
    <m/>
    <m/>
    <m/>
    <m/>
    <m/>
    <n v="29406.75"/>
    <n v="4901.125"/>
  </r>
  <r>
    <x v="1"/>
    <s v="Active"/>
    <s v="Hooghly"/>
    <s v="Jara"/>
    <s v="Priyanka Biswas"/>
    <s v="2390311424"/>
    <n v="22130"/>
    <s v="&gt; 300"/>
    <n v="6"/>
    <n v="7811"/>
    <n v="6236.5"/>
    <n v="5714"/>
    <n v="9306.5"/>
    <n v="7013.75"/>
    <m/>
    <m/>
    <m/>
    <m/>
    <m/>
    <m/>
    <m/>
    <n v="36081.75"/>
    <n v="6013.625"/>
  </r>
  <r>
    <x v="8"/>
    <s v="Active"/>
    <s v="Durgapur"/>
    <s v="Jhantipahari"/>
    <s v="Asish Kumar Mandal"/>
    <s v="2160314962"/>
    <n v="27220"/>
    <s v="&gt; 300"/>
    <n v="6"/>
    <n v="6825"/>
    <n v="7527.25"/>
    <n v="7114"/>
    <n v="6949.75"/>
    <n v="6685.5"/>
    <m/>
    <m/>
    <m/>
    <m/>
    <m/>
    <m/>
    <m/>
    <n v="35101.5"/>
    <n v="5850.25"/>
  </r>
  <r>
    <x v="3"/>
    <s v="Active"/>
    <s v="Siliguri"/>
    <s v="Mangaldihi"/>
    <s v="Ruma Bagdi"/>
    <s v="0140311670"/>
    <n v="27028"/>
    <s v="&gt; 450"/>
    <n v="6"/>
    <n v="5822"/>
    <n v="5556"/>
    <n v="4255"/>
    <n v="6895.5"/>
    <n v="6491"/>
    <m/>
    <m/>
    <m/>
    <m/>
    <m/>
    <m/>
    <m/>
    <n v="29019.5"/>
    <n v="4836.583333333333"/>
  </r>
  <r>
    <x v="4"/>
    <s v="Active"/>
    <s v="Siliguri"/>
    <s v="Inyathpur"/>
    <s v="Tumpa Poddar"/>
    <s v="2370312246"/>
    <n v="23178"/>
    <s v="&gt; 450"/>
    <n v="6"/>
    <n v="6581.5"/>
    <n v="5453"/>
    <n v="6403.75"/>
    <n v="7440"/>
    <n v="6412"/>
    <m/>
    <m/>
    <m/>
    <m/>
    <m/>
    <m/>
    <m/>
    <n v="32290.25"/>
    <n v="5381.708333333333"/>
  </r>
  <r>
    <x v="1"/>
    <s v="Active"/>
    <s v="Hooghly"/>
    <s v="Ramjibanpur"/>
    <s v="Mahadeb Das "/>
    <s v="3390315155"/>
    <n v="27629"/>
    <s v="&gt; 300"/>
    <n v="6"/>
    <n v="6745.5"/>
    <n v="6771"/>
    <n v="6650"/>
    <n v="5332.5"/>
    <n v="6161.75"/>
    <m/>
    <m/>
    <m/>
    <m/>
    <m/>
    <m/>
    <m/>
    <n v="31660.75"/>
    <n v="5276.791666666667"/>
  </r>
  <r>
    <x v="2"/>
    <s v="Active"/>
    <s v="Hooghly"/>
    <s v="Rajbalhat"/>
    <s v="Dibyendu Bhowmick"/>
    <s v="3390314186"/>
    <n v="26015"/>
    <s v="&gt; 450"/>
    <n v="6"/>
    <n v="4970"/>
    <n v="4667"/>
    <n v="6460"/>
    <n v="6049.75"/>
    <n v="6019"/>
    <m/>
    <m/>
    <m/>
    <m/>
    <m/>
    <m/>
    <m/>
    <n v="28165.75"/>
    <n v="4694.291666666667"/>
  </r>
  <r>
    <x v="6"/>
    <s v="Active"/>
    <s v="Durgapur"/>
    <s v="Hridaypur"/>
    <s v="Injamul Rahaman "/>
    <s v="2430314512"/>
    <n v="26588"/>
    <s v="&gt; 300"/>
    <n v="6"/>
    <n v="5195.75"/>
    <n v="9214.5"/>
    <n v="5806.75"/>
    <n v="5831.75"/>
    <n v="5994.5"/>
    <m/>
    <m/>
    <m/>
    <m/>
    <m/>
    <m/>
    <m/>
    <n v="32043.25"/>
    <n v="5340.541666666667"/>
  </r>
  <r>
    <x v="2"/>
    <s v="Active"/>
    <s v="Hooghly"/>
    <s v="Kalipur"/>
    <s v="Satyajit Chattopadhyay"/>
    <s v="3390311422"/>
    <n v="22128"/>
    <s v="&gt; 450"/>
    <n v="6"/>
    <n v="7965.5"/>
    <n v="7551"/>
    <n v="4747.75"/>
    <n v="5583.75"/>
    <n v="5964.75"/>
    <m/>
    <m/>
    <m/>
    <m/>
    <m/>
    <m/>
    <m/>
    <n v="31812.75"/>
    <n v="5302.125"/>
  </r>
  <r>
    <x v="2"/>
    <s v="Active"/>
    <s v="Hooghly"/>
    <s v="Kamarpara"/>
    <s v="Mithu Ghosh"/>
    <s v="3390312440"/>
    <n v="23432"/>
    <s v="&gt; 450"/>
    <n v="6"/>
    <n v="5197"/>
    <n v="3724"/>
    <n v="5089.5"/>
    <n v="4845"/>
    <n v="5882"/>
    <m/>
    <m/>
    <m/>
    <m/>
    <m/>
    <m/>
    <m/>
    <n v="24737.5"/>
    <n v="4122.916666666667"/>
  </r>
  <r>
    <x v="2"/>
    <s v="Active"/>
    <s v="Hooghly"/>
    <s v="Kamarpara"/>
    <s v="Md Mustakim"/>
    <s v="3390312441"/>
    <n v="23433"/>
    <s v="&gt; 300"/>
    <n v="6"/>
    <n v="8208"/>
    <n v="7113"/>
    <n v="2905"/>
    <n v="3140"/>
    <n v="5552.75"/>
    <m/>
    <m/>
    <m/>
    <m/>
    <m/>
    <m/>
    <m/>
    <n v="26918.75"/>
    <n v="4486.458333333333"/>
  </r>
  <r>
    <x v="1"/>
    <s v="Active"/>
    <s v="Hooghly"/>
    <s v="Chandrakona"/>
    <s v="Ananya Maity Bag"/>
    <s v="2390313181"/>
    <n v="24495"/>
    <s v="&gt; 300"/>
    <n v="6"/>
    <n v="4611"/>
    <n v="3713.5"/>
    <n v="4278.75"/>
    <n v="4419.75"/>
    <n v="5523.5"/>
    <m/>
    <m/>
    <m/>
    <m/>
    <m/>
    <m/>
    <m/>
    <n v="22546.5"/>
    <n v="3757.75"/>
  </r>
  <r>
    <x v="9"/>
    <s v="Active"/>
    <s v="Hooghly"/>
    <s v="Panskura"/>
    <s v="Kartik Maity"/>
    <s v="2380311666"/>
    <n v="22404"/>
    <s v="&gt; 450"/>
    <n v="6"/>
    <n v="5356"/>
    <n v="6070"/>
    <n v="4033"/>
    <n v="6731.5"/>
    <n v="5439.25"/>
    <m/>
    <m/>
    <m/>
    <m/>
    <m/>
    <m/>
    <m/>
    <n v="27629.75"/>
    <n v="4604.958333333333"/>
  </r>
  <r>
    <x v="3"/>
    <s v="Active"/>
    <s v="Siliguri"/>
    <s v="Dharampur"/>
    <s v="Md Zulfikar Ali"/>
    <s v="0140315201"/>
    <n v="27792"/>
    <s v="&gt; 300"/>
    <n v="6"/>
    <n v="4829"/>
    <n v="4196"/>
    <n v="4501"/>
    <n v="5812"/>
    <n v="5102"/>
    <m/>
    <m/>
    <m/>
    <m/>
    <m/>
    <m/>
    <m/>
    <n v="24440"/>
    <n v="4073.3333333333335"/>
  </r>
  <r>
    <x v="1"/>
    <s v="Active"/>
    <s v="Hooghly"/>
    <s v="Chandrakona"/>
    <s v="Mani Dhara"/>
    <s v="2390313180"/>
    <n v="24494"/>
    <s v="&gt; 300"/>
    <n v="6"/>
    <n v="3859"/>
    <n v="2864"/>
    <n v="3428"/>
    <n v="3849"/>
    <n v="5026.5"/>
    <m/>
    <m/>
    <m/>
    <m/>
    <m/>
    <m/>
    <m/>
    <n v="19026.5"/>
    <n v="3171.0833333333335"/>
  </r>
  <r>
    <x v="8"/>
    <s v="Active"/>
    <s v="Durgapur"/>
    <s v="Anara"/>
    <s v="Biswajit Majee"/>
    <s v="2460314961"/>
    <n v="27219"/>
    <s v="&gt; 300"/>
    <n v="6"/>
    <n v="4247"/>
    <n v="7078.5"/>
    <n v="3735.5"/>
    <n v="3881.75"/>
    <n v="4836.25"/>
    <m/>
    <m/>
    <m/>
    <m/>
    <m/>
    <m/>
    <m/>
    <n v="23779"/>
    <n v="3963.1666666666665"/>
  </r>
  <r>
    <x v="0"/>
    <s v="Active"/>
    <s v="Durgapur"/>
    <s v="Kushodanga"/>
    <s v="Rumpa Pal Mondal"/>
    <s v="3390315402"/>
    <n v="28170"/>
    <s v="&gt; 300"/>
    <n v="6"/>
    <n v="4880.5"/>
    <n v="3858.5"/>
    <n v="3494.25"/>
    <n v="4161.5"/>
    <n v="4558.5"/>
    <m/>
    <m/>
    <m/>
    <m/>
    <m/>
    <m/>
    <m/>
    <n v="20953.25"/>
    <n v="3492.2083333333335"/>
  </r>
  <r>
    <x v="1"/>
    <s v="Active"/>
    <s v="Hooghly"/>
    <s v="Banka"/>
    <s v="Subhajit Chanda"/>
    <s v="2390312543"/>
    <n v="23560"/>
    <s v="&gt; 300"/>
    <n v="6"/>
    <n v="5207"/>
    <n v="4997"/>
    <n v="4292"/>
    <n v="4160"/>
    <n v="4381"/>
    <m/>
    <m/>
    <m/>
    <m/>
    <m/>
    <m/>
    <m/>
    <n v="23037"/>
    <n v="3839.5"/>
  </r>
  <r>
    <x v="6"/>
    <s v="Active"/>
    <s v="Durgapur"/>
    <s v="Haringhata"/>
    <s v="Eyakub Mondal"/>
    <s v="2430315345"/>
    <n v="28085"/>
    <s v="&gt; 300"/>
    <n v="6"/>
    <n v="3530.5"/>
    <n v="6714.5"/>
    <n v="3471"/>
    <n v="6391"/>
    <n v="4328"/>
    <m/>
    <m/>
    <m/>
    <m/>
    <m/>
    <m/>
    <m/>
    <n v="24435"/>
    <n v="4072.5"/>
  </r>
  <r>
    <x v="10"/>
    <s v="Active"/>
    <s v="Siliguri"/>
    <s v="Barobisha"/>
    <s v="Md Akimuzzaman"/>
    <s v="2310315481"/>
    <n v="28270"/>
    <s v="&gt; 150"/>
    <n v="6"/>
    <n v="1758.5"/>
    <n v="1461"/>
    <n v="2362"/>
    <n v="3000.5"/>
    <n v="4267.75"/>
    <m/>
    <m/>
    <m/>
    <m/>
    <m/>
    <m/>
    <m/>
    <n v="12849.75"/>
    <n v="2141.625"/>
  </r>
  <r>
    <x v="2"/>
    <s v="Active"/>
    <s v="Hooghly"/>
    <s v="Polba"/>
    <s v="Arindam Sadhukhan"/>
    <s v="3390315433"/>
    <n v="28201"/>
    <s v="&gt; 150"/>
    <n v="6"/>
    <n v="8957"/>
    <n v="7444.5"/>
    <n v="2711"/>
    <n v="2279"/>
    <n v="4198"/>
    <m/>
    <m/>
    <m/>
    <m/>
    <m/>
    <m/>
    <m/>
    <n v="25589.5"/>
    <n v="4264.916666666667"/>
  </r>
  <r>
    <x v="3"/>
    <s v="Active"/>
    <s v="Siliguri"/>
    <s v="Kapista"/>
    <s v="Swarup Karmakar"/>
    <s v="0140311629"/>
    <n v="22366"/>
    <s v="&gt; 300"/>
    <n v="6"/>
    <n v="3033.25"/>
    <n v="3387"/>
    <n v="3078.75"/>
    <n v="3578.75"/>
    <n v="4136"/>
    <m/>
    <m/>
    <m/>
    <m/>
    <m/>
    <m/>
    <m/>
    <n v="17213.75"/>
    <n v="2868.9583333333335"/>
  </r>
  <r>
    <x v="2"/>
    <s v="Active"/>
    <s v="Hooghly"/>
    <s v="Sahapur"/>
    <s v="Bishal Maity"/>
    <s v="3390312548"/>
    <n v="23565"/>
    <s v="&gt; 150"/>
    <n v="6"/>
    <n v="6375"/>
    <n v="6210"/>
    <n v="3785"/>
    <n v="3902"/>
    <n v="4082"/>
    <m/>
    <m/>
    <m/>
    <m/>
    <m/>
    <m/>
    <m/>
    <n v="24354"/>
    <n v="4059"/>
  </r>
  <r>
    <x v="7"/>
    <s v="Active"/>
    <s v="Siliguri"/>
    <s v="Sagardighi Square"/>
    <s v="Rajani Roy"/>
    <s v="2200310076"/>
    <n v="20502"/>
    <s v="&gt; 150"/>
    <n v="6"/>
    <n v="2368"/>
    <n v="2326.75"/>
    <n v="2844"/>
    <n v="4899.25"/>
    <n v="3932.5"/>
    <m/>
    <m/>
    <m/>
    <m/>
    <m/>
    <m/>
    <m/>
    <n v="16370.5"/>
    <n v="2728.4166666666665"/>
  </r>
  <r>
    <x v="6"/>
    <s v="Active"/>
    <s v="Durgapur"/>
    <s v="Hidaypur"/>
    <s v="Akramul Shaikh"/>
    <s v="2430315571"/>
    <n v="28485"/>
    <s v="&gt; 150"/>
    <n v="6"/>
    <n v="2601"/>
    <n v="2744.5"/>
    <n v="3046.25"/>
    <n v="3710.75"/>
    <n v="3903"/>
    <m/>
    <m/>
    <m/>
    <m/>
    <m/>
    <m/>
    <m/>
    <n v="16005.5"/>
    <n v="2667.5833333333335"/>
  </r>
  <r>
    <x v="8"/>
    <s v="Active"/>
    <s v="Durgapur"/>
    <s v="Patrasayer"/>
    <s v="Satish Ankure"/>
    <s v="2160314679"/>
    <n v="26810"/>
    <s v="&gt; 300"/>
    <n v="6"/>
    <n v="4068.5"/>
    <n v="3147"/>
    <n v="2200"/>
    <n v="3446.75"/>
    <n v="3736"/>
    <m/>
    <m/>
    <m/>
    <m/>
    <m/>
    <m/>
    <m/>
    <n v="16598.25"/>
    <n v="2766.375"/>
  </r>
  <r>
    <x v="1"/>
    <s v="Active"/>
    <s v="Hooghly"/>
    <s v="Jhargram"/>
    <s v="Sk Imran"/>
    <s v="2390311695"/>
    <n v="22452"/>
    <s v="&gt; 150"/>
    <n v="6"/>
    <n v="2897.5"/>
    <n v="2355.5"/>
    <n v="2931.5"/>
    <n v="3862"/>
    <n v="3417"/>
    <m/>
    <m/>
    <m/>
    <m/>
    <m/>
    <m/>
    <m/>
    <n v="15463.5"/>
    <n v="2577.25"/>
  </r>
  <r>
    <x v="5"/>
    <s v="Active"/>
    <s v="Siliguri"/>
    <s v="Kanupur"/>
    <s v="Shobhan Majhi"/>
    <s v="2410311257"/>
    <n v="21926"/>
    <s v="&gt; 150"/>
    <n v="6"/>
    <n v="4147"/>
    <n v="3907"/>
    <n v="3985"/>
    <n v="3326"/>
    <n v="3386"/>
    <m/>
    <m/>
    <m/>
    <m/>
    <m/>
    <m/>
    <m/>
    <n v="18751"/>
    <n v="3125.1666666666665"/>
  </r>
  <r>
    <x v="5"/>
    <s v="Active"/>
    <s v="Siliguri"/>
    <s v="Sagarpara"/>
    <s v="Habibur Rahaman"/>
    <s v="2410311259"/>
    <n v="28860"/>
    <s v="&gt; 150"/>
    <n v="6"/>
    <n v="3345"/>
    <n v="3551"/>
    <n v="3034"/>
    <n v="2538"/>
    <n v="3226"/>
    <m/>
    <m/>
    <m/>
    <m/>
    <m/>
    <m/>
    <m/>
    <n v="15694"/>
    <n v="2615.6666666666665"/>
  </r>
  <r>
    <x v="11"/>
    <s v="Active"/>
    <s v="Siliguri"/>
    <s v="Raiganj"/>
    <s v="Joydev Das"/>
    <s v="2560315042"/>
    <n v="27372"/>
    <s v="&gt; 150"/>
    <n v="6"/>
    <n v="3713.75"/>
    <n v="2330.5"/>
    <n v="1675.75"/>
    <n v="2404.5"/>
    <n v="2696.75"/>
    <m/>
    <m/>
    <m/>
    <m/>
    <m/>
    <m/>
    <m/>
    <n v="12821.25"/>
    <n v="2136.875"/>
  </r>
  <r>
    <x v="10"/>
    <s v="Active"/>
    <s v="Siliguri"/>
    <s v="Damanpur"/>
    <s v="Biplab Barman"/>
    <s v="9490310566"/>
    <n v="21091"/>
    <s v="&gt; 150"/>
    <n v="6"/>
    <n v="2539.25"/>
    <n v="3544.75"/>
    <n v="2498.5"/>
    <n v="3355.25"/>
    <n v="2631"/>
    <m/>
    <m/>
    <m/>
    <m/>
    <m/>
    <m/>
    <m/>
    <n v="14568.75"/>
    <n v="2428.125"/>
  </r>
  <r>
    <x v="12"/>
    <s v="Active"/>
    <s v="Siliguri"/>
    <s v="Nabagram"/>
    <s v="Sahabuddin Ahmed"/>
    <s v="2410312329"/>
    <n v="23270"/>
    <s v="&gt; 150"/>
    <n v="6"/>
    <n v="2625"/>
    <n v="2438"/>
    <n v="2111"/>
    <n v="2636"/>
    <n v="2353"/>
    <m/>
    <m/>
    <m/>
    <m/>
    <m/>
    <m/>
    <m/>
    <n v="12163"/>
    <n v="2027.1666666666667"/>
  </r>
  <r>
    <x v="9"/>
    <s v="Active"/>
    <s v="Hooghly"/>
    <s v="Kolaghat (Ktpps)"/>
    <s v="Sudipta Mandal"/>
    <s v="2380315163"/>
    <n v="27637"/>
    <s v="&lt; 150"/>
    <n v="6"/>
    <n v="1776"/>
    <n v="1268"/>
    <n v="919"/>
    <n v="877"/>
    <n v="2339"/>
    <m/>
    <m/>
    <m/>
    <m/>
    <m/>
    <m/>
    <m/>
    <n v="7179"/>
    <n v="1196.5"/>
  </r>
  <r>
    <x v="6"/>
    <s v="Active"/>
    <s v="Durgapur"/>
    <s v="Badkulla"/>
    <s v="Swapan Kumar Biswas"/>
    <s v="2430315186"/>
    <n v="27732"/>
    <s v="&gt; 150"/>
    <n v="6"/>
    <n v="2180.5"/>
    <n v="2134.75"/>
    <n v="2283"/>
    <n v="2063"/>
    <n v="2006"/>
    <m/>
    <m/>
    <m/>
    <m/>
    <m/>
    <m/>
    <m/>
    <n v="10667.25"/>
    <n v="1777.875"/>
  </r>
  <r>
    <x v="6"/>
    <s v="Active"/>
    <s v="Durgapur"/>
    <s v="Ranaghat"/>
    <s v="Sagari Ghosh"/>
    <s v="2430314519"/>
    <n v="26595"/>
    <s v="&gt; 300"/>
    <n v="6"/>
    <n v="10993"/>
    <n v="8491"/>
    <n v="6645"/>
    <n v="2647"/>
    <n v="1651"/>
    <m/>
    <m/>
    <m/>
    <m/>
    <m/>
    <m/>
    <m/>
    <n v="30427"/>
    <n v="5071.166666666667"/>
  </r>
  <r>
    <x v="1"/>
    <s v="Active"/>
    <s v="Hooghly"/>
    <s v="Banka"/>
    <s v="Shampa Mandal"/>
    <s v="2390312439"/>
    <n v="23431"/>
    <s v="&gt; 150"/>
    <n v="6"/>
    <n v="1745.5"/>
    <n v="777"/>
    <n v="1807.75"/>
    <n v="1898"/>
    <n v="1435"/>
    <m/>
    <m/>
    <m/>
    <m/>
    <m/>
    <m/>
    <m/>
    <n v="7663.25"/>
    <n v="1277.2083333333333"/>
  </r>
  <r>
    <x v="7"/>
    <s v="Active"/>
    <s v="Siliguri"/>
    <s v="Sagardighi Square"/>
    <s v="Khurshid Alom "/>
    <s v="2200311941"/>
    <n v="22768"/>
    <s v="&lt; 150"/>
    <n v="6"/>
    <n v="1220"/>
    <n v="767.5"/>
    <n v="815"/>
    <n v="840.75"/>
    <n v="1235.5"/>
    <m/>
    <m/>
    <m/>
    <m/>
    <m/>
    <m/>
    <m/>
    <n v="4878.75"/>
    <n v="813.125"/>
  </r>
  <r>
    <x v="13"/>
    <s v="Active"/>
    <s v="Saltlake"/>
    <s v="Hingalganj"/>
    <s v="Khairulla Mistri"/>
    <s v="8410316210"/>
    <n v="29799"/>
    <s v="&lt; 150"/>
    <n v="2"/>
    <m/>
    <m/>
    <m/>
    <m/>
    <n v="1221"/>
    <m/>
    <m/>
    <m/>
    <m/>
    <m/>
    <m/>
    <m/>
    <m/>
    <n v="0"/>
  </r>
  <r>
    <x v="6"/>
    <s v="Active"/>
    <s v="Durgapur"/>
    <s v="Santipur"/>
    <s v="Najmira Khatun"/>
    <s v="2430315335"/>
    <n v="28075"/>
    <s v="&lt; 150"/>
    <n v="6"/>
    <n v="1085"/>
    <n v="938"/>
    <n v="653"/>
    <n v="1659"/>
    <n v="1130"/>
    <m/>
    <m/>
    <m/>
    <m/>
    <m/>
    <m/>
    <m/>
    <n v="5465"/>
    <n v="910.83333333333337"/>
  </r>
  <r>
    <x v="1"/>
    <s v="Active"/>
    <s v="Hooghly"/>
    <s v="Kankabati"/>
    <s v="Mita Samanta"/>
    <s v="2390311663"/>
    <n v="22401"/>
    <s v="&lt; 150"/>
    <n v="6"/>
    <n v="1484"/>
    <n v="4871"/>
    <n v="1429.25"/>
    <n v="1015"/>
    <n v="1007.5"/>
    <m/>
    <m/>
    <m/>
    <m/>
    <m/>
    <m/>
    <m/>
    <n v="9806.75"/>
    <n v="1634.4583333333333"/>
  </r>
  <r>
    <x v="10"/>
    <s v="Active"/>
    <s v="Siliguri"/>
    <s v="Barobisha"/>
    <s v="Sankar Arya"/>
    <s v="2200315639"/>
    <n v="28692"/>
    <s v="&lt; 150"/>
    <n v="6"/>
    <n v="753.25"/>
    <n v="462"/>
    <n v="797"/>
    <n v="443"/>
    <n v="964"/>
    <m/>
    <m/>
    <m/>
    <m/>
    <m/>
    <m/>
    <m/>
    <n v="3419.25"/>
    <n v="569.875"/>
  </r>
  <r>
    <x v="1"/>
    <s v="Active"/>
    <s v="Hooghly"/>
    <s v="Ghatal"/>
    <s v="Chandan Satik"/>
    <s v="2390311662"/>
    <n v="22400"/>
    <s v="&lt; 150"/>
    <n v="6"/>
    <n v="1406"/>
    <n v="763"/>
    <n v="555"/>
    <n v="918.75"/>
    <n v="852"/>
    <m/>
    <m/>
    <m/>
    <m/>
    <m/>
    <m/>
    <m/>
    <n v="4494.75"/>
    <n v="749.125"/>
  </r>
  <r>
    <x v="8"/>
    <s v="Inactive"/>
    <s v="Durgapur"/>
    <s v="Patrasayer"/>
    <s v="Bula Karmakar"/>
    <s v="2160315824"/>
    <n v="29069"/>
    <s v="&lt; 150"/>
    <n v="5"/>
    <n v="203.5"/>
    <n v="891.25"/>
    <n v="2656"/>
    <n v="812"/>
    <n v="835"/>
    <m/>
    <m/>
    <m/>
    <m/>
    <m/>
    <m/>
    <m/>
    <n v="5397.75"/>
    <n v="1079.55"/>
  </r>
  <r>
    <x v="12"/>
    <s v="Active"/>
    <s v="Siliguri"/>
    <s v="Dhuliyan"/>
    <s v="Md Asraful Hoque"/>
    <s v="2410313985"/>
    <n v="25557"/>
    <s v="&lt; 150"/>
    <n v="6"/>
    <n v="501"/>
    <n v="897"/>
    <n v="566"/>
    <n v="1934.75"/>
    <n v="719"/>
    <m/>
    <m/>
    <m/>
    <m/>
    <m/>
    <m/>
    <m/>
    <n v="4617.75"/>
    <n v="769.625"/>
  </r>
  <r>
    <x v="6"/>
    <s v="Active"/>
    <s v="Durgapur"/>
    <s v="Hridaypur"/>
    <s v="Suman Ghosh"/>
    <s v="8116659114"/>
    <n v="29525"/>
    <s v="&lt; 150"/>
    <n v="4"/>
    <m/>
    <m/>
    <n v="696"/>
    <n v="1990"/>
    <n v="708"/>
    <m/>
    <m/>
    <m/>
    <m/>
    <m/>
    <m/>
    <m/>
    <n v="3394"/>
    <m/>
  </r>
  <r>
    <x v="2"/>
    <s v="Active"/>
    <s v="Hooghly"/>
    <s v="Saidpur"/>
    <s v="Puja Manna"/>
    <s v="3390311696"/>
    <n v="22453"/>
    <s v="&lt; 150"/>
    <n v="6"/>
    <n v="127"/>
    <n v="250"/>
    <n v="225"/>
    <n v="464"/>
    <n v="540"/>
    <m/>
    <m/>
    <m/>
    <m/>
    <m/>
    <m/>
    <m/>
    <n v="1606"/>
    <n v="267.66666666666669"/>
  </r>
  <r>
    <x v="6"/>
    <s v="Active"/>
    <s v="Durgapur"/>
    <s v="Ranaghat"/>
    <s v="Kishore Bhakta"/>
    <s v="2430315568"/>
    <n v="28482"/>
    <s v="&lt; 150"/>
    <n v="6"/>
    <n v="235"/>
    <n v="601"/>
    <n v="268"/>
    <n v="330"/>
    <n v="416"/>
    <m/>
    <m/>
    <m/>
    <m/>
    <m/>
    <m/>
    <m/>
    <n v="1850"/>
    <n v="308.33333333333331"/>
  </r>
  <r>
    <x v="6"/>
    <s v="Active"/>
    <s v="Durgapur"/>
    <s v="Santipur"/>
    <s v="Partha Dey"/>
    <s v="2430315570"/>
    <n v="29089"/>
    <s v="&lt; 150"/>
    <n v="6"/>
    <n v="60"/>
    <n v="221"/>
    <n v="296"/>
    <n v="623"/>
    <n v="386"/>
    <m/>
    <m/>
    <m/>
    <m/>
    <m/>
    <m/>
    <m/>
    <n v="1586"/>
    <n v="264.33333333333331"/>
  </r>
  <r>
    <x v="10"/>
    <s v="Inactive"/>
    <s v="Siliguri"/>
    <s v="Barobisha"/>
    <s v="Virendra Narayan Nag"/>
    <s v="8967601707"/>
    <n v="29526"/>
    <s v="&lt; 150"/>
    <n v="3"/>
    <m/>
    <m/>
    <n v="34"/>
    <n v="143"/>
    <n v="382"/>
    <m/>
    <m/>
    <m/>
    <m/>
    <m/>
    <m/>
    <m/>
    <n v="559"/>
    <m/>
  </r>
  <r>
    <x v="9"/>
    <s v="Active"/>
    <s v="Hooghly"/>
    <s v="Keshapat"/>
    <s v="Subhankar Samanta"/>
    <s v="2380311664"/>
    <n v="22402"/>
    <s v="&lt; 150"/>
    <n v="6"/>
    <n v="557.5"/>
    <n v="491.5"/>
    <n v="497"/>
    <n v="751"/>
    <n v="355"/>
    <m/>
    <m/>
    <m/>
    <m/>
    <m/>
    <m/>
    <m/>
    <n v="2652"/>
    <n v="442"/>
  </r>
  <r>
    <x v="10"/>
    <s v="Inactive"/>
    <s v="Siliguri"/>
    <s v="Buxa Forest Craja"/>
    <s v="Md Khalique Ansari "/>
    <s v="9490315684"/>
    <n v="28825"/>
    <s v="&lt; 150"/>
    <n v="5"/>
    <n v="239"/>
    <n v="125"/>
    <n v="8"/>
    <n v="39"/>
    <n v="345"/>
    <m/>
    <m/>
    <m/>
    <m/>
    <m/>
    <m/>
    <m/>
    <n v="756"/>
    <n v="151.19999999999999"/>
  </r>
  <r>
    <x v="2"/>
    <s v="Active"/>
    <s v="Hooghly"/>
    <s v="Dasghara"/>
    <s v="Sabir Amed"/>
    <s v="3390312282"/>
    <n v="23214"/>
    <s v="&lt; 150"/>
    <n v="6"/>
    <n v="278"/>
    <n v="240"/>
    <n v="128"/>
    <n v="309"/>
    <n v="332"/>
    <m/>
    <m/>
    <m/>
    <m/>
    <m/>
    <m/>
    <m/>
    <n v="1287"/>
    <n v="214.5"/>
  </r>
  <r>
    <x v="6"/>
    <s v="Inactive"/>
    <s v="Durgapur"/>
    <s v="Santipur"/>
    <s v="Dipanwita Das"/>
    <s v="2430315569"/>
    <n v="28483"/>
    <s v="&lt; 150"/>
    <n v="5"/>
    <n v="65"/>
    <n v="18"/>
    <n v="830.5"/>
    <n v="265.75"/>
    <n v="301"/>
    <m/>
    <m/>
    <m/>
    <m/>
    <m/>
    <m/>
    <m/>
    <n v="1480.25"/>
    <n v="296.05"/>
  </r>
  <r>
    <x v="2"/>
    <s v="Inactive"/>
    <s v="Hooghly"/>
    <s v="Batanal"/>
    <s v="Chaitali Shit Malik"/>
    <s v="3390311948"/>
    <n v="22775"/>
    <s v="Nill"/>
    <n v="1"/>
    <n v="60"/>
    <n v="83.5"/>
    <n v="45"/>
    <n v="97.5"/>
    <n v="292.5"/>
    <m/>
    <m/>
    <m/>
    <m/>
    <m/>
    <m/>
    <m/>
    <n v="578.5"/>
    <n v="578.5"/>
  </r>
  <r>
    <x v="10"/>
    <s v="Inactive"/>
    <s v="Siliguri"/>
    <s v="Buxa Forest Craja"/>
    <s v="Pankaj Tiwari"/>
    <s v="9490310077"/>
    <n v="20503"/>
    <s v="&lt; 150"/>
    <n v="4"/>
    <m/>
    <n v="44"/>
    <n v="93"/>
    <n v="196"/>
    <n v="274.5"/>
    <m/>
    <m/>
    <m/>
    <m/>
    <m/>
    <m/>
    <m/>
    <n v="607.5"/>
    <n v="151.875"/>
  </r>
  <r>
    <x v="6"/>
    <s v="Inactive"/>
    <s v="Durgapur"/>
    <s v="Chakdaha"/>
    <s v="Kiran Biswas"/>
    <s v="2430315343"/>
    <n v="28083"/>
    <s v="&lt; 150"/>
    <n v="5"/>
    <n v="617"/>
    <n v="378.5"/>
    <n v="304"/>
    <n v="600"/>
    <n v="253"/>
    <m/>
    <m/>
    <m/>
    <m/>
    <m/>
    <m/>
    <m/>
    <n v="2152.5"/>
    <n v="430.5"/>
  </r>
  <r>
    <x v="9"/>
    <s v="Active"/>
    <s v="Hooghly"/>
    <s v="Contai"/>
    <s v="Subhankar Sahoo"/>
    <s v="2380314983"/>
    <n v="27249"/>
    <s v="&lt; 150"/>
    <n v="6"/>
    <n v="436"/>
    <n v="367"/>
    <n v="103"/>
    <n v="265.75"/>
    <n v="252"/>
    <m/>
    <m/>
    <m/>
    <m/>
    <m/>
    <m/>
    <m/>
    <n v="1423.75"/>
    <n v="237.29166666666666"/>
  </r>
  <r>
    <x v="9"/>
    <s v="Active"/>
    <s v="Hooghly"/>
    <s v="Tamluk"/>
    <s v="Soumen Baichar"/>
    <s v="2390314474"/>
    <n v="26530"/>
    <s v="&lt; 150"/>
    <n v="6"/>
    <n v="253.5"/>
    <n v="352"/>
    <n v="154"/>
    <n v="332"/>
    <n v="158"/>
    <m/>
    <m/>
    <m/>
    <m/>
    <m/>
    <m/>
    <m/>
    <n v="1249.5"/>
    <n v="208.25"/>
  </r>
  <r>
    <x v="9"/>
    <s v="Active"/>
    <s v="Hooghly"/>
    <s v="Panskura"/>
    <s v="Prasanta Ghorai"/>
    <s v="9635383167"/>
    <n v="29527"/>
    <n v="0"/>
    <n v="4"/>
    <m/>
    <m/>
    <n v="202"/>
    <n v="183"/>
    <n v="145"/>
    <m/>
    <m/>
    <m/>
    <m/>
    <m/>
    <m/>
    <m/>
    <n v="530"/>
    <n v="132.5"/>
  </r>
  <r>
    <x v="10"/>
    <s v="Active"/>
    <s v="Siliguri"/>
    <s v="Ethelbari"/>
    <s v="Tarif Baxla"/>
    <s v="8410316211"/>
    <n v="29798"/>
    <s v="&lt; 150"/>
    <n v="2"/>
    <m/>
    <m/>
    <m/>
    <m/>
    <n v="75"/>
    <m/>
    <m/>
    <m/>
    <m/>
    <m/>
    <m/>
    <m/>
    <m/>
    <n v="0"/>
  </r>
  <r>
    <x v="8"/>
    <s v="Inactive"/>
    <s v="Durgapur"/>
    <s v="Patrasayer"/>
    <s v="Manorama Chakraborty Roy "/>
    <s v="2160315496"/>
    <n v="28305"/>
    <s v="&lt; 150"/>
    <n v="4"/>
    <n v="97"/>
    <n v="207"/>
    <m/>
    <n v="61"/>
    <n v="38"/>
    <m/>
    <m/>
    <m/>
    <m/>
    <m/>
    <m/>
    <m/>
    <n v="403"/>
    <n v="100.75"/>
  </r>
  <r>
    <x v="3"/>
    <s v="Inactive"/>
    <s v="Siliguri"/>
    <s v="Lohapur"/>
    <s v="Suraj Fulmali"/>
    <s v="0140311327"/>
    <n v="27437"/>
    <s v="&lt; 150"/>
    <n v="2"/>
    <n v="176"/>
    <m/>
    <m/>
    <m/>
    <n v="30"/>
    <m/>
    <m/>
    <m/>
    <m/>
    <m/>
    <m/>
    <m/>
    <n v="206"/>
    <n v="103"/>
  </r>
  <r>
    <x v="6"/>
    <s v="Inactive"/>
    <s v="Durgapur"/>
    <s v="Badkulla"/>
    <s v="Amit Sikder"/>
    <s v="2430315185"/>
    <n v="27731"/>
    <s v="&lt; 150"/>
    <n v="2"/>
    <n v="667"/>
    <n v="634"/>
    <m/>
    <m/>
    <m/>
    <m/>
    <m/>
    <m/>
    <m/>
    <m/>
    <m/>
    <m/>
    <n v="1301"/>
    <n v="650.5"/>
  </r>
  <r>
    <x v="6"/>
    <s v="Inactive"/>
    <s v="Durgapur"/>
    <s v="Hridaypur"/>
    <s v="Asim Halder"/>
    <s v="2430315807"/>
    <n v="29052"/>
    <s v="&lt; 150"/>
    <n v="3"/>
    <n v="137"/>
    <n v="141"/>
    <n v="15"/>
    <m/>
    <m/>
    <m/>
    <m/>
    <m/>
    <m/>
    <m/>
    <m/>
    <m/>
    <n v="293"/>
    <n v="97.666666666666671"/>
  </r>
  <r>
    <x v="6"/>
    <s v="Inactive"/>
    <s v="Durgapur"/>
    <s v="Hridaypur"/>
    <s v="Nitish Mondal"/>
    <s v="8942919438"/>
    <n v="29524"/>
    <s v="&lt; 150"/>
    <n v="1"/>
    <m/>
    <m/>
    <m/>
    <n v="46"/>
    <m/>
    <m/>
    <m/>
    <m/>
    <m/>
    <m/>
    <m/>
    <m/>
    <n v="46"/>
    <n v="46"/>
  </r>
  <r>
    <x v="2"/>
    <s v="Active"/>
    <s v="Hooghly"/>
    <s v="Mayapur"/>
    <s v="Ruma Rana"/>
    <s v="8410316172"/>
    <n v="29749"/>
    <s v="&lt; 150"/>
    <n v="1"/>
    <m/>
    <m/>
    <m/>
    <m/>
    <m/>
    <m/>
    <m/>
    <m/>
    <m/>
    <m/>
    <m/>
    <m/>
    <m/>
    <n v="0"/>
  </r>
  <r>
    <x v="8"/>
    <s v="Inactive"/>
    <s v="Durgapur"/>
    <s v="Layekbandh"/>
    <s v="Debasis Dey"/>
    <s v="2160315158"/>
    <n v="27632"/>
    <s v="Nill"/>
    <n v="0"/>
    <m/>
    <m/>
    <m/>
    <m/>
    <m/>
    <m/>
    <m/>
    <m/>
    <m/>
    <m/>
    <m/>
    <m/>
    <m/>
    <e v="#DIV/0!"/>
  </r>
  <r>
    <x v="6"/>
    <s v="Inactive"/>
    <s v="Durgapur"/>
    <s v="Hridaypur"/>
    <s v="Saiful Sekh"/>
    <s v="2430314735"/>
    <n v="26881"/>
    <s v="Nill"/>
    <n v="0"/>
    <m/>
    <m/>
    <m/>
    <m/>
    <m/>
    <m/>
    <m/>
    <m/>
    <m/>
    <m/>
    <m/>
    <m/>
    <m/>
    <e v="#DIV/0!"/>
  </r>
  <r>
    <x v="8"/>
    <s v="Inactive"/>
    <s v="Durgapur"/>
    <s v="Kotulpur"/>
    <s v="Sayan Dutta"/>
    <s v="2160315608"/>
    <n v="28601"/>
    <s v="&lt; 150"/>
    <n v="1"/>
    <m/>
    <m/>
    <m/>
    <m/>
    <m/>
    <m/>
    <m/>
    <m/>
    <m/>
    <m/>
    <m/>
    <m/>
    <m/>
    <n v="0"/>
  </r>
  <r>
    <x v="9"/>
    <s v="Inactive"/>
    <s v="Hooghly"/>
    <s v="Contai"/>
    <s v="Sulekha Das"/>
    <s v="2380314986"/>
    <n v="27252"/>
    <s v="Nill"/>
    <n v="0"/>
    <m/>
    <m/>
    <m/>
    <m/>
    <m/>
    <m/>
    <m/>
    <m/>
    <m/>
    <m/>
    <m/>
    <m/>
    <m/>
    <e v="#DIV/0!"/>
  </r>
  <r>
    <x v="2"/>
    <s v="Inactive"/>
    <s v="Hooghly"/>
    <s v="Mayapur"/>
    <s v="Falguni Samanta"/>
    <s v="3390311256"/>
    <n v="21925"/>
    <s v="Nill"/>
    <n v="0"/>
    <m/>
    <m/>
    <m/>
    <m/>
    <m/>
    <m/>
    <m/>
    <m/>
    <m/>
    <m/>
    <m/>
    <m/>
    <m/>
    <e v="#DIV/0!"/>
  </r>
  <r>
    <x v="9"/>
    <s v="Inactive"/>
    <s v="Hooghly"/>
    <s v="Contai"/>
    <s v="Narayan Ojha"/>
    <s v="2380314459"/>
    <n v="26507"/>
    <s v="Nill"/>
    <n v="0"/>
    <m/>
    <m/>
    <m/>
    <m/>
    <m/>
    <m/>
    <m/>
    <m/>
    <m/>
    <m/>
    <m/>
    <m/>
    <m/>
    <e v="#DIV/0!"/>
  </r>
  <r>
    <x v="2"/>
    <s v="Inactive"/>
    <s v="Hooghly"/>
    <s v="Arambagh"/>
    <s v="Sk Momin Uddin"/>
    <s v="3390313207"/>
    <n v="24527"/>
    <s v="Nill"/>
    <n v="0"/>
    <m/>
    <m/>
    <m/>
    <m/>
    <m/>
    <m/>
    <m/>
    <m/>
    <m/>
    <m/>
    <m/>
    <m/>
    <m/>
    <e v="#DIV/0!"/>
  </r>
  <r>
    <x v="2"/>
    <s v="Inactive"/>
    <s v="Hooghly"/>
    <s v="Mangrul"/>
    <s v="Prasenjit Ghosh"/>
    <s v="2390311944"/>
    <n v="22771"/>
    <e v="#DIV/0!"/>
    <n v="0"/>
    <m/>
    <m/>
    <m/>
    <m/>
    <m/>
    <m/>
    <m/>
    <m/>
    <m/>
    <m/>
    <m/>
    <m/>
    <m/>
    <e v="#DIV/0!"/>
  </r>
  <r>
    <x v="3"/>
    <s v="Inactive"/>
    <s v="Siliguri"/>
    <s v="Mangaldihi"/>
    <s v="Swarup Sadhu"/>
    <s v="0140311670"/>
    <n v="22424"/>
    <e v="#DIV/0!"/>
    <n v="0"/>
    <m/>
    <m/>
    <m/>
    <m/>
    <m/>
    <m/>
    <m/>
    <m/>
    <m/>
    <m/>
    <m/>
    <m/>
    <m/>
    <e v="#DIV/0!"/>
  </r>
  <r>
    <x v="10"/>
    <s v="Inactive"/>
    <s v="Siliguri"/>
    <s v="Maynaguri"/>
    <s v="Biswajit Roy"/>
    <s v="2310311260"/>
    <n v="21929"/>
    <s v="Nill"/>
    <n v="0"/>
    <m/>
    <m/>
    <m/>
    <m/>
    <m/>
    <m/>
    <m/>
    <m/>
    <m/>
    <m/>
    <m/>
    <m/>
    <m/>
    <e v="#DIV/0!"/>
  </r>
  <r>
    <x v="3"/>
    <s v="Inactive"/>
    <s v="Siliguri"/>
    <s v="Mangaldihi"/>
    <s v="Sk Khairul Hossain"/>
    <s v="0140310490"/>
    <n v="20983"/>
    <s v="Nill"/>
    <n v="0"/>
    <m/>
    <m/>
    <m/>
    <m/>
    <m/>
    <m/>
    <m/>
    <m/>
    <m/>
    <m/>
    <m/>
    <m/>
    <m/>
    <e v="#DIV/0!"/>
  </r>
  <r>
    <x v="3"/>
    <s v="Inactive"/>
    <s v="Siliguri"/>
    <s v="Koytha"/>
    <s v="Tamarul Sk"/>
    <s v="0140311624"/>
    <n v="22361"/>
    <s v="Nill"/>
    <n v="0"/>
    <m/>
    <m/>
    <m/>
    <m/>
    <m/>
    <m/>
    <m/>
    <m/>
    <m/>
    <m/>
    <m/>
    <m/>
    <m/>
    <e v="#DIV/0!"/>
  </r>
  <r>
    <x v="14"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27731"/>
    <x v="0"/>
    <x v="0"/>
    <x v="0"/>
    <s v="Badkulla"/>
    <s v="Amit Sikder"/>
    <s v="2430315185"/>
    <d v="2025-04-28T00:00:00"/>
    <d v="2026-09-07T00:00:00"/>
    <n v="1.3616438356164384"/>
  </r>
  <r>
    <n v="29052"/>
    <x v="0"/>
    <x v="0"/>
    <x v="0"/>
    <s v="Hridaypur"/>
    <s v="Asim Halder"/>
    <s v="2430315807"/>
    <d v="2026-02-24T00:00:00"/>
    <d v="2026-09-07T00:00:00"/>
    <n v="0.53424657534246578"/>
  </r>
  <r>
    <n v="27632"/>
    <x v="1"/>
    <x v="0"/>
    <x v="0"/>
    <s v="Layekbandh"/>
    <s v="Debasis Dey"/>
    <s v="2160315158"/>
    <d v="2025-04-08T00:00:00"/>
    <d v="2026-09-07T00:00:00"/>
    <n v="1.4164383561643836"/>
  </r>
  <r>
    <n v="29524"/>
    <x v="0"/>
    <x v="0"/>
    <x v="0"/>
    <s v="Hridaypur"/>
    <s v="Nitish Mondal"/>
    <s v="8942919438"/>
    <d v="2026-06-05T00:00:00"/>
    <d v="2026-09-07T00:00:00"/>
    <n v="0.25753424657534246"/>
  </r>
  <r>
    <n v="26881"/>
    <x v="0"/>
    <x v="0"/>
    <x v="0"/>
    <s v="Hridaypur"/>
    <s v="Saiful Sekh"/>
    <s v="2430314735"/>
    <d v="2024-11-02T00:00:00"/>
    <d v="2026-09-07T00:00:00"/>
    <n v="1.8465753424657534"/>
  </r>
  <r>
    <n v="28601"/>
    <x v="1"/>
    <x v="0"/>
    <x v="0"/>
    <s v="Kotulpur"/>
    <s v="Sayan Dutta"/>
    <s v="2160315608"/>
    <d v="2025-10-18T00:00:00"/>
    <d v="2026-09-07T00:00:00"/>
    <n v="0.88767123287671235"/>
  </r>
  <r>
    <n v="29069"/>
    <x v="1"/>
    <x v="0"/>
    <x v="0"/>
    <s v="Patrasayer"/>
    <s v="Bula Karmakar"/>
    <s v="2160315824"/>
    <d v="2026-02-24T00:00:00"/>
    <d v="2026-09-07T00:00:00"/>
    <n v="0.53424657534246578"/>
  </r>
  <r>
    <n v="28483"/>
    <x v="0"/>
    <x v="0"/>
    <x v="0"/>
    <s v="Santipur"/>
    <s v="Dipanwita Das"/>
    <s v="2430315569"/>
    <d v="2025-09-22T00:00:00"/>
    <d v="2026-09-07T00:00:00"/>
    <n v="0.95890410958904104"/>
  </r>
  <r>
    <n v="28083"/>
    <x v="0"/>
    <x v="0"/>
    <x v="0"/>
    <s v="Chakdaha"/>
    <s v="Kiran Biswas"/>
    <s v="2430315343"/>
    <d v="2025-07-14T00:00:00"/>
    <d v="2026-09-07T00:00:00"/>
    <n v="1.1506849315068493"/>
  </r>
  <r>
    <n v="28305"/>
    <x v="1"/>
    <x v="0"/>
    <x v="0"/>
    <s v="Patrasayer"/>
    <s v="Manorama Chakraborty Roy "/>
    <s v="2160315496"/>
    <d v="2025-08-25T00:00:00"/>
    <d v="2026-09-07T00:00:00"/>
    <n v="1.0356164383561643"/>
  </r>
  <r>
    <n v="28485"/>
    <x v="0"/>
    <x v="1"/>
    <x v="0"/>
    <s v="Hidaypur"/>
    <s v="Akramul Shaikh"/>
    <s v="2430315571"/>
    <d v="2025-09-22T00:00:00"/>
    <d v="2026-09-07T00:00:00"/>
    <n v="0.95890410958904104"/>
  </r>
  <r>
    <n v="27220"/>
    <x v="1"/>
    <x v="1"/>
    <x v="0"/>
    <s v="Jhantipahari"/>
    <s v="Asish Kumar Mandal"/>
    <s v="2160314962"/>
    <d v="2024-12-23T00:00:00"/>
    <d v="2026-09-07T00:00:00"/>
    <n v="1.7068493150684931"/>
  </r>
  <r>
    <n v="27219"/>
    <x v="1"/>
    <x v="1"/>
    <x v="0"/>
    <s v="Anara"/>
    <s v="Biswajit Majee"/>
    <s v="2460314961"/>
    <d v="2024-12-23T00:00:00"/>
    <d v="2026-09-07T00:00:00"/>
    <n v="1.7068493150684931"/>
  </r>
  <r>
    <n v="28085"/>
    <x v="0"/>
    <x v="1"/>
    <x v="0"/>
    <s v="Haringhata"/>
    <s v="Eyakub Mondal"/>
    <s v="2430315345"/>
    <d v="2025-07-14T00:00:00"/>
    <d v="2026-09-07T00:00:00"/>
    <n v="1.1506849315068493"/>
  </r>
  <r>
    <n v="26588"/>
    <x v="0"/>
    <x v="1"/>
    <x v="0"/>
    <s v="Hridaypur"/>
    <s v="Injamul Rahaman "/>
    <s v="2430314512"/>
    <d v="2024-09-21T00:00:00"/>
    <d v="2026-09-07T00:00:00"/>
    <n v="1.9616438356164383"/>
  </r>
  <r>
    <n v="28482"/>
    <x v="0"/>
    <x v="1"/>
    <x v="0"/>
    <s v="Ranaghat"/>
    <s v="Kishore Bhakta"/>
    <s v="2430315568"/>
    <d v="2025-09-22T00:00:00"/>
    <d v="2026-09-07T00:00:00"/>
    <n v="0.95890410958904104"/>
  </r>
  <r>
    <n v="28075"/>
    <x v="0"/>
    <x v="1"/>
    <x v="0"/>
    <s v="Santipur"/>
    <s v="Najmira Khatun"/>
    <s v="2430315335"/>
    <d v="2025-07-14T00:00:00"/>
    <d v="2026-09-07T00:00:00"/>
    <n v="1.1506849315068493"/>
  </r>
  <r>
    <n v="29089"/>
    <x v="0"/>
    <x v="1"/>
    <x v="0"/>
    <s v="Santipur"/>
    <s v="Partha Dey"/>
    <s v="2430315570"/>
    <d v="2026-02-25T00:00:00"/>
    <d v="2026-09-07T00:00:00"/>
    <n v="0.53150684931506853"/>
  </r>
  <r>
    <n v="28176"/>
    <x v="2"/>
    <x v="1"/>
    <x v="0"/>
    <s v="Kushodanga"/>
    <s v="Priti Das"/>
    <s v="3390315408"/>
    <d v="2025-08-01T00:00:00"/>
    <d v="2026-09-07T00:00:00"/>
    <n v="1.1013698630136985"/>
  </r>
  <r>
    <n v="28170"/>
    <x v="2"/>
    <x v="1"/>
    <x v="0"/>
    <s v="Kushodanga"/>
    <s v="Rumpa Pal Mondal"/>
    <s v="3390315402"/>
    <d v="2025-08-01T00:00:00"/>
    <d v="2026-09-07T00:00:00"/>
    <n v="1.1013698630136985"/>
  </r>
  <r>
    <n v="26595"/>
    <x v="0"/>
    <x v="1"/>
    <x v="0"/>
    <s v="Ranaghat"/>
    <s v="Sagari Ghosh"/>
    <s v="2430314519"/>
    <d v="2024-09-21T00:00:00"/>
    <d v="2026-09-07T00:00:00"/>
    <n v="1.9616438356164383"/>
  </r>
  <r>
    <n v="27630"/>
    <x v="0"/>
    <x v="1"/>
    <x v="0"/>
    <s v="Santipur"/>
    <s v="Sahabul Mandal"/>
    <s v="2430315156"/>
    <d v="2025-04-08T00:00:00"/>
    <d v="2026-09-07T00:00:00"/>
    <n v="1.4164383561643836"/>
  </r>
  <r>
    <n v="26810"/>
    <x v="1"/>
    <x v="1"/>
    <x v="0"/>
    <s v="Patrasayer"/>
    <s v="Satish Ankure"/>
    <s v="2160314679"/>
    <d v="2024-10-25T00:00:00"/>
    <d v="2026-09-07T00:00:00"/>
    <n v="1.8684931506849316"/>
  </r>
  <r>
    <n v="27154"/>
    <x v="2"/>
    <x v="1"/>
    <x v="0"/>
    <s v="Patuli"/>
    <s v="Satyajit Kar"/>
    <s v="3390314928"/>
    <d v="2024-12-15T00:00:00"/>
    <d v="2026-09-07T00:00:00"/>
    <n v="1.7287671232876711"/>
  </r>
  <r>
    <n v="29525"/>
    <x v="0"/>
    <x v="1"/>
    <x v="0"/>
    <s v="Hridaypur"/>
    <s v="Suman Ghosh"/>
    <s v="8116659114"/>
    <d v="2026-06-05T00:00:00"/>
    <d v="2026-09-07T00:00:00"/>
    <n v="0.25753424657534246"/>
  </r>
  <r>
    <n v="27732"/>
    <x v="0"/>
    <x v="1"/>
    <x v="0"/>
    <s v="Badkulla"/>
    <s v="Swapan Kumar Biswas"/>
    <s v="2430315186"/>
    <d v="2025-04-28T00:00:00"/>
    <d v="2026-09-07T00:00:00"/>
    <n v="1.3616438356164384"/>
  </r>
  <r>
    <n v="26507"/>
    <x v="3"/>
    <x v="0"/>
    <x v="1"/>
    <s v="Contai"/>
    <s v="Narayan Ojha"/>
    <s v="2380314459"/>
    <d v="2024-10-25T00:00:00"/>
    <d v="2026-09-07T00:00:00"/>
    <n v="1.8684931506849316"/>
  </r>
  <r>
    <n v="27252"/>
    <x v="3"/>
    <x v="0"/>
    <x v="1"/>
    <s v="Contai"/>
    <s v="Sulekha Das"/>
    <s v="2380314986"/>
    <d v="2024-12-31T00:00:00"/>
    <d v="2026-09-07T00:00:00"/>
    <n v="1.6849315068493151"/>
  </r>
  <r>
    <n v="24527"/>
    <x v="4"/>
    <x v="0"/>
    <x v="1"/>
    <s v="Arambagh"/>
    <s v="Sk Momin Uddin"/>
    <s v="3390313207"/>
    <d v="2023-11-20T00:00:00"/>
    <d v="2026-09-07T00:00:00"/>
    <n v="2.8"/>
  </r>
  <r>
    <n v="22775"/>
    <x v="4"/>
    <x v="0"/>
    <x v="1"/>
    <s v="Batanal"/>
    <s v="Chaitali Shit Malik"/>
    <s v="3390311948"/>
    <d v="2023-06-03T00:00:00"/>
    <d v="2026-09-07T00:00:00"/>
    <n v="3.2657534246575342"/>
  </r>
  <r>
    <n v="22771"/>
    <x v="4"/>
    <x v="0"/>
    <x v="1"/>
    <s v="Mangrul"/>
    <s v="Prasenjit Ghosh"/>
    <s v="2390311944"/>
    <d v="2023-06-03T00:00:00"/>
    <d v="2026-09-07T00:00:00"/>
    <n v="3.2657534246575342"/>
  </r>
  <r>
    <n v="21925"/>
    <x v="4"/>
    <x v="0"/>
    <x v="1"/>
    <s v="Mayapur"/>
    <s v="Falguni Samanta"/>
    <s v="3390311256"/>
    <d v="2023-04-10T00:00:00"/>
    <d v="2026-09-07T00:00:00"/>
    <n v="3.4136986301369863"/>
  </r>
  <r>
    <n v="23214"/>
    <x v="4"/>
    <x v="1"/>
    <x v="1"/>
    <s v="Dasghara"/>
    <s v="Sabir Amed"/>
    <s v="3390312282"/>
    <d v="2023-07-02T00:00:00"/>
    <d v="2026-09-07T00:00:00"/>
    <n v="3.1863013698630138"/>
  </r>
  <r>
    <n v="22773"/>
    <x v="4"/>
    <x v="1"/>
    <x v="1"/>
    <s v="Dhanyaghori"/>
    <s v="Pratik Chakraborty"/>
    <s v="3390311946"/>
    <d v="2023-06-03T00:00:00"/>
    <d v="2026-09-07T00:00:00"/>
    <n v="3.2657534246575342"/>
  </r>
  <r>
    <n v="23669"/>
    <x v="4"/>
    <x v="1"/>
    <x v="1"/>
    <s v="Haripal"/>
    <s v="Sk Nasim Ali"/>
    <s v="3390312613"/>
    <d v="2023-08-18T00:00:00"/>
    <d v="2026-09-07T00:00:00"/>
    <n v="3.0575342465753423"/>
  </r>
  <r>
    <n v="26084"/>
    <x v="4"/>
    <x v="1"/>
    <x v="1"/>
    <s v="Jirat"/>
    <s v="Sahadeb Chakraborty"/>
    <s v="3390314204"/>
    <d v="2024-07-24T00:00:00"/>
    <d v="2026-09-07T00:00:00"/>
    <n v="2.1232876712328768"/>
  </r>
  <r>
    <n v="22131"/>
    <x v="5"/>
    <x v="1"/>
    <x v="1"/>
    <s v="Ramjibanpur"/>
    <s v="Abhijit Modak"/>
    <s v="3390311425"/>
    <d v="2023-04-25T00:00:00"/>
    <d v="2026-09-07T00:00:00"/>
    <n v="3.3726027397260272"/>
  </r>
  <r>
    <n v="24495"/>
    <x v="5"/>
    <x v="1"/>
    <x v="1"/>
    <s v="Chandrakona"/>
    <s v="Ananya Maity Bag"/>
    <s v="2390313181"/>
    <d v="2023-11-14T00:00:00"/>
    <d v="2026-09-07T00:00:00"/>
    <n v="2.8164383561643835"/>
  </r>
  <r>
    <n v="22126"/>
    <x v="5"/>
    <x v="1"/>
    <x v="1"/>
    <s v="Palaschabrighat"/>
    <s v="Asima Bhunia"/>
    <s v="2390311420"/>
    <d v="2023-04-25T00:00:00"/>
    <d v="2026-09-07T00:00:00"/>
    <n v="3.3726027397260272"/>
  </r>
  <r>
    <n v="22400"/>
    <x v="5"/>
    <x v="1"/>
    <x v="1"/>
    <s v="Ghatal"/>
    <s v="Chandan Satik"/>
    <s v="2390311662"/>
    <d v="2023-06-25T00:00:00"/>
    <d v="2026-09-07T00:00:00"/>
    <n v="3.2054794520547945"/>
  </r>
  <r>
    <n v="22789"/>
    <x v="5"/>
    <x v="1"/>
    <x v="1"/>
    <s v="Binpur"/>
    <s v="Debika Singha Patra"/>
    <s v="2390311962"/>
    <d v="2023-06-05T00:00:00"/>
    <d v="2026-09-07T00:00:00"/>
    <n v="3.2602739726027399"/>
  </r>
  <r>
    <n v="27629"/>
    <x v="5"/>
    <x v="1"/>
    <x v="1"/>
    <s v="Ramjibanpur"/>
    <s v="Mahadeb Das "/>
    <s v="3390315155"/>
    <d v="2025-04-08T00:00:00"/>
    <d v="2026-09-07T00:00:00"/>
    <n v="1.4164383561643836"/>
  </r>
  <r>
    <n v="24494"/>
    <x v="5"/>
    <x v="1"/>
    <x v="1"/>
    <s v="Chandrakona"/>
    <s v="Mani Dhara"/>
    <s v="2390313180"/>
    <d v="2023-11-14T00:00:00"/>
    <d v="2026-09-07T00:00:00"/>
    <n v="2.8164383561643835"/>
  </r>
  <r>
    <n v="22401"/>
    <x v="5"/>
    <x v="1"/>
    <x v="1"/>
    <s v="Kankabati"/>
    <s v="Mita Samanta"/>
    <s v="2390311663"/>
    <d v="2023-05-15T00:00:00"/>
    <d v="2026-09-07T00:00:00"/>
    <n v="3.3178082191780822"/>
  </r>
  <r>
    <n v="29123"/>
    <x v="5"/>
    <x v="1"/>
    <x v="1"/>
    <s v="Nayabasat"/>
    <s v="Mousumi Chanda Dey"/>
    <s v="2390315855"/>
    <d v="2026-03-06T00:00:00"/>
    <d v="2026-09-07T00:00:00"/>
    <n v="0.50684931506849318"/>
  </r>
  <r>
    <n v="23142"/>
    <x v="5"/>
    <x v="1"/>
    <x v="1"/>
    <s v="Guiadaha"/>
    <s v="Munmun Chakraborty"/>
    <s v="2390312218"/>
    <d v="2023-06-27T00:00:00"/>
    <d v="2026-09-07T00:00:00"/>
    <n v="3.2"/>
  </r>
  <r>
    <n v="29368"/>
    <x v="5"/>
    <x v="1"/>
    <x v="1"/>
    <s v="Kharar"/>
    <s v="Pinki Ghosh"/>
    <s v="2390311944"/>
    <d v="2026-04-10T00:00:00"/>
    <d v="2026-09-07T00:00:00"/>
    <n v="0.41095890410958902"/>
  </r>
  <r>
    <n v="22130"/>
    <x v="5"/>
    <x v="1"/>
    <x v="1"/>
    <s v="Jara"/>
    <s v="Priyanka Biswas"/>
    <s v="2390311424"/>
    <d v="2023-04-25T00:00:00"/>
    <d v="2026-09-07T00:00:00"/>
    <n v="3.3726027397260272"/>
  </r>
  <r>
    <n v="26501"/>
    <x v="5"/>
    <x v="1"/>
    <x v="1"/>
    <s v="Khirpai"/>
    <s v="Reshma Khatun"/>
    <s v="2390314453"/>
    <d v="2024-10-25T00:00:00"/>
    <d v="2026-09-07T00:00:00"/>
    <n v="1.8684931506849316"/>
  </r>
  <r>
    <n v="23431"/>
    <x v="5"/>
    <x v="1"/>
    <x v="1"/>
    <s v="Banka"/>
    <s v="Shampa Mandal"/>
    <s v="2390312439"/>
    <d v="2023-07-27T00:00:00"/>
    <d v="2026-09-07T00:00:00"/>
    <n v="3.117808219178082"/>
  </r>
  <r>
    <n v="22073"/>
    <x v="5"/>
    <x v="1"/>
    <x v="1"/>
    <s v="Khirpai"/>
    <s v="Sk Abbas Ali"/>
    <s v="2390311378"/>
    <d v="2023-04-19T00:00:00"/>
    <d v="2026-09-07T00:00:00"/>
    <n v="3.3890410958904109"/>
  </r>
  <r>
    <n v="22452"/>
    <x v="5"/>
    <x v="1"/>
    <x v="1"/>
    <s v="Jhargram"/>
    <s v="Sk Imran"/>
    <s v="2390311695"/>
    <d v="2023-05-18T00:00:00"/>
    <d v="2026-09-07T00:00:00"/>
    <n v="3.3095890410958906"/>
  </r>
  <r>
    <n v="26403"/>
    <x v="5"/>
    <x v="1"/>
    <x v="1"/>
    <s v="Nayabasat"/>
    <s v="Soumya Ghosh"/>
    <s v="2390314387"/>
    <d v="2024-09-10T00:00:00"/>
    <d v="2026-09-07T00:00:00"/>
    <n v="1.9917808219178081"/>
  </r>
  <r>
    <n v="23429"/>
    <x v="5"/>
    <x v="1"/>
    <x v="1"/>
    <s v="Bhairabpur"/>
    <s v="Srabani Chatterjee"/>
    <s v="2390312437"/>
    <d v="2023-07-27T00:00:00"/>
    <d v="2026-09-07T00:00:00"/>
    <n v="3.117808219178082"/>
  </r>
  <r>
    <n v="23560"/>
    <x v="5"/>
    <x v="1"/>
    <x v="1"/>
    <s v="Banka"/>
    <s v="Subhajit Chanda"/>
    <s v="2390312543"/>
    <d v="2023-08-11T00:00:00"/>
    <d v="2026-09-07T00:00:00"/>
    <n v="3.0767123287671234"/>
  </r>
  <r>
    <n v="22128"/>
    <x v="4"/>
    <x v="1"/>
    <x v="1"/>
    <s v="Kalipur"/>
    <s v="Satyajit Chattopadhyay"/>
    <s v="3390311422"/>
    <d v="2023-04-25T00:00:00"/>
    <d v="2026-09-07T00:00:00"/>
    <n v="3.3726027397260272"/>
  </r>
  <r>
    <n v="23433"/>
    <x v="4"/>
    <x v="1"/>
    <x v="1"/>
    <s v="Kamarpara"/>
    <s v="Md Mustakim"/>
    <s v="3390312441"/>
    <d v="2023-07-27T00:00:00"/>
    <d v="2026-09-07T00:00:00"/>
    <n v="3.117808219178082"/>
  </r>
  <r>
    <n v="23432"/>
    <x v="4"/>
    <x v="1"/>
    <x v="1"/>
    <s v="Kamarpara"/>
    <s v="Mithu Ghosh"/>
    <s v="3390312440"/>
    <d v="2023-07-27T00:00:00"/>
    <d v="2026-09-07T00:00:00"/>
    <n v="3.117808219178082"/>
  </r>
  <r>
    <n v="23969"/>
    <x v="4"/>
    <x v="1"/>
    <x v="1"/>
    <s v="Khanakul"/>
    <s v="Sahanaj Parvin"/>
    <s v="3390312801"/>
    <d v="2023-09-25T00:00:00"/>
    <d v="2026-09-07T00:00:00"/>
    <n v="2.9534246575342467"/>
  </r>
  <r>
    <n v="24153"/>
    <x v="4"/>
    <x v="1"/>
    <x v="1"/>
    <s v="Khanakul"/>
    <s v="Susobhan Patra"/>
    <s v="3390312968"/>
    <d v="2023-03-10T00:00:00"/>
    <d v="2026-09-07T00:00:00"/>
    <n v="3.4986301369863013"/>
  </r>
  <r>
    <n v="29749"/>
    <x v="4"/>
    <x v="1"/>
    <x v="1"/>
    <s v="Mayapur"/>
    <s v="Ruma Rana"/>
    <s v="8410316172"/>
    <d v="2026-07-28T00:00:00"/>
    <d v="2026-09-07T00:00:00"/>
    <n v="0.11232876712328767"/>
  </r>
  <r>
    <n v="28201"/>
    <x v="4"/>
    <x v="1"/>
    <x v="1"/>
    <s v="Polba"/>
    <s v="Arindam Sadhukhan"/>
    <s v="3390315433"/>
    <d v="2025-08-30T00:00:00"/>
    <d v="2026-09-07T00:00:00"/>
    <n v="1.021917808219178"/>
  </r>
  <r>
    <n v="26015"/>
    <x v="4"/>
    <x v="1"/>
    <x v="1"/>
    <s v="Rajbalhat"/>
    <s v="Dibyendu Bhowmick"/>
    <s v="3390314186"/>
    <d v="2024-07-24T00:00:00"/>
    <d v="2026-09-07T00:00:00"/>
    <n v="2.1232876712328768"/>
  </r>
  <r>
    <n v="22346"/>
    <x v="4"/>
    <x v="1"/>
    <x v="1"/>
    <s v="Rajhati"/>
    <s v="Arnnapurna Maji"/>
    <s v="3390311610"/>
    <d v="2023-05-11T00:00:00"/>
    <d v="2026-09-07T00:00:00"/>
    <n v="3.3287671232876712"/>
  </r>
  <r>
    <n v="26399"/>
    <x v="4"/>
    <x v="1"/>
    <x v="1"/>
    <s v="Rajhati"/>
    <s v="Santanu Ghosh"/>
    <s v="3390314383"/>
    <d v="2024-09-10T00:00:00"/>
    <d v="2026-09-07T00:00:00"/>
    <n v="1.9917808219178081"/>
  </r>
  <r>
    <n v="23565"/>
    <x v="4"/>
    <x v="1"/>
    <x v="1"/>
    <s v="Sahapur"/>
    <s v="Bishal Maity"/>
    <s v="3390312548"/>
    <d v="2023-08-11T00:00:00"/>
    <d v="2026-09-07T00:00:00"/>
    <n v="3.0767123287671234"/>
  </r>
  <r>
    <n v="22453"/>
    <x v="4"/>
    <x v="1"/>
    <x v="1"/>
    <s v="Saidpur"/>
    <s v="Puja Manna"/>
    <s v="3390311696"/>
    <d v="2023-05-18T00:00:00"/>
    <d v="2026-09-07T00:00:00"/>
    <n v="3.3095890410958906"/>
  </r>
  <r>
    <n v="22404"/>
    <x v="3"/>
    <x v="1"/>
    <x v="1"/>
    <s v="Panskura"/>
    <s v="Kartik Maity"/>
    <s v="2380311666"/>
    <d v="2023-05-15T00:00:00"/>
    <d v="2026-09-07T00:00:00"/>
    <n v="3.3178082191780822"/>
  </r>
  <r>
    <n v="29527"/>
    <x v="3"/>
    <x v="1"/>
    <x v="1"/>
    <s v="Panskura"/>
    <s v="Prasanta Ghorai"/>
    <s v="9635383167"/>
    <d v="2026-06-05T00:00:00"/>
    <d v="2026-09-07T00:00:00"/>
    <n v="0.25753424657534246"/>
  </r>
  <r>
    <n v="26530"/>
    <x v="3"/>
    <x v="1"/>
    <x v="1"/>
    <s v="Tamluk"/>
    <s v="Soumen Baichar"/>
    <s v="2390314474"/>
    <d v="2024-09-16T00:00:00"/>
    <d v="2026-09-07T00:00:00"/>
    <n v="1.9753424657534246"/>
  </r>
  <r>
    <n v="27249"/>
    <x v="3"/>
    <x v="1"/>
    <x v="1"/>
    <s v="Contai"/>
    <s v="Subhankar Sahoo"/>
    <s v="2380314983"/>
    <d v="2024-12-31T00:00:00"/>
    <d v="2026-09-07T00:00:00"/>
    <n v="1.6849315068493151"/>
  </r>
  <r>
    <n v="22402"/>
    <x v="3"/>
    <x v="1"/>
    <x v="1"/>
    <s v="Keshapat"/>
    <s v="Subhankar Samanta"/>
    <s v="2380311664"/>
    <d v="2023-05-15T00:00:00"/>
    <d v="2026-09-07T00:00:00"/>
    <n v="3.3178082191780822"/>
  </r>
  <r>
    <n v="27637"/>
    <x v="3"/>
    <x v="1"/>
    <x v="1"/>
    <s v="Kolaghat (Ktpps)"/>
    <s v="Sudipta Mandal"/>
    <s v="2380315163"/>
    <d v="2025-04-08T00:00:00"/>
    <d v="2026-09-07T00:00:00"/>
    <n v="1.4164383561643836"/>
  </r>
  <r>
    <n v="29799"/>
    <x v="6"/>
    <x v="1"/>
    <x v="2"/>
    <s v="Hingalganj"/>
    <s v="Khairulla Mistri"/>
    <s v="8410316210"/>
    <d v="2026-07-14T00:00:00"/>
    <d v="2026-09-07T00:00:00"/>
    <n v="0.15068493150684931"/>
  </r>
  <r>
    <n v="21929"/>
    <x v="7"/>
    <x v="0"/>
    <x v="3"/>
    <s v="Maynaguri"/>
    <s v="Biswajit Roy"/>
    <s v="2310311260"/>
    <d v="2023-04-10T00:00:00"/>
    <d v="2026-09-07T00:00:00"/>
    <n v="3.4136986301369863"/>
  </r>
  <r>
    <n v="20983"/>
    <x v="8"/>
    <x v="0"/>
    <x v="3"/>
    <s v="Mangaldihi"/>
    <s v="Sk Khairul Hossain"/>
    <s v="0140310490"/>
    <d v="2023-02-02T00:00:00"/>
    <d v="2026-09-07T00:00:00"/>
    <n v="3.5972602739726027"/>
  </r>
  <r>
    <n v="22424"/>
    <x v="8"/>
    <x v="0"/>
    <x v="3"/>
    <s v="Mangaldihi"/>
    <s v="Swarup Sadhu"/>
    <s v="0140311670"/>
    <d v="2023-05-17T00:00:00"/>
    <d v="2026-09-07T00:00:00"/>
    <n v="3.3123287671232875"/>
  </r>
  <r>
    <n v="22361"/>
    <x v="8"/>
    <x v="0"/>
    <x v="3"/>
    <s v="Koytha"/>
    <s v="Tamarul Sk"/>
    <s v="0140311624"/>
    <d v="2023-05-12T00:00:00"/>
    <d v="2026-09-07T00:00:00"/>
    <n v="3.3260273972602739"/>
  </r>
  <r>
    <n v="28825"/>
    <x v="7"/>
    <x v="0"/>
    <x v="3"/>
    <s v="Buxa Forest Craja"/>
    <s v="Md Khalique Ansari "/>
    <s v="9490315684"/>
    <d v="2025-12-19T00:00:00"/>
    <d v="2026-09-07T00:00:00"/>
    <n v="0.71780821917808224"/>
  </r>
  <r>
    <n v="20503"/>
    <x v="7"/>
    <x v="0"/>
    <x v="3"/>
    <s v="Buxa Forest Craja"/>
    <s v="Pankaj Tiwari"/>
    <s v="9490310077"/>
    <d v="2023-01-10T00:00:00"/>
    <d v="2026-09-07T00:00:00"/>
    <n v="3.6602739726027398"/>
  </r>
  <r>
    <n v="27437"/>
    <x v="8"/>
    <x v="0"/>
    <x v="3"/>
    <s v="Lohapur"/>
    <s v="Suraj Fulmali"/>
    <s v="0140311327"/>
    <d v="2025-02-04T00:00:00"/>
    <d v="2026-09-07T00:00:00"/>
    <n v="1.5890410958904109"/>
  </r>
  <r>
    <n v="29526"/>
    <x v="7"/>
    <x v="0"/>
    <x v="3"/>
    <s v="Barobisha"/>
    <s v="Virendra Narayan Nag"/>
    <s v="8967601707"/>
    <d v="2026-06-05T00:00:00"/>
    <d v="2026-09-07T00:00:00"/>
    <n v="0.25753424657534246"/>
  </r>
  <r>
    <n v="20322"/>
    <x v="9"/>
    <x v="1"/>
    <x v="3"/>
    <s v="Sagardighi Square"/>
    <s v="Ajit Modak"/>
    <s v="2200309916"/>
    <d v="2023-01-03T00:00:00"/>
    <d v="2026-09-07T00:00:00"/>
    <n v="3.6794520547945204"/>
  </r>
  <r>
    <n v="21091"/>
    <x v="7"/>
    <x v="1"/>
    <x v="3"/>
    <s v="Damanpur"/>
    <s v="Biplab Barman"/>
    <s v="9490310566"/>
    <d v="2023-02-13T00:00:00"/>
    <d v="2026-09-07T00:00:00"/>
    <n v="3.5671232876712327"/>
  </r>
  <r>
    <n v="20509"/>
    <x v="10"/>
    <x v="1"/>
    <x v="3"/>
    <s v="Talgachi"/>
    <s v="Giridhari Sarkar"/>
    <s v="2410310083"/>
    <d v="2023-01-10T00:00:00"/>
    <d v="2026-09-07T00:00:00"/>
    <n v="3.6602739726027398"/>
  </r>
  <r>
    <n v="28860"/>
    <x v="10"/>
    <x v="1"/>
    <x v="3"/>
    <s v="Sagarpara"/>
    <s v="Habibur Rahaman"/>
    <s v="2410311259"/>
    <d v="2025-12-22T00:00:00"/>
    <d v="2026-09-07T00:00:00"/>
    <n v="0.70958904109589038"/>
  </r>
  <r>
    <n v="27372"/>
    <x v="11"/>
    <x v="1"/>
    <x v="3"/>
    <s v="Raiganj"/>
    <s v="Joydev Das"/>
    <s v="2560315042"/>
    <d v="2025-01-22T00:00:00"/>
    <d v="2026-09-07T00:00:00"/>
    <n v="1.6246575342465754"/>
  </r>
  <r>
    <n v="22768"/>
    <x v="9"/>
    <x v="1"/>
    <x v="3"/>
    <s v="Sagardighi Square"/>
    <s v="Khurshid Alom "/>
    <s v="2200311941"/>
    <d v="2023-06-03T00:00:00"/>
    <d v="2026-09-07T00:00:00"/>
    <n v="3.2657534246575342"/>
  </r>
  <r>
    <n v="21583"/>
    <x v="12"/>
    <x v="1"/>
    <x v="3"/>
    <s v="Kaluari"/>
    <s v="Masidur Rahaman"/>
    <s v="2370310973"/>
    <d v="2023-02-23T00:00:00"/>
    <d v="2026-09-07T00:00:00"/>
    <n v="3.5397260273972604"/>
  </r>
  <r>
    <n v="28270"/>
    <x v="7"/>
    <x v="1"/>
    <x v="3"/>
    <s v="Barobisha"/>
    <s v="Md Akimuzzaman"/>
    <s v="2310315481"/>
    <d v="2025-08-18T00:00:00"/>
    <d v="2026-09-07T00:00:00"/>
    <n v="1.0547945205479452"/>
  </r>
  <r>
    <n v="25557"/>
    <x v="13"/>
    <x v="1"/>
    <x v="3"/>
    <s v="Dhuliyan"/>
    <s v="Md Asraful Hoque"/>
    <s v="2410313985"/>
    <d v="2024-03-19T00:00:00"/>
    <d v="2026-09-07T00:00:00"/>
    <n v="2.4712328767123286"/>
  </r>
  <r>
    <n v="27792"/>
    <x v="8"/>
    <x v="1"/>
    <x v="3"/>
    <s v="Dharampur"/>
    <s v="Md Zulfikar Ali"/>
    <s v="0140315201"/>
    <d v="2025-05-12T00:00:00"/>
    <d v="2026-09-07T00:00:00"/>
    <n v="1.3232876712328767"/>
  </r>
  <r>
    <n v="21998"/>
    <x v="8"/>
    <x v="1"/>
    <x v="3"/>
    <s v="Jajigram"/>
    <s v="Mosaraf Sk"/>
    <s v="0140311323"/>
    <d v="2023-04-15T00:00:00"/>
    <d v="2026-09-07T00:00:00"/>
    <n v="3.4"/>
  </r>
  <r>
    <n v="22365"/>
    <x v="8"/>
    <x v="1"/>
    <x v="3"/>
    <s v="Parsundi"/>
    <s v="Parimal Das"/>
    <s v="0140311628"/>
    <d v="2023-05-12T00:00:00"/>
    <d v="2026-09-07T00:00:00"/>
    <n v="3.3260273972602739"/>
  </r>
  <r>
    <n v="20502"/>
    <x v="9"/>
    <x v="1"/>
    <x v="3"/>
    <s v="Sagardighi Square"/>
    <s v="Rajani Roy"/>
    <s v="2200310076"/>
    <d v="2023-01-10T00:00:00"/>
    <d v="2026-09-07T00:00:00"/>
    <n v="3.6602739726027398"/>
  </r>
  <r>
    <n v="27028"/>
    <x v="8"/>
    <x v="1"/>
    <x v="3"/>
    <s v="Mangaldihi"/>
    <s v="Ruma Bagdi"/>
    <s v="0140311670"/>
    <d v="2024-11-25T00:00:00"/>
    <d v="2026-09-07T00:00:00"/>
    <n v="1.7835616438356163"/>
  </r>
  <r>
    <n v="23270"/>
    <x v="13"/>
    <x v="1"/>
    <x v="3"/>
    <s v="Nabagram"/>
    <s v="Sahabuddin Ahmed"/>
    <s v="2410312329"/>
    <d v="2023-07-10T00:00:00"/>
    <d v="2026-09-07T00:00:00"/>
    <n v="3.1643835616438358"/>
  </r>
  <r>
    <n v="21999"/>
    <x v="8"/>
    <x v="1"/>
    <x v="3"/>
    <s v="Paikar"/>
    <s v="Saheb Sk"/>
    <s v="0140311324"/>
    <d v="2023-04-15T00:00:00"/>
    <d v="2026-09-07T00:00:00"/>
    <n v="3.4"/>
  </r>
  <r>
    <n v="28692"/>
    <x v="7"/>
    <x v="1"/>
    <x v="3"/>
    <s v="Barobisha"/>
    <s v="Sankar Arya"/>
    <s v="2200315639"/>
    <d v="2025-11-17T00:00:00"/>
    <d v="2026-09-07T00:00:00"/>
    <n v="0.80547945205479454"/>
  </r>
  <r>
    <n v="21926"/>
    <x v="10"/>
    <x v="1"/>
    <x v="3"/>
    <s v="Kanupur"/>
    <s v="Shobhan Majhi"/>
    <s v="2410311257"/>
    <d v="2023-04-10T00:00:00"/>
    <d v="2026-09-07T00:00:00"/>
    <n v="3.4136986301369863"/>
  </r>
  <r>
    <n v="22366"/>
    <x v="8"/>
    <x v="1"/>
    <x v="3"/>
    <s v="Kapista"/>
    <s v="Swarup Karmakar"/>
    <s v="0140311629"/>
    <d v="2023-05-12T00:00:00"/>
    <d v="2026-09-07T00:00:00"/>
    <n v="3.3260273972602739"/>
  </r>
  <r>
    <n v="29798"/>
    <x v="7"/>
    <x v="1"/>
    <x v="3"/>
    <s v="Ethelbari"/>
    <s v="Tarif Baxla"/>
    <s v="8410316211"/>
    <d v="2026-07-14T00:00:00"/>
    <d v="2026-09-07T00:00:00"/>
    <n v="0.15068493150684931"/>
  </r>
  <r>
    <n v="23178"/>
    <x v="12"/>
    <x v="1"/>
    <x v="3"/>
    <s v="Inyathpur"/>
    <s v="Tumpa Poddar"/>
    <s v="2370312246"/>
    <d v="2023-06-29T00:00:00"/>
    <d v="2026-09-07T00:00:00"/>
    <n v="3.194520547945205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Active"/>
    <s v="Durgapur"/>
    <s v="Kushodanga"/>
    <s v="Priti Das"/>
    <s v="3390315408"/>
    <n v="28176"/>
    <n v="6"/>
    <n v="1800"/>
    <n v="449"/>
    <n v="466"/>
    <n v="852"/>
    <n v="1482"/>
    <n v="2681"/>
    <n v="570"/>
    <m/>
    <m/>
    <m/>
    <m/>
    <m/>
    <m/>
    <n v="6500"/>
    <n v="1083.3333333333333"/>
  </r>
  <r>
    <x v="1"/>
    <s v="Active"/>
    <s v="Hooghly"/>
    <s v="Palaschabrighat"/>
    <s v="Asima Bhunia"/>
    <s v="2390311420"/>
    <n v="22126"/>
    <n v="6"/>
    <n v="1800"/>
    <n v="2249"/>
    <n v="2030"/>
    <n v="2244"/>
    <n v="2531"/>
    <n v="3160"/>
    <n v="587"/>
    <m/>
    <m/>
    <m/>
    <m/>
    <m/>
    <m/>
    <n v="12801"/>
    <n v="2133.5"/>
  </r>
  <r>
    <x v="1"/>
    <s v="Active"/>
    <s v="Hooghly"/>
    <s v="Binpur"/>
    <s v="Debika Singha Patra"/>
    <s v="2390311962"/>
    <n v="22789"/>
    <n v="6"/>
    <n v="1800"/>
    <n v="2626"/>
    <n v="2814"/>
    <n v="2318"/>
    <n v="2492"/>
    <n v="2518"/>
    <n v="540"/>
    <m/>
    <m/>
    <m/>
    <m/>
    <m/>
    <m/>
    <n v="13308"/>
    <n v="2218"/>
  </r>
  <r>
    <x v="2"/>
    <s v="Active"/>
    <s v="Hooghly"/>
    <s v="Rajhati"/>
    <s v="Arnnapurna Maji"/>
    <s v="3390311610"/>
    <n v="22346"/>
    <n v="6"/>
    <n v="1800"/>
    <n v="2060"/>
    <n v="1741"/>
    <n v="1555"/>
    <n v="1870"/>
    <n v="2085"/>
    <n v="407"/>
    <m/>
    <m/>
    <m/>
    <m/>
    <m/>
    <m/>
    <n v="9718"/>
    <n v="1619.6666666666667"/>
  </r>
  <r>
    <x v="1"/>
    <s v="Active"/>
    <s v="Hooghly"/>
    <s v="Ramjibanpur"/>
    <s v="Abhijit Modak"/>
    <s v="3390311425"/>
    <n v="22131"/>
    <n v="6"/>
    <n v="1800"/>
    <n v="1952"/>
    <n v="2034"/>
    <n v="1525"/>
    <n v="1701"/>
    <n v="1800"/>
    <n v="399"/>
    <m/>
    <m/>
    <m/>
    <m/>
    <m/>
    <m/>
    <n v="9411"/>
    <n v="1568.5"/>
  </r>
  <r>
    <x v="1"/>
    <s v="Active"/>
    <s v="Hooghly"/>
    <s v="Khirpai"/>
    <s v="Sk Abbas Ali"/>
    <s v="2390311378"/>
    <n v="22073"/>
    <n v="6"/>
    <n v="1800"/>
    <n v="1124"/>
    <n v="1231"/>
    <n v="1242"/>
    <n v="1470"/>
    <n v="1622"/>
    <n v="339"/>
    <m/>
    <m/>
    <m/>
    <m/>
    <m/>
    <m/>
    <n v="7028"/>
    <n v="1171.3333333333333"/>
  </r>
  <r>
    <x v="3"/>
    <s v="Active"/>
    <s v="Siliguri"/>
    <s v="Jajigram"/>
    <s v="Mosaraf Sk"/>
    <s v="0140311323"/>
    <n v="21998"/>
    <n v="6"/>
    <n v="1800"/>
    <n v="1132"/>
    <n v="1153"/>
    <n v="1213"/>
    <n v="1448"/>
    <n v="1580"/>
    <n v="341"/>
    <m/>
    <m/>
    <m/>
    <m/>
    <m/>
    <m/>
    <n v="6867"/>
    <n v="1144.5"/>
  </r>
  <r>
    <x v="3"/>
    <s v="Active"/>
    <s v="Siliguri"/>
    <s v="Paikar"/>
    <s v="Saheb Sk"/>
    <s v="0140311324"/>
    <n v="21999"/>
    <n v="6"/>
    <n v="1800"/>
    <n v="1759"/>
    <n v="1665"/>
    <n v="1333"/>
    <n v="1502"/>
    <n v="1552"/>
    <n v="296"/>
    <m/>
    <m/>
    <m/>
    <m/>
    <m/>
    <m/>
    <n v="8107"/>
    <n v="1351.1666666666667"/>
  </r>
  <r>
    <x v="1"/>
    <s v="Active"/>
    <s v="Hooghly"/>
    <s v="Bhairabpur"/>
    <s v="Srabani Chatterjee"/>
    <s v="2390312437"/>
    <n v="23429"/>
    <n v="6"/>
    <n v="1800"/>
    <n v="1108"/>
    <n v="848"/>
    <n v="793"/>
    <n v="985"/>
    <n v="1119"/>
    <n v="136"/>
    <m/>
    <m/>
    <m/>
    <m/>
    <m/>
    <m/>
    <n v="4989"/>
    <n v="831.5"/>
  </r>
  <r>
    <x v="2"/>
    <s v="Active"/>
    <s v="Hooghly"/>
    <s v="Rajhati"/>
    <s v="Santanu Ghosh"/>
    <s v="3390314383"/>
    <n v="26399"/>
    <n v="6"/>
    <n v="1800"/>
    <n v="1112"/>
    <n v="886"/>
    <n v="621"/>
    <n v="1042"/>
    <n v="1056"/>
    <n v="161"/>
    <m/>
    <m/>
    <m/>
    <m/>
    <m/>
    <m/>
    <n v="4878"/>
    <n v="813"/>
  </r>
  <r>
    <x v="4"/>
    <s v="Active"/>
    <s v="Siliguri"/>
    <s v="Kaluari"/>
    <s v="Masidur Rahaman"/>
    <s v="2370310973"/>
    <n v="21583"/>
    <n v="6"/>
    <n v="1800"/>
    <n v="1235"/>
    <n v="971"/>
    <n v="1059"/>
    <n v="994"/>
    <n v="953"/>
    <n v="204"/>
    <m/>
    <m/>
    <m/>
    <m/>
    <m/>
    <m/>
    <n v="5416"/>
    <n v="902.66666666666663"/>
  </r>
  <r>
    <x v="0"/>
    <s v="Active"/>
    <s v="Durgapur"/>
    <s v="Patuli"/>
    <s v="Satyajit Kar"/>
    <s v="3390314928"/>
    <n v="27154"/>
    <n v="6"/>
    <n v="1800"/>
    <n v="696"/>
    <n v="681"/>
    <n v="631"/>
    <n v="590"/>
    <n v="814"/>
    <n v="146"/>
    <m/>
    <m/>
    <m/>
    <m/>
    <m/>
    <m/>
    <n v="3558"/>
    <n v="593"/>
  </r>
  <r>
    <x v="5"/>
    <s v="Active"/>
    <s v="Siliguri"/>
    <s v="Talgachi"/>
    <s v="Giridhari Sarkar"/>
    <s v="2410310083"/>
    <n v="20509"/>
    <n v="6"/>
    <n v="1800"/>
    <n v="803"/>
    <n v="743"/>
    <n v="777"/>
    <n v="876"/>
    <n v="884"/>
    <n v="195"/>
    <m/>
    <m/>
    <m/>
    <m/>
    <m/>
    <m/>
    <n v="4278"/>
    <n v="713"/>
  </r>
  <r>
    <x v="2"/>
    <s v="Active"/>
    <s v="Hooghly"/>
    <s v="Khanakul"/>
    <s v="Susobhan Patra"/>
    <s v="3390312968"/>
    <n v="24153"/>
    <n v="6"/>
    <n v="1800"/>
    <n v="779"/>
    <n v="615"/>
    <n v="518"/>
    <n v="686"/>
    <n v="877"/>
    <n v="98"/>
    <m/>
    <m/>
    <m/>
    <m/>
    <m/>
    <m/>
    <n v="3573"/>
    <n v="595.5"/>
  </r>
  <r>
    <x v="1"/>
    <s v="Active"/>
    <s v="Hooghly"/>
    <s v="Nayabasat"/>
    <s v="Mousumi Chanda Dey"/>
    <s v="2390315855"/>
    <n v="29123"/>
    <n v="6"/>
    <n v="1800"/>
    <n v="432"/>
    <n v="850"/>
    <n v="467"/>
    <n v="659"/>
    <n v="876"/>
    <n v="198"/>
    <m/>
    <m/>
    <m/>
    <m/>
    <m/>
    <m/>
    <n v="3482"/>
    <n v="580.33333333333337"/>
  </r>
  <r>
    <x v="2"/>
    <s v="Active"/>
    <s v="Hooghly"/>
    <s v="Jirat"/>
    <s v="Sahadeb Chakraborty"/>
    <s v="3390314204"/>
    <n v="26084"/>
    <n v="6"/>
    <n v="1800"/>
    <n v="831"/>
    <n v="914"/>
    <n v="738"/>
    <n v="927"/>
    <n v="861"/>
    <n v="213"/>
    <m/>
    <m/>
    <m/>
    <m/>
    <m/>
    <m/>
    <n v="4484"/>
    <n v="747.33333333333337"/>
  </r>
  <r>
    <x v="1"/>
    <s v="Active"/>
    <s v="Hooghly"/>
    <s v="Guiadaha"/>
    <s v="Munmun Chakraborty"/>
    <s v="2390312218"/>
    <n v="23142"/>
    <n v="6"/>
    <n v="1800"/>
    <n v="573"/>
    <n v="554"/>
    <n v="626"/>
    <n v="682"/>
    <n v="846"/>
    <n v="154"/>
    <m/>
    <m/>
    <m/>
    <m/>
    <m/>
    <m/>
    <n v="3435"/>
    <n v="572.5"/>
  </r>
  <r>
    <x v="3"/>
    <s v="Active"/>
    <s v="Siliguri"/>
    <s v="Parsundi"/>
    <s v="Parimal Das"/>
    <s v="0140311628"/>
    <n v="22365"/>
    <n v="6"/>
    <n v="1800"/>
    <n v="713"/>
    <n v="863"/>
    <n v="755"/>
    <n v="881"/>
    <n v="827"/>
    <n v="148"/>
    <m/>
    <m/>
    <m/>
    <m/>
    <m/>
    <m/>
    <n v="4187"/>
    <n v="697.83333333333337"/>
  </r>
  <r>
    <x v="2"/>
    <s v="Active"/>
    <s v="Hooghly"/>
    <s v="Haripal"/>
    <s v="Sk Nasim Ali"/>
    <s v="3390312613"/>
    <n v="23669"/>
    <n v="6"/>
    <n v="1800"/>
    <n v="728"/>
    <n v="589"/>
    <n v="525"/>
    <n v="640"/>
    <n v="756"/>
    <n v="113"/>
    <m/>
    <m/>
    <m/>
    <m/>
    <m/>
    <m/>
    <n v="3351"/>
    <n v="558.5"/>
  </r>
  <r>
    <x v="1"/>
    <s v="Active"/>
    <s v="Hooghly"/>
    <s v="Kharar"/>
    <s v="Pinki Ghosh"/>
    <s v="2390311944"/>
    <n v="29368"/>
    <n v="6"/>
    <n v="1800"/>
    <n v="71"/>
    <n v="534"/>
    <n v="422"/>
    <n v="400"/>
    <n v="696"/>
    <n v="136"/>
    <m/>
    <m/>
    <m/>
    <m/>
    <m/>
    <m/>
    <n v="2259"/>
    <n v="376.5"/>
  </r>
  <r>
    <x v="6"/>
    <s v="Active"/>
    <s v="Siliguri"/>
    <s v="Sagardighi Square"/>
    <s v="Ajit Modak"/>
    <s v="2200309916"/>
    <n v="20322"/>
    <n v="6"/>
    <n v="1800"/>
    <n v="614"/>
    <n v="539"/>
    <n v="567"/>
    <n v="606"/>
    <n v="729"/>
    <n v="143"/>
    <m/>
    <m/>
    <m/>
    <m/>
    <m/>
    <m/>
    <n v="3198"/>
    <n v="533"/>
  </r>
  <r>
    <x v="7"/>
    <s v="Active"/>
    <s v="Durgapur"/>
    <s v="Santipur"/>
    <s v="Sahabul Mandal"/>
    <s v="2430315156"/>
    <n v="27630"/>
    <n v="6"/>
    <n v="1800"/>
    <n v="748"/>
    <n v="751"/>
    <n v="719"/>
    <n v="847"/>
    <n v="709"/>
    <n v="161"/>
    <m/>
    <m/>
    <m/>
    <m/>
    <m/>
    <m/>
    <n v="3935"/>
    <n v="655.83333333333337"/>
  </r>
  <r>
    <x v="1"/>
    <s v="Active"/>
    <s v="Hooghly"/>
    <s v="Khirpai"/>
    <s v="Reshma Khatun"/>
    <s v="2390314453"/>
    <n v="26501"/>
    <n v="6"/>
    <n v="1800"/>
    <n v="513"/>
    <n v="563"/>
    <n v="528"/>
    <n v="549"/>
    <n v="678"/>
    <n v="69"/>
    <m/>
    <m/>
    <m/>
    <m/>
    <m/>
    <m/>
    <n v="2900"/>
    <n v="483.33333333333331"/>
  </r>
  <r>
    <x v="4"/>
    <s v="Active"/>
    <s v="Siliguri"/>
    <s v="Inyathpur"/>
    <s v="Tumpa Poddar"/>
    <s v="2370312246"/>
    <n v="23178"/>
    <n v="6"/>
    <n v="1800"/>
    <n v="650"/>
    <n v="519"/>
    <n v="583"/>
    <n v="686"/>
    <n v="664"/>
    <n v="88"/>
    <m/>
    <m/>
    <m/>
    <m/>
    <m/>
    <m/>
    <n v="3190"/>
    <n v="531.66666666666663"/>
  </r>
  <r>
    <x v="3"/>
    <s v="Active"/>
    <s v="Siliguri"/>
    <s v="Mangaldihi"/>
    <s v="Ruma Bagdi"/>
    <s v="0140311670"/>
    <n v="27028"/>
    <n v="6"/>
    <n v="1800"/>
    <n v="684"/>
    <n v="605"/>
    <n v="504"/>
    <n v="675"/>
    <n v="659"/>
    <n v="134"/>
    <m/>
    <m/>
    <m/>
    <m/>
    <m/>
    <m/>
    <n v="3261"/>
    <n v="543.5"/>
  </r>
  <r>
    <x v="2"/>
    <s v="Active"/>
    <s v="Hooghly"/>
    <s v="Khanakul"/>
    <s v="Sahanaj Parvin"/>
    <s v="3390312801"/>
    <n v="23969"/>
    <n v="6"/>
    <n v="1800"/>
    <n v="613"/>
    <n v="505"/>
    <n v="399"/>
    <n v="602"/>
    <n v="643"/>
    <n v="98"/>
    <m/>
    <m/>
    <m/>
    <m/>
    <m/>
    <m/>
    <n v="2860"/>
    <n v="476.66666666666669"/>
  </r>
  <r>
    <x v="8"/>
    <s v="Active"/>
    <s v="Hooghly"/>
    <s v="Panskura"/>
    <s v="Kartik Maity"/>
    <s v="2380311666"/>
    <n v="22404"/>
    <n v="6"/>
    <n v="1800"/>
    <n v="643"/>
    <n v="688"/>
    <n v="489"/>
    <n v="786"/>
    <n v="654"/>
    <n v="97"/>
    <m/>
    <m/>
    <m/>
    <m/>
    <m/>
    <m/>
    <n v="3357"/>
    <n v="559.5"/>
  </r>
  <r>
    <x v="2"/>
    <s v="Active"/>
    <s v="Hooghly"/>
    <s v="Dhanyaghori"/>
    <s v="Pratik Chakraborty"/>
    <s v="3390311946"/>
    <n v="22773"/>
    <n v="6"/>
    <n v="1800"/>
    <n v="613"/>
    <n v="641"/>
    <n v="551"/>
    <n v="606"/>
    <n v="639"/>
    <n v="132"/>
    <m/>
    <m/>
    <m/>
    <m/>
    <m/>
    <m/>
    <n v="3182"/>
    <n v="530.33333333333337"/>
  </r>
  <r>
    <x v="2"/>
    <s v="Active"/>
    <s v="Hooghly"/>
    <s v="Kamarpara"/>
    <s v="Mithu Ghosh"/>
    <s v="3390312440"/>
    <n v="23432"/>
    <n v="6"/>
    <n v="1800"/>
    <n v="661"/>
    <n v="414"/>
    <n v="584"/>
    <n v="581"/>
    <n v="607"/>
    <n v="119"/>
    <m/>
    <m/>
    <m/>
    <m/>
    <m/>
    <m/>
    <n v="2966"/>
    <n v="494.33333333333331"/>
  </r>
  <r>
    <x v="2"/>
    <s v="Active"/>
    <s v="Hooghly"/>
    <s v="Rajbalhat"/>
    <s v="Dibyendu Bhowmick"/>
    <s v="3390314186"/>
    <n v="26015"/>
    <n v="6"/>
    <n v="1800"/>
    <n v="495"/>
    <n v="445"/>
    <n v="559"/>
    <n v="560"/>
    <n v="598"/>
    <n v="97"/>
    <m/>
    <m/>
    <m/>
    <m/>
    <m/>
    <m/>
    <n v="2754"/>
    <n v="459"/>
  </r>
  <r>
    <x v="1"/>
    <s v="Active"/>
    <s v="Hooghly"/>
    <s v="Ramjibanpur"/>
    <s v="Mahadeb Das "/>
    <s v="3390315155"/>
    <n v="27629"/>
    <n v="6"/>
    <n v="1800"/>
    <n v="532"/>
    <n v="562"/>
    <n v="487"/>
    <n v="434"/>
    <n v="488"/>
    <n v="87"/>
    <m/>
    <m/>
    <m/>
    <m/>
    <m/>
    <m/>
    <n v="2590"/>
    <n v="431.66666666666669"/>
  </r>
  <r>
    <x v="1"/>
    <s v="Active"/>
    <s v="Hooghly"/>
    <s v="Chandrakona"/>
    <s v="Ananya Maity Bag"/>
    <s v="2390313181"/>
    <n v="24495"/>
    <n v="6"/>
    <n v="1800"/>
    <n v="414"/>
    <n v="321"/>
    <n v="365"/>
    <n v="380"/>
    <n v="500"/>
    <n v="72"/>
    <m/>
    <m/>
    <m/>
    <m/>
    <m/>
    <m/>
    <n v="2052"/>
    <n v="342"/>
  </r>
  <r>
    <x v="2"/>
    <s v="Active"/>
    <s v="Hooghly"/>
    <s v="Kalipur"/>
    <s v="Satyajit Chattopadhyay"/>
    <s v="3390311422"/>
    <n v="22128"/>
    <n v="6"/>
    <n v="1800"/>
    <n v="686"/>
    <n v="655"/>
    <n v="460"/>
    <n v="533"/>
    <n v="521"/>
    <n v="75"/>
    <m/>
    <m/>
    <m/>
    <m/>
    <m/>
    <m/>
    <n v="2930"/>
    <n v="488.33333333333331"/>
  </r>
  <r>
    <x v="9"/>
    <s v="Active"/>
    <s v="Durgapur"/>
    <s v="Jhantipahari"/>
    <s v="Asish Kumar Mandal"/>
    <s v="2160314962"/>
    <n v="27220"/>
    <n v="6"/>
    <n v="1800"/>
    <n v="485"/>
    <n v="539"/>
    <n v="488"/>
    <n v="525"/>
    <n v="498"/>
    <n v="131"/>
    <m/>
    <m/>
    <m/>
    <m/>
    <m/>
    <m/>
    <n v="2666"/>
    <n v="444.33333333333331"/>
  </r>
  <r>
    <x v="1"/>
    <s v="Active"/>
    <s v="Hooghly"/>
    <s v="Chandrakona"/>
    <s v="Mani Dhara"/>
    <s v="2390313180"/>
    <n v="24494"/>
    <n v="6"/>
    <n v="1800"/>
    <n v="427"/>
    <n v="323"/>
    <n v="353"/>
    <n v="370"/>
    <n v="463"/>
    <n v="76"/>
    <m/>
    <m/>
    <m/>
    <m/>
    <m/>
    <m/>
    <n v="2012"/>
    <n v="335.33333333333331"/>
  </r>
  <r>
    <x v="9"/>
    <s v="Active"/>
    <s v="Durgapur"/>
    <s v="Anara"/>
    <s v="Biswajit Majee"/>
    <s v="2460314961"/>
    <n v="27219"/>
    <n v="6"/>
    <n v="1800"/>
    <n v="444"/>
    <n v="700"/>
    <n v="415"/>
    <n v="451"/>
    <n v="525"/>
    <n v="99"/>
    <m/>
    <m/>
    <m/>
    <m/>
    <m/>
    <m/>
    <n v="2634"/>
    <n v="439"/>
  </r>
  <r>
    <x v="10"/>
    <s v="Active"/>
    <s v="Siliguri"/>
    <s v="Barobisha"/>
    <s v="Md Akimuzzaman"/>
    <s v="2310315481"/>
    <n v="28270"/>
    <n v="6"/>
    <n v="1800"/>
    <n v="213"/>
    <n v="157"/>
    <n v="269"/>
    <n v="340"/>
    <n v="493"/>
    <n v="66"/>
    <m/>
    <m/>
    <m/>
    <m/>
    <m/>
    <m/>
    <n v="1538"/>
    <n v="256.33333333333331"/>
  </r>
  <r>
    <x v="0"/>
    <s v="Active"/>
    <s v="Durgapur"/>
    <s v="Kushodanga"/>
    <s v="Rumpa Pal Mondal"/>
    <s v="3390315402"/>
    <n v="28170"/>
    <n v="6"/>
    <n v="1800"/>
    <n v="412"/>
    <n v="353"/>
    <n v="329"/>
    <n v="378"/>
    <n v="432"/>
    <n v="58"/>
    <m/>
    <m/>
    <m/>
    <m/>
    <m/>
    <m/>
    <n v="1962"/>
    <n v="327"/>
  </r>
  <r>
    <x v="3"/>
    <s v="Active"/>
    <s v="Siliguri"/>
    <s v="Dharampur"/>
    <s v="Md Zulfikar Ali"/>
    <s v="0140315201"/>
    <n v="27792"/>
    <n v="6"/>
    <n v="1800"/>
    <n v="485"/>
    <n v="359"/>
    <n v="423"/>
    <n v="465"/>
    <n v="448"/>
    <n v="31"/>
    <m/>
    <m/>
    <m/>
    <m/>
    <m/>
    <m/>
    <n v="2211"/>
    <n v="368.5"/>
  </r>
  <r>
    <x v="3"/>
    <s v="Active"/>
    <s v="Siliguri"/>
    <s v="Kapista"/>
    <s v="Swarup Karmakar"/>
    <s v="0140311629"/>
    <n v="22366"/>
    <n v="6"/>
    <n v="1800"/>
    <n v="338"/>
    <n v="371"/>
    <n v="313"/>
    <n v="330"/>
    <n v="444"/>
    <n v="77"/>
    <m/>
    <m/>
    <m/>
    <m/>
    <m/>
    <m/>
    <n v="1873"/>
    <n v="312.16666666666669"/>
  </r>
  <r>
    <x v="1"/>
    <s v="Active"/>
    <s v="Hooghly"/>
    <s v="Banka"/>
    <s v="Subhajit Chanda"/>
    <s v="2390312543"/>
    <n v="23560"/>
    <n v="6"/>
    <n v="1800"/>
    <n v="467"/>
    <n v="414"/>
    <n v="378"/>
    <n v="373"/>
    <n v="391"/>
    <n v="31"/>
    <m/>
    <m/>
    <m/>
    <m/>
    <m/>
    <m/>
    <n v="2054"/>
    <n v="342.33333333333331"/>
  </r>
  <r>
    <x v="2"/>
    <s v="Active"/>
    <s v="Hooghly"/>
    <s v="Kamarpara"/>
    <s v="Md Mustakim"/>
    <s v="3390312441"/>
    <n v="23433"/>
    <n v="6"/>
    <n v="1800"/>
    <n v="713"/>
    <n v="586"/>
    <n v="174"/>
    <n v="210"/>
    <n v="385"/>
    <n v="84"/>
    <m/>
    <m/>
    <m/>
    <m/>
    <m/>
    <m/>
    <n v="2152"/>
    <n v="358.66666666666669"/>
  </r>
  <r>
    <x v="1"/>
    <s v="Active"/>
    <s v="Hooghly"/>
    <s v="Jara"/>
    <s v="Priyanka Biswas"/>
    <s v="2390311424"/>
    <n v="22130"/>
    <n v="6"/>
    <n v="1800"/>
    <n v="390"/>
    <n v="336"/>
    <n v="305"/>
    <n v="500"/>
    <n v="362"/>
    <n v="36"/>
    <m/>
    <m/>
    <m/>
    <m/>
    <m/>
    <m/>
    <n v="1929"/>
    <n v="321.5"/>
  </r>
  <r>
    <x v="7"/>
    <s v="Active"/>
    <s v="Durgapur"/>
    <s v="Hridaypur"/>
    <s v="Injamul Rahaman "/>
    <s v="2430314512"/>
    <n v="26588"/>
    <n v="6"/>
    <n v="1800"/>
    <n v="352"/>
    <n v="425"/>
    <n v="400"/>
    <n v="398"/>
    <n v="382"/>
    <n v="60"/>
    <m/>
    <m/>
    <m/>
    <m/>
    <m/>
    <m/>
    <n v="2017"/>
    <n v="336.16666666666669"/>
  </r>
  <r>
    <x v="9"/>
    <s v="Active"/>
    <s v="Durgapur"/>
    <s v="Patrasayer"/>
    <s v="Satish Ankure"/>
    <s v="2160314679"/>
    <n v="26810"/>
    <n v="6"/>
    <n v="1800"/>
    <n v="473"/>
    <n v="362"/>
    <n v="238"/>
    <n v="347"/>
    <n v="368"/>
    <n v="66"/>
    <m/>
    <m/>
    <m/>
    <m/>
    <m/>
    <m/>
    <n v="1854"/>
    <n v="309"/>
  </r>
  <r>
    <x v="1"/>
    <s v="Active"/>
    <s v="Hooghly"/>
    <s v="Jhargram"/>
    <s v="Sk Imran"/>
    <s v="2390311695"/>
    <n v="22452"/>
    <n v="6"/>
    <n v="1800"/>
    <n v="328"/>
    <n v="224"/>
    <n v="286"/>
    <n v="402"/>
    <n v="371"/>
    <n v="59"/>
    <m/>
    <m/>
    <m/>
    <m/>
    <m/>
    <m/>
    <n v="1670"/>
    <n v="278.33333333333331"/>
  </r>
  <r>
    <x v="1"/>
    <s v="Active"/>
    <s v="Hooghly"/>
    <s v="Nayabasat"/>
    <s v="Soumya Ghosh"/>
    <s v="2390314387"/>
    <n v="26403"/>
    <n v="6"/>
    <n v="1800"/>
    <n v="345"/>
    <n v="262"/>
    <n v="230"/>
    <n v="289"/>
    <n v="350"/>
    <n v="54"/>
    <m/>
    <m/>
    <m/>
    <m/>
    <m/>
    <m/>
    <n v="1530"/>
    <n v="255"/>
  </r>
  <r>
    <x v="7"/>
    <s v="Active"/>
    <s v="Durgapur"/>
    <s v="Haringhata"/>
    <s v="Eyakub Mondal"/>
    <s v="2430315345"/>
    <n v="28085"/>
    <n v="6"/>
    <n v="1800"/>
    <n v="368"/>
    <n v="500"/>
    <n v="309"/>
    <n v="472"/>
    <n v="342"/>
    <n v="56"/>
    <m/>
    <m/>
    <m/>
    <m/>
    <m/>
    <m/>
    <n v="2047"/>
    <n v="341.16666666666669"/>
  </r>
  <r>
    <x v="7"/>
    <s v="Active"/>
    <s v="Durgapur"/>
    <s v="Hidaypur"/>
    <s v="Akramul Shaikh"/>
    <s v="2430315571"/>
    <n v="28485"/>
    <n v="6"/>
    <n v="1800"/>
    <n v="249"/>
    <n v="240"/>
    <n v="247"/>
    <n v="313"/>
    <n v="314"/>
    <n v="59"/>
    <m/>
    <m/>
    <m/>
    <m/>
    <m/>
    <m/>
    <n v="1422"/>
    <n v="237"/>
  </r>
  <r>
    <x v="2"/>
    <s v="Active"/>
    <s v="Hooghly"/>
    <s v="Polba"/>
    <s v="Arindam Sadhukhan"/>
    <s v="3390315433"/>
    <n v="28201"/>
    <n v="6"/>
    <n v="1800"/>
    <n v="580"/>
    <n v="426"/>
    <n v="193"/>
    <n v="161"/>
    <n v="312"/>
    <n v="78"/>
    <m/>
    <m/>
    <m/>
    <m/>
    <m/>
    <m/>
    <n v="1750"/>
    <n v="291.66666666666669"/>
  </r>
  <r>
    <x v="6"/>
    <s v="Active"/>
    <s v="Siliguri"/>
    <s v="Sagardighi Square"/>
    <s v="Rajani Roy"/>
    <s v="2200310076"/>
    <n v="20502"/>
    <n v="6"/>
    <n v="1800"/>
    <n v="223"/>
    <n v="217"/>
    <n v="267"/>
    <n v="423"/>
    <n v="334"/>
    <n v="51"/>
    <m/>
    <m/>
    <m/>
    <m/>
    <m/>
    <m/>
    <n v="1515"/>
    <n v="252.5"/>
  </r>
  <r>
    <x v="11"/>
    <s v="Active"/>
    <s v="Siliguri"/>
    <s v="Raiganj"/>
    <s v="Joydev Das"/>
    <s v="2560315042"/>
    <n v="27372"/>
    <n v="6"/>
    <n v="1800"/>
    <n v="408"/>
    <n v="288"/>
    <n v="169"/>
    <n v="240"/>
    <n v="296"/>
    <n v="27"/>
    <m/>
    <m/>
    <m/>
    <m/>
    <m/>
    <m/>
    <n v="1428"/>
    <n v="238"/>
  </r>
  <r>
    <x v="5"/>
    <s v="Active"/>
    <s v="Siliguri"/>
    <s v="Sagarpara"/>
    <s v="Habibur Rahaman"/>
    <s v="2410311259"/>
    <n v="28860"/>
    <n v="6"/>
    <n v="1800"/>
    <n v="318"/>
    <n v="324"/>
    <n v="264"/>
    <n v="227"/>
    <n v="279"/>
    <n v="49"/>
    <m/>
    <m/>
    <m/>
    <m/>
    <m/>
    <m/>
    <n v="1461"/>
    <n v="243.5"/>
  </r>
  <r>
    <x v="7"/>
    <s v="Active"/>
    <s v="Durgapur"/>
    <s v="Badkulla"/>
    <s v="Swapan Kumar Biswas"/>
    <s v="2430315186"/>
    <n v="27732"/>
    <n v="6"/>
    <n v="1800"/>
    <n v="266"/>
    <n v="259"/>
    <n v="315"/>
    <n v="271"/>
    <n v="258"/>
    <n v="70"/>
    <m/>
    <m/>
    <m/>
    <m/>
    <m/>
    <m/>
    <n v="1439"/>
    <n v="239.83333333333334"/>
  </r>
  <r>
    <x v="8"/>
    <s v="Active"/>
    <s v="Hooghly"/>
    <s v="Kolaghat (Ktpps)"/>
    <s v="Sudipta Mandal"/>
    <s v="2380315163"/>
    <n v="27637"/>
    <n v="6"/>
    <n v="1800"/>
    <n v="188"/>
    <n v="119"/>
    <n v="86"/>
    <n v="58"/>
    <n v="251"/>
    <n v="59"/>
    <m/>
    <m/>
    <m/>
    <m/>
    <m/>
    <m/>
    <n v="761"/>
    <n v="126.83333333333333"/>
  </r>
  <r>
    <x v="5"/>
    <s v="Active"/>
    <s v="Siliguri"/>
    <s v="Kanupur"/>
    <s v="Shobhan Majhi"/>
    <s v="2410311257"/>
    <n v="21926"/>
    <n v="6"/>
    <n v="1800"/>
    <n v="284"/>
    <n v="225"/>
    <n v="245"/>
    <n v="214"/>
    <n v="212"/>
    <n v="43"/>
    <m/>
    <m/>
    <m/>
    <m/>
    <m/>
    <m/>
    <n v="1223"/>
    <n v="203.83333333333334"/>
  </r>
  <r>
    <x v="1"/>
    <s v="Active"/>
    <s v="Hooghly"/>
    <s v="Banka"/>
    <s v="Shampa Mandal"/>
    <s v="2390312439"/>
    <n v="23431"/>
    <n v="6"/>
    <n v="1800"/>
    <n v="212"/>
    <n v="135"/>
    <n v="220"/>
    <n v="219"/>
    <n v="193"/>
    <n v="28"/>
    <m/>
    <m/>
    <m/>
    <m/>
    <m/>
    <m/>
    <n v="1007"/>
    <n v="167.83333333333334"/>
  </r>
  <r>
    <x v="12"/>
    <s v="Active"/>
    <s v="Siliguri"/>
    <s v="Nabagram"/>
    <s v="Sahabuddin Ahmed"/>
    <s v="2410312329"/>
    <n v="23270"/>
    <n v="6"/>
    <n v="1800"/>
    <n v="204"/>
    <n v="189"/>
    <n v="169"/>
    <n v="189"/>
    <n v="185"/>
    <n v="32"/>
    <m/>
    <m/>
    <m/>
    <m/>
    <m/>
    <m/>
    <n v="968"/>
    <n v="161.33333333333334"/>
  </r>
  <r>
    <x v="2"/>
    <s v="Active"/>
    <s v="Hooghly"/>
    <s v="Sahapur"/>
    <s v="Bishal Maity"/>
    <s v="3390312548"/>
    <n v="23565"/>
    <n v="6"/>
    <n v="1800"/>
    <n v="360"/>
    <n v="279"/>
    <n v="183"/>
    <n v="183"/>
    <n v="185"/>
    <n v="46"/>
    <m/>
    <m/>
    <m/>
    <m/>
    <m/>
    <m/>
    <n v="1236"/>
    <n v="206"/>
  </r>
  <r>
    <x v="7"/>
    <s v="Active"/>
    <s v="Durgapur"/>
    <s v="Ranaghat"/>
    <s v="Sagari Ghosh"/>
    <s v="2430314519"/>
    <n v="26595"/>
    <n v="6"/>
    <n v="1800"/>
    <n v="894"/>
    <n v="724"/>
    <n v="564"/>
    <n v="220"/>
    <n v="139"/>
    <n v="15"/>
    <m/>
    <m/>
    <m/>
    <m/>
    <m/>
    <m/>
    <n v="2556"/>
    <n v="426"/>
  </r>
  <r>
    <x v="13"/>
    <s v="Active"/>
    <s v="Saltlake"/>
    <s v="Hingalganj"/>
    <s v="Khairulla Mistri"/>
    <s v="8410316210"/>
    <n v="29799"/>
    <n v="2"/>
    <n v="600"/>
    <m/>
    <m/>
    <m/>
    <m/>
    <n v="128"/>
    <n v="69"/>
    <m/>
    <m/>
    <m/>
    <m/>
    <m/>
    <m/>
    <m/>
    <n v="0"/>
  </r>
  <r>
    <x v="10"/>
    <s v="Active"/>
    <s v="Siliguri"/>
    <s v="Damanpur"/>
    <s v="Biplab Barman"/>
    <s v="9490310566"/>
    <n v="21091"/>
    <n v="6"/>
    <n v="1800"/>
    <n v="171"/>
    <n v="243"/>
    <n v="167"/>
    <n v="191"/>
    <n v="158"/>
    <n v="27"/>
    <m/>
    <m/>
    <m/>
    <m/>
    <m/>
    <m/>
    <n v="957"/>
    <n v="159.5"/>
  </r>
  <r>
    <x v="7"/>
    <s v="Active"/>
    <s v="Durgapur"/>
    <s v="Santipur"/>
    <s v="Najmira Khatun"/>
    <s v="2430315335"/>
    <n v="28075"/>
    <n v="6"/>
    <n v="1800"/>
    <n v="125"/>
    <n v="93"/>
    <n v="80"/>
    <n v="179"/>
    <n v="123"/>
    <n v="27"/>
    <m/>
    <m/>
    <m/>
    <m/>
    <m/>
    <m/>
    <n v="627"/>
    <n v="104.5"/>
  </r>
  <r>
    <x v="1"/>
    <s v="Active"/>
    <s v="Hooghly"/>
    <s v="Kankabati"/>
    <s v="Mita Samanta"/>
    <s v="2390311663"/>
    <n v="22401"/>
    <n v="6"/>
    <n v="1800"/>
    <n v="136"/>
    <n v="194"/>
    <n v="100"/>
    <n v="98"/>
    <n v="83"/>
    <n v="31"/>
    <m/>
    <m/>
    <m/>
    <m/>
    <m/>
    <m/>
    <n v="642"/>
    <n v="107"/>
  </r>
  <r>
    <x v="6"/>
    <s v="Active"/>
    <s v="Siliguri"/>
    <s v="Sagardighi Square"/>
    <s v="Khurshid Alom "/>
    <s v="2200311941"/>
    <n v="22768"/>
    <n v="6"/>
    <n v="1800"/>
    <n v="124"/>
    <n v="88"/>
    <n v="74"/>
    <n v="72"/>
    <n v="84"/>
    <n v="8"/>
    <m/>
    <m/>
    <m/>
    <m/>
    <m/>
    <m/>
    <n v="450"/>
    <n v="75"/>
  </r>
  <r>
    <x v="9"/>
    <s v="Inactive"/>
    <s v="Durgapur"/>
    <s v="Patrasayer"/>
    <s v="Bula Karmakar"/>
    <s v="2160315824"/>
    <n v="29069"/>
    <n v="5"/>
    <n v="1500"/>
    <n v="15"/>
    <n v="59"/>
    <n v="203"/>
    <n v="63"/>
    <n v="63"/>
    <m/>
    <m/>
    <m/>
    <m/>
    <m/>
    <m/>
    <m/>
    <n v="403"/>
    <n v="80.599999999999994"/>
  </r>
  <r>
    <x v="10"/>
    <s v="Active"/>
    <s v="Siliguri"/>
    <s v="Barobisha"/>
    <s v="Sankar Arya"/>
    <s v="2200315639"/>
    <n v="28692"/>
    <n v="6"/>
    <n v="1800"/>
    <n v="64"/>
    <n v="41"/>
    <n v="49"/>
    <n v="25"/>
    <n v="66"/>
    <n v="10"/>
    <m/>
    <m/>
    <m/>
    <m/>
    <m/>
    <m/>
    <n v="255"/>
    <n v="42.5"/>
  </r>
  <r>
    <x v="2"/>
    <s v="Active"/>
    <s v="Hooghly"/>
    <s v="Saidpur"/>
    <s v="Puja Manna"/>
    <s v="3390311696"/>
    <n v="22453"/>
    <n v="6"/>
    <n v="1800"/>
    <n v="8"/>
    <n v="25"/>
    <n v="28"/>
    <n v="44"/>
    <n v="54"/>
    <n v="1"/>
    <m/>
    <m/>
    <m/>
    <m/>
    <m/>
    <m/>
    <n v="160"/>
    <n v="26.666666666666668"/>
  </r>
  <r>
    <x v="7"/>
    <s v="Active"/>
    <s v="Durgapur"/>
    <s v="Hridaypur"/>
    <s v="Suman Ghosh"/>
    <s v="8116659114"/>
    <n v="29525"/>
    <n v="4"/>
    <n v="1200"/>
    <m/>
    <m/>
    <n v="46"/>
    <n v="114"/>
    <n v="62"/>
    <n v="13"/>
    <m/>
    <m/>
    <m/>
    <m/>
    <m/>
    <m/>
    <n v="235"/>
    <n v="58.75"/>
  </r>
  <r>
    <x v="7"/>
    <s v="Active"/>
    <s v="Durgapur"/>
    <s v="Santipur"/>
    <s v="Partha Dey"/>
    <s v="2430315570"/>
    <n v="29089"/>
    <n v="6"/>
    <n v="1800"/>
    <n v="11"/>
    <n v="27"/>
    <n v="39"/>
    <n v="72"/>
    <n v="47"/>
    <n v="4"/>
    <m/>
    <m/>
    <m/>
    <m/>
    <m/>
    <m/>
    <n v="200"/>
    <n v="33.333333333333336"/>
  </r>
  <r>
    <x v="1"/>
    <s v="Active"/>
    <s v="Hooghly"/>
    <s v="Ghatal"/>
    <s v="Chandan Satik"/>
    <s v="2390311662"/>
    <n v="22400"/>
    <n v="6"/>
    <n v="1800"/>
    <n v="99"/>
    <n v="63"/>
    <n v="35"/>
    <n v="50"/>
    <n v="54"/>
    <n v="17"/>
    <m/>
    <m/>
    <m/>
    <m/>
    <m/>
    <m/>
    <n v="318"/>
    <n v="53"/>
  </r>
  <r>
    <x v="8"/>
    <s v="Active"/>
    <s v="Hooghly"/>
    <s v="Keshapat"/>
    <s v="Subhankar Samanta"/>
    <s v="2380311664"/>
    <n v="22402"/>
    <n v="6"/>
    <n v="1800"/>
    <n v="39"/>
    <n v="39"/>
    <n v="39"/>
    <n v="53"/>
    <n v="36"/>
    <n v="4"/>
    <m/>
    <m/>
    <m/>
    <m/>
    <m/>
    <m/>
    <n v="210"/>
    <n v="35"/>
  </r>
  <r>
    <x v="7"/>
    <s v="Active"/>
    <s v="Durgapur"/>
    <s v="Ranaghat"/>
    <s v="Kishore Bhakta"/>
    <s v="2430315568"/>
    <n v="28482"/>
    <n v="6"/>
    <n v="1800"/>
    <n v="26"/>
    <n v="51"/>
    <n v="29"/>
    <n v="38"/>
    <n v="39"/>
    <n v="8"/>
    <m/>
    <m/>
    <m/>
    <m/>
    <m/>
    <m/>
    <n v="191"/>
    <n v="31.833333333333332"/>
  </r>
  <r>
    <x v="10"/>
    <s v="Inactive"/>
    <s v="Siliguri"/>
    <s v="Buxa Forest Craja"/>
    <s v="Md Khalique Ansari "/>
    <s v="9490315684"/>
    <n v="28825"/>
    <n v="5"/>
    <n v="1500"/>
    <n v="27"/>
    <n v="13"/>
    <n v="3"/>
    <n v="8"/>
    <n v="37"/>
    <m/>
    <m/>
    <m/>
    <m/>
    <m/>
    <m/>
    <m/>
    <n v="88"/>
    <n v="17.600000000000001"/>
  </r>
  <r>
    <x v="7"/>
    <s v="Inactive"/>
    <s v="Durgapur"/>
    <s v="Chakdaha"/>
    <s v="Kiran Biswas"/>
    <s v="2430315343"/>
    <n v="28083"/>
    <n v="5"/>
    <n v="1500"/>
    <n v="105"/>
    <n v="59"/>
    <n v="57"/>
    <n v="68"/>
    <n v="30"/>
    <m/>
    <m/>
    <m/>
    <m/>
    <m/>
    <m/>
    <m/>
    <n v="319"/>
    <n v="63.8"/>
  </r>
  <r>
    <x v="10"/>
    <s v="Inactive"/>
    <s v="Siliguri"/>
    <s v="Barobisha"/>
    <s v="Virendra Narayan Nag"/>
    <s v="8967601707"/>
    <n v="29526"/>
    <n v="3"/>
    <n v="900"/>
    <m/>
    <m/>
    <n v="3"/>
    <n v="11"/>
    <n v="37"/>
    <m/>
    <m/>
    <m/>
    <m/>
    <m/>
    <m/>
    <m/>
    <n v="51"/>
    <n v="17"/>
  </r>
  <r>
    <x v="12"/>
    <s v="Active"/>
    <s v="Siliguri"/>
    <s v="Dhuliyan"/>
    <s v="Md Asraful Hoque"/>
    <s v="2410313985"/>
    <n v="25557"/>
    <n v="6"/>
    <n v="1800"/>
    <n v="34"/>
    <n v="65"/>
    <n v="38"/>
    <n v="137"/>
    <n v="49"/>
    <n v="46"/>
    <m/>
    <m/>
    <m/>
    <m/>
    <m/>
    <m/>
    <n v="369"/>
    <n v="61.5"/>
  </r>
  <r>
    <x v="8"/>
    <s v="Active"/>
    <s v="Hooghly"/>
    <s v="Contai"/>
    <s v="Subhankar Sahoo"/>
    <s v="2380314983"/>
    <n v="27249"/>
    <n v="6"/>
    <n v="1800"/>
    <n v="30"/>
    <n v="14"/>
    <n v="6"/>
    <n v="22"/>
    <n v="21"/>
    <n v="13"/>
    <m/>
    <m/>
    <m/>
    <m/>
    <m/>
    <m/>
    <n v="106"/>
    <n v="17.666666666666668"/>
  </r>
  <r>
    <x v="2"/>
    <s v="Active"/>
    <s v="Hooghly"/>
    <s v="Dasghara"/>
    <s v="Sabir Amed"/>
    <s v="3390312282"/>
    <n v="23214"/>
    <n v="6"/>
    <n v="1800"/>
    <n v="21"/>
    <n v="18"/>
    <n v="13"/>
    <n v="28"/>
    <n v="26"/>
    <n v="6"/>
    <m/>
    <m/>
    <m/>
    <m/>
    <m/>
    <m/>
    <n v="112"/>
    <n v="18.666666666666668"/>
  </r>
  <r>
    <x v="8"/>
    <s v="Active"/>
    <s v="Hooghly"/>
    <s v="Tamluk"/>
    <s v="Soumen Baichar"/>
    <s v="2390314474"/>
    <n v="26530"/>
    <n v="6"/>
    <n v="1800"/>
    <n v="40"/>
    <n v="45"/>
    <n v="35"/>
    <n v="38"/>
    <n v="17"/>
    <n v="8"/>
    <m/>
    <m/>
    <m/>
    <m/>
    <m/>
    <m/>
    <n v="183"/>
    <n v="30.5"/>
  </r>
  <r>
    <x v="7"/>
    <s v="Inactive"/>
    <s v="Durgapur"/>
    <s v="Santipur"/>
    <s v="Dipanwita Das"/>
    <s v="2430315569"/>
    <n v="28483"/>
    <n v="5"/>
    <n v="1500"/>
    <n v="5"/>
    <n v="3"/>
    <n v="28"/>
    <n v="21"/>
    <n v="23"/>
    <m/>
    <m/>
    <m/>
    <m/>
    <m/>
    <m/>
    <m/>
    <n v="80"/>
    <n v="16"/>
  </r>
  <r>
    <x v="10"/>
    <s v="Active"/>
    <s v="Siliguri"/>
    <s v="Ethelbari"/>
    <s v="Tarif Baxla"/>
    <s v="8410316211"/>
    <n v="29798"/>
    <n v="2"/>
    <n v="600"/>
    <m/>
    <m/>
    <m/>
    <m/>
    <n v="10"/>
    <n v="1"/>
    <m/>
    <m/>
    <m/>
    <m/>
    <m/>
    <m/>
    <m/>
    <n v="0"/>
  </r>
  <r>
    <x v="8"/>
    <s v="Active"/>
    <s v="Hooghly"/>
    <s v="Panskura"/>
    <s v="Prasanta Ghorai"/>
    <s v="9635383167"/>
    <n v="29527"/>
    <n v="4"/>
    <n v="1200"/>
    <m/>
    <m/>
    <n v="11"/>
    <n v="9"/>
    <n v="7"/>
    <n v="3"/>
    <m/>
    <m/>
    <m/>
    <m/>
    <m/>
    <m/>
    <n v="30"/>
    <m/>
  </r>
  <r>
    <x v="2"/>
    <s v="Active"/>
    <s v="Hooghly"/>
    <s v="Mayapur"/>
    <s v="Ruma Rana"/>
    <s v="8410316172"/>
    <n v="29749"/>
    <n v="1"/>
    <n v="300"/>
    <m/>
    <m/>
    <m/>
    <m/>
    <m/>
    <n v="2"/>
    <m/>
    <m/>
    <m/>
    <m/>
    <m/>
    <m/>
    <m/>
    <n v="0"/>
  </r>
  <r>
    <x v="10"/>
    <s v="Inactive"/>
    <s v="Siliguri"/>
    <s v="Buxa Forest Craja"/>
    <s v="Pankaj Tiwari"/>
    <s v="9490310077"/>
    <n v="20503"/>
    <n v="4"/>
    <n v="1200"/>
    <m/>
    <n v="4"/>
    <n v="5"/>
    <n v="11"/>
    <n v="11"/>
    <m/>
    <m/>
    <m/>
    <m/>
    <m/>
    <m/>
    <m/>
    <n v="31"/>
    <n v="7.75"/>
  </r>
  <r>
    <x v="3"/>
    <s v="Inactive"/>
    <s v="Siliguri"/>
    <s v="Lohapur"/>
    <s v="Suraj Fulmali"/>
    <s v="0140311327"/>
    <n v="27437"/>
    <n v="2"/>
    <n v="600"/>
    <n v="12"/>
    <m/>
    <m/>
    <m/>
    <n v="5"/>
    <m/>
    <m/>
    <m/>
    <m/>
    <m/>
    <m/>
    <m/>
    <n v="17"/>
    <n v="8.5"/>
  </r>
  <r>
    <x v="9"/>
    <s v="Inactive"/>
    <s v="Durgapur"/>
    <s v="Patrasayer"/>
    <s v="Manorama Chakraborty Roy "/>
    <s v="2160315496"/>
    <n v="28305"/>
    <n v="4"/>
    <n v="1200"/>
    <n v="11"/>
    <n v="9"/>
    <m/>
    <n v="8"/>
    <n v="4"/>
    <m/>
    <m/>
    <m/>
    <m/>
    <m/>
    <m/>
    <m/>
    <n v="32"/>
    <n v="8"/>
  </r>
  <r>
    <x v="7"/>
    <s v="Inactive"/>
    <s v="Durgapur"/>
    <s v="Badkulla"/>
    <s v="Amit Sikder"/>
    <s v="2430315185"/>
    <n v="27731"/>
    <n v="2"/>
    <n v="600"/>
    <n v="78"/>
    <n v="71"/>
    <m/>
    <m/>
    <m/>
    <m/>
    <m/>
    <m/>
    <m/>
    <m/>
    <m/>
    <m/>
    <n v="149"/>
    <n v="74.5"/>
  </r>
  <r>
    <x v="7"/>
    <s v="Inactive"/>
    <s v="Durgapur"/>
    <s v="Hridaypur"/>
    <s v="Asim Halder"/>
    <s v="2430315807"/>
    <n v="29052"/>
    <n v="3"/>
    <n v="900"/>
    <n v="7"/>
    <n v="6"/>
    <n v="1"/>
    <m/>
    <m/>
    <m/>
    <m/>
    <m/>
    <m/>
    <m/>
    <m/>
    <m/>
    <n v="14"/>
    <n v="4.666666666666667"/>
  </r>
  <r>
    <x v="7"/>
    <s v="Inactive"/>
    <s v="Durgapur"/>
    <s v="Hridaypur"/>
    <s v="Nitish Mondal"/>
    <s v="8942919438"/>
    <n v="29524"/>
    <n v="1"/>
    <n v="300"/>
    <m/>
    <m/>
    <m/>
    <n v="4"/>
    <m/>
    <m/>
    <m/>
    <m/>
    <m/>
    <m/>
    <m/>
    <m/>
    <n v="4"/>
    <n v="4"/>
  </r>
  <r>
    <x v="9"/>
    <s v="Inactive"/>
    <s v="Durgapur"/>
    <s v="Kotulpur"/>
    <s v="Sayan Dutta"/>
    <s v="2160315608"/>
    <n v="28601"/>
    <n v="1"/>
    <n v="300"/>
    <m/>
    <n v="4"/>
    <m/>
    <m/>
    <m/>
    <m/>
    <m/>
    <m/>
    <m/>
    <m/>
    <m/>
    <m/>
    <n v="4"/>
    <n v="4"/>
  </r>
  <r>
    <x v="2"/>
    <s v="Active"/>
    <s v="Hooghly"/>
    <s v="Batanal"/>
    <s v="Chaitali Shit Malik"/>
    <s v="3390311948"/>
    <n v="22775"/>
    <n v="1"/>
    <n v="300"/>
    <m/>
    <m/>
    <n v="2"/>
    <m/>
    <m/>
    <m/>
    <m/>
    <m/>
    <m/>
    <m/>
    <m/>
    <m/>
    <n v="2"/>
    <n v="0"/>
  </r>
  <r>
    <x v="9"/>
    <s v="Inactive"/>
    <s v="Durgapur"/>
    <s v="Layekbandh"/>
    <s v="Debasis Dey"/>
    <s v="2160315158"/>
    <n v="27632"/>
    <n v="0"/>
    <n v="0"/>
    <m/>
    <m/>
    <m/>
    <m/>
    <m/>
    <m/>
    <m/>
    <m/>
    <m/>
    <m/>
    <m/>
    <m/>
    <m/>
    <n v="0"/>
  </r>
  <r>
    <x v="8"/>
    <s v="Inactive"/>
    <s v="Hooghly"/>
    <s v="Contai"/>
    <s v="Sulekha Das"/>
    <s v="2380314986"/>
    <n v="27252"/>
    <n v="0"/>
    <n v="0"/>
    <m/>
    <m/>
    <m/>
    <m/>
    <m/>
    <m/>
    <m/>
    <m/>
    <m/>
    <m/>
    <m/>
    <m/>
    <m/>
    <n v="0"/>
  </r>
  <r>
    <x v="7"/>
    <s v="Inactive"/>
    <s v="Durgapur"/>
    <s v="Hridaypur"/>
    <s v="Saiful Sekh"/>
    <s v="2430314735"/>
    <n v="26881"/>
    <n v="0"/>
    <n v="0"/>
    <m/>
    <m/>
    <m/>
    <m/>
    <m/>
    <m/>
    <m/>
    <m/>
    <m/>
    <m/>
    <m/>
    <m/>
    <m/>
    <n v="0"/>
  </r>
  <r>
    <x v="8"/>
    <s v="Inactive"/>
    <s v="Hooghly"/>
    <s v="Contai"/>
    <s v="Narayan Ojha"/>
    <s v="2380314459"/>
    <n v="26507"/>
    <n v="0"/>
    <n v="0"/>
    <m/>
    <m/>
    <m/>
    <m/>
    <m/>
    <m/>
    <m/>
    <m/>
    <m/>
    <m/>
    <m/>
    <m/>
    <m/>
    <n v="0"/>
  </r>
  <r>
    <x v="2"/>
    <s v="Inactive"/>
    <s v="Hooghly"/>
    <s v="Arambagh"/>
    <s v="Sk Momin Uddin"/>
    <s v="3390313207"/>
    <n v="24527"/>
    <n v="0"/>
    <n v="0"/>
    <m/>
    <m/>
    <m/>
    <m/>
    <m/>
    <m/>
    <m/>
    <m/>
    <m/>
    <m/>
    <m/>
    <m/>
    <m/>
    <n v="0"/>
  </r>
  <r>
    <x v="2"/>
    <s v="Inactive"/>
    <s v="Hooghly"/>
    <s v="Mangrul"/>
    <s v="Prasenjit Ghosh"/>
    <s v="2390311944"/>
    <n v="22771"/>
    <n v="0"/>
    <n v="0"/>
    <m/>
    <m/>
    <m/>
    <m/>
    <m/>
    <m/>
    <m/>
    <m/>
    <m/>
    <m/>
    <m/>
    <m/>
    <m/>
    <e v="#DIV/0!"/>
  </r>
  <r>
    <x v="3"/>
    <s v="Inactive"/>
    <s v="Siliguri"/>
    <s v="Mangaldihi"/>
    <s v="Swarup Sadhu"/>
    <s v="0140311670"/>
    <n v="22424"/>
    <n v="0"/>
    <n v="0"/>
    <m/>
    <m/>
    <m/>
    <m/>
    <m/>
    <m/>
    <m/>
    <m/>
    <m/>
    <m/>
    <m/>
    <m/>
    <m/>
    <e v="#DIV/0!"/>
  </r>
  <r>
    <x v="3"/>
    <s v="Inactive"/>
    <s v="Siliguri"/>
    <s v="Koytha"/>
    <s v="Tamarul Sk"/>
    <s v="0140311624"/>
    <n v="22361"/>
    <n v="0"/>
    <n v="0"/>
    <m/>
    <m/>
    <m/>
    <m/>
    <m/>
    <m/>
    <m/>
    <m/>
    <m/>
    <m/>
    <m/>
    <m/>
    <m/>
    <n v="0"/>
  </r>
  <r>
    <x v="10"/>
    <s v="Inactive"/>
    <s v="Siliguri"/>
    <s v="Maynaguri"/>
    <s v="Biswajit Roy"/>
    <s v="2310311260"/>
    <n v="21929"/>
    <n v="0"/>
    <n v="0"/>
    <m/>
    <m/>
    <m/>
    <m/>
    <m/>
    <m/>
    <m/>
    <m/>
    <m/>
    <m/>
    <m/>
    <m/>
    <m/>
    <n v="0"/>
  </r>
  <r>
    <x v="2"/>
    <s v="Inactive"/>
    <s v="Hooghly"/>
    <s v="Mayapur"/>
    <s v="Falguni Samanta"/>
    <s v="3390311256"/>
    <n v="21925"/>
    <n v="0"/>
    <n v="0"/>
    <m/>
    <m/>
    <m/>
    <m/>
    <m/>
    <m/>
    <m/>
    <m/>
    <m/>
    <m/>
    <m/>
    <m/>
    <m/>
    <n v="0"/>
  </r>
  <r>
    <x v="3"/>
    <s v="Inactive"/>
    <s v="Siliguri"/>
    <s v="Mangaldihi"/>
    <s v="Sk Khairul Hossain"/>
    <s v="0140310490"/>
    <n v="20983"/>
    <n v="0"/>
    <n v="0"/>
    <m/>
    <m/>
    <m/>
    <m/>
    <m/>
    <m/>
    <m/>
    <m/>
    <m/>
    <m/>
    <m/>
    <m/>
    <m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Active"/>
    <x v="0"/>
    <s v="Guiadaha"/>
    <s v="Munmun Chakraborty"/>
    <s v="2390312218"/>
    <n v="23142"/>
    <x v="0"/>
    <n v="6"/>
    <n v="144"/>
    <n v="18"/>
    <n v="8"/>
    <n v="8"/>
    <n v="23"/>
    <n v="36"/>
    <n v="2"/>
    <m/>
    <m/>
    <m/>
    <m/>
    <m/>
    <m/>
    <n v="95"/>
    <n v="15.833333333333334"/>
  </r>
  <r>
    <x v="0"/>
    <s v="Active"/>
    <x v="0"/>
    <s v="Nayabasat"/>
    <s v="Mousumi Chanda Dey"/>
    <s v="2390315855"/>
    <n v="29123"/>
    <x v="0"/>
    <n v="6"/>
    <n v="144"/>
    <n v="9"/>
    <n v="38"/>
    <n v="8"/>
    <n v="34"/>
    <n v="31"/>
    <n v="13"/>
    <m/>
    <m/>
    <m/>
    <m/>
    <m/>
    <m/>
    <n v="133"/>
    <n v="22.166666666666668"/>
  </r>
  <r>
    <x v="1"/>
    <s v="Active"/>
    <x v="0"/>
    <s v="Jirat"/>
    <s v="Sahadeb Chakraborty"/>
    <s v="3390314204"/>
    <n v="26084"/>
    <x v="1"/>
    <n v="6"/>
    <n v="144"/>
    <n v="33"/>
    <n v="57"/>
    <n v="47"/>
    <n v="45"/>
    <n v="30"/>
    <n v="5"/>
    <m/>
    <m/>
    <m/>
    <m/>
    <m/>
    <m/>
    <n v="217"/>
    <n v="36.166666666666664"/>
  </r>
  <r>
    <x v="2"/>
    <s v="Active"/>
    <x v="1"/>
    <s v="Anara"/>
    <s v="Biswajit Majee"/>
    <s v="2460314961"/>
    <n v="27219"/>
    <x v="2"/>
    <n v="6"/>
    <n v="144"/>
    <n v="38"/>
    <n v="38"/>
    <n v="16"/>
    <n v="17"/>
    <n v="30"/>
    <n v="4"/>
    <m/>
    <m/>
    <m/>
    <m/>
    <m/>
    <m/>
    <n v="143"/>
    <n v="23.833333333333332"/>
  </r>
  <r>
    <x v="3"/>
    <s v="Active"/>
    <x v="1"/>
    <s v="Hridaypur"/>
    <s v="Injamul Rahaman "/>
    <s v="2430314512"/>
    <n v="26588"/>
    <x v="2"/>
    <n v="6"/>
    <n v="144"/>
    <n v="20"/>
    <n v="86"/>
    <n v="33"/>
    <n v="50"/>
    <n v="29"/>
    <n v="3"/>
    <m/>
    <m/>
    <m/>
    <m/>
    <m/>
    <m/>
    <n v="221"/>
    <n v="36.833333333333336"/>
  </r>
  <r>
    <x v="4"/>
    <s v="Active"/>
    <x v="2"/>
    <s v="Damanpur"/>
    <s v="Biplab Barman"/>
    <s v="9490310566"/>
    <n v="21091"/>
    <x v="3"/>
    <n v="6"/>
    <n v="144"/>
    <n v="31"/>
    <n v="43"/>
    <n v="30"/>
    <n v="33"/>
    <n v="25"/>
    <n v="2"/>
    <m/>
    <m/>
    <m/>
    <m/>
    <m/>
    <m/>
    <n v="164"/>
    <n v="27.333333333333332"/>
  </r>
  <r>
    <x v="1"/>
    <s v="Active"/>
    <x v="0"/>
    <s v="Rajhati"/>
    <s v="Arnnapurna Maji"/>
    <s v="3390311610"/>
    <n v="22346"/>
    <x v="4"/>
    <n v="6"/>
    <n v="144"/>
    <n v="13"/>
    <n v="60"/>
    <n v="26"/>
    <n v="28"/>
    <n v="25"/>
    <n v="1"/>
    <m/>
    <m/>
    <m/>
    <m/>
    <m/>
    <m/>
    <n v="153"/>
    <n v="25.5"/>
  </r>
  <r>
    <x v="0"/>
    <s v="Active"/>
    <x v="0"/>
    <s v="Palaschabrighat"/>
    <s v="Asima Bhunia"/>
    <s v="2390311420"/>
    <n v="22126"/>
    <x v="5"/>
    <n v="6"/>
    <n v="144"/>
    <n v="2"/>
    <n v="6"/>
    <n v="13"/>
    <n v="3"/>
    <n v="24"/>
    <m/>
    <m/>
    <m/>
    <m/>
    <m/>
    <m/>
    <m/>
    <n v="48"/>
    <n v="8"/>
  </r>
  <r>
    <x v="5"/>
    <s v="Active"/>
    <x v="1"/>
    <s v="Kushodanga"/>
    <s v="Priti Das"/>
    <s v="3390315408"/>
    <n v="28176"/>
    <x v="6"/>
    <n v="6"/>
    <n v="144"/>
    <n v="3"/>
    <n v="15"/>
    <n v="15"/>
    <n v="12"/>
    <n v="21"/>
    <n v="3"/>
    <m/>
    <m/>
    <m/>
    <m/>
    <m/>
    <m/>
    <n v="69"/>
    <n v="11.5"/>
  </r>
  <r>
    <x v="6"/>
    <s v="Active"/>
    <x v="2"/>
    <s v="Sagardighi Square"/>
    <s v="Rajani Roy"/>
    <s v="2200310076"/>
    <n v="20502"/>
    <x v="3"/>
    <n v="6"/>
    <n v="144"/>
    <n v="21"/>
    <n v="22"/>
    <n v="17"/>
    <n v="63"/>
    <n v="21"/>
    <n v="1"/>
    <m/>
    <m/>
    <m/>
    <m/>
    <m/>
    <m/>
    <n v="145"/>
    <n v="24.166666666666668"/>
  </r>
  <r>
    <x v="3"/>
    <s v="Active"/>
    <x v="1"/>
    <s v="Haringhata"/>
    <s v="Eyakub Mondal"/>
    <s v="2430315345"/>
    <n v="28085"/>
    <x v="2"/>
    <n v="6"/>
    <n v="144"/>
    <n v="17"/>
    <n v="158"/>
    <n v="25"/>
    <n v="58"/>
    <n v="20"/>
    <n v="2"/>
    <m/>
    <m/>
    <m/>
    <m/>
    <m/>
    <m/>
    <n v="280"/>
    <n v="46.666666666666664"/>
  </r>
  <r>
    <x v="7"/>
    <s v="Active"/>
    <x v="2"/>
    <s v="Dhuliyan"/>
    <s v="Md Asraful Hoque"/>
    <s v="2410313985"/>
    <n v="25557"/>
    <x v="7"/>
    <n v="6"/>
    <n v="144"/>
    <n v="21"/>
    <n v="41"/>
    <n v="16"/>
    <n v="25"/>
    <n v="19"/>
    <n v="7"/>
    <m/>
    <m/>
    <m/>
    <m/>
    <m/>
    <m/>
    <n v="129"/>
    <n v="21.5"/>
  </r>
  <r>
    <x v="0"/>
    <s v="Active"/>
    <x v="0"/>
    <s v="Binpur"/>
    <s v="Debika Singha Patra"/>
    <s v="2390311962"/>
    <n v="22789"/>
    <x v="5"/>
    <n v="6"/>
    <n v="144"/>
    <n v="3"/>
    <n v="15"/>
    <n v="27"/>
    <n v="23"/>
    <n v="19"/>
    <n v="5"/>
    <m/>
    <m/>
    <m/>
    <m/>
    <m/>
    <m/>
    <n v="92"/>
    <n v="15.333333333333334"/>
  </r>
  <r>
    <x v="4"/>
    <s v="Active"/>
    <x v="2"/>
    <s v="Barobisha"/>
    <s v="Md Akimuzzaman"/>
    <s v="2310315481"/>
    <n v="28270"/>
    <x v="3"/>
    <n v="6"/>
    <n v="144"/>
    <n v="8"/>
    <n v="13"/>
    <n v="23"/>
    <n v="21"/>
    <n v="17"/>
    <n v="4"/>
    <m/>
    <m/>
    <m/>
    <m/>
    <m/>
    <m/>
    <n v="86"/>
    <n v="14.333333333333334"/>
  </r>
  <r>
    <x v="1"/>
    <s v="Active"/>
    <x v="0"/>
    <s v="Rajhati"/>
    <s v="Santanu Ghosh"/>
    <s v="3390314383"/>
    <n v="26399"/>
    <x v="1"/>
    <n v="6"/>
    <n v="144"/>
    <n v="12"/>
    <n v="30"/>
    <n v="26"/>
    <n v="30"/>
    <n v="17"/>
    <n v="4"/>
    <m/>
    <m/>
    <m/>
    <m/>
    <m/>
    <m/>
    <n v="119"/>
    <n v="19.833333333333332"/>
  </r>
  <r>
    <x v="6"/>
    <s v="Active"/>
    <x v="2"/>
    <s v="Sagardighi Square"/>
    <s v="Ajit Modak"/>
    <s v="2200309916"/>
    <n v="20322"/>
    <x v="0"/>
    <n v="6"/>
    <n v="144"/>
    <n v="1"/>
    <n v="2"/>
    <n v="4"/>
    <n v="10"/>
    <n v="15"/>
    <m/>
    <m/>
    <m/>
    <m/>
    <m/>
    <m/>
    <m/>
    <n v="32"/>
    <n v="5.333333333333333"/>
  </r>
  <r>
    <x v="0"/>
    <s v="Active"/>
    <x v="0"/>
    <s v="Jhargram"/>
    <s v="Sk Imran"/>
    <s v="2390311695"/>
    <n v="22452"/>
    <x v="3"/>
    <n v="6"/>
    <n v="144"/>
    <n v="8"/>
    <n v="21"/>
    <n v="22"/>
    <n v="15"/>
    <n v="13"/>
    <n v="5"/>
    <m/>
    <m/>
    <m/>
    <m/>
    <m/>
    <m/>
    <n v="84"/>
    <n v="14"/>
  </r>
  <r>
    <x v="1"/>
    <s v="Active"/>
    <x v="0"/>
    <s v="Sahapur"/>
    <s v="Bishal Maity"/>
    <s v="3390312548"/>
    <n v="23565"/>
    <x v="3"/>
    <n v="6"/>
    <n v="144"/>
    <n v="4"/>
    <n v="11"/>
    <n v="10"/>
    <n v="7"/>
    <n v="13"/>
    <n v="4"/>
    <m/>
    <m/>
    <m/>
    <m/>
    <m/>
    <m/>
    <n v="49"/>
    <n v="8.1666666666666661"/>
  </r>
  <r>
    <x v="5"/>
    <s v="Active"/>
    <x v="1"/>
    <s v="Patuli"/>
    <s v="Satyajit Kar"/>
    <s v="3390314928"/>
    <n v="27154"/>
    <x v="0"/>
    <n v="6"/>
    <n v="144"/>
    <n v="8"/>
    <n v="30"/>
    <n v="23"/>
    <n v="6"/>
    <n v="13"/>
    <n v="4"/>
    <m/>
    <m/>
    <m/>
    <m/>
    <m/>
    <m/>
    <n v="84"/>
    <n v="14"/>
  </r>
  <r>
    <x v="6"/>
    <s v="Active"/>
    <x v="2"/>
    <s v="Sagardighi Square"/>
    <s v="Khurshid Alom "/>
    <s v="2200311941"/>
    <n v="22768"/>
    <x v="7"/>
    <n v="6"/>
    <n v="144"/>
    <n v="3"/>
    <n v="1"/>
    <n v="8"/>
    <n v="18"/>
    <n v="13"/>
    <n v="1"/>
    <m/>
    <m/>
    <m/>
    <m/>
    <m/>
    <m/>
    <n v="44"/>
    <n v="7.333333333333333"/>
  </r>
  <r>
    <x v="8"/>
    <s v="Active"/>
    <x v="2"/>
    <s v="Kapista"/>
    <s v="Swarup Karmakar"/>
    <s v="0140311629"/>
    <n v="22366"/>
    <x v="2"/>
    <n v="6"/>
    <n v="144"/>
    <n v="6"/>
    <n v="4"/>
    <n v="20"/>
    <n v="15"/>
    <n v="12"/>
    <n v="5"/>
    <m/>
    <m/>
    <m/>
    <m/>
    <m/>
    <m/>
    <n v="62"/>
    <n v="10.333333333333334"/>
  </r>
  <r>
    <x v="0"/>
    <s v="Active"/>
    <x v="0"/>
    <s v="Khirpai"/>
    <s v="Sk Abbas Ali"/>
    <s v="2390311378"/>
    <n v="22073"/>
    <x v="6"/>
    <n v="6"/>
    <n v="144"/>
    <n v="8"/>
    <n v="22"/>
    <n v="14"/>
    <n v="13"/>
    <n v="12"/>
    <n v="1"/>
    <m/>
    <m/>
    <m/>
    <m/>
    <m/>
    <m/>
    <n v="70"/>
    <n v="11.666666666666666"/>
  </r>
  <r>
    <x v="3"/>
    <s v="Active"/>
    <x v="1"/>
    <s v="Santipur"/>
    <s v="Sahabul Mandal"/>
    <s v="2430315156"/>
    <n v="27630"/>
    <x v="1"/>
    <n v="6"/>
    <n v="144"/>
    <n v="2"/>
    <n v="7"/>
    <n v="13"/>
    <n v="30"/>
    <n v="11"/>
    <n v="2"/>
    <m/>
    <m/>
    <m/>
    <m/>
    <m/>
    <m/>
    <n v="65"/>
    <n v="10.833333333333334"/>
  </r>
  <r>
    <x v="8"/>
    <s v="Active"/>
    <x v="2"/>
    <s v="Paikar"/>
    <s v="Saheb Sk"/>
    <s v="0140311324"/>
    <n v="21999"/>
    <x v="6"/>
    <n v="6"/>
    <n v="144"/>
    <n v="16"/>
    <n v="17"/>
    <n v="13"/>
    <n v="5"/>
    <n v="11"/>
    <n v="1"/>
    <m/>
    <m/>
    <m/>
    <m/>
    <m/>
    <m/>
    <n v="63"/>
    <n v="10.5"/>
  </r>
  <r>
    <x v="2"/>
    <s v="Active"/>
    <x v="1"/>
    <s v="Patrasayer"/>
    <s v="Satish Ankure"/>
    <s v="2160314679"/>
    <n v="26810"/>
    <x v="2"/>
    <n v="6"/>
    <n v="144"/>
    <n v="2"/>
    <n v="1"/>
    <n v="1"/>
    <m/>
    <n v="11"/>
    <m/>
    <m/>
    <m/>
    <m/>
    <m/>
    <m/>
    <m/>
    <n v="15"/>
    <n v="2.5"/>
  </r>
  <r>
    <x v="3"/>
    <s v="Inactive"/>
    <x v="1"/>
    <s v="Santipur"/>
    <s v="Dipanwita Das"/>
    <s v="2430315569"/>
    <n v="28483"/>
    <x v="7"/>
    <n v="5"/>
    <n v="120"/>
    <n v="1"/>
    <m/>
    <n v="16"/>
    <n v="6"/>
    <n v="10"/>
    <n v="3"/>
    <m/>
    <m/>
    <m/>
    <m/>
    <m/>
    <m/>
    <n v="36"/>
    <n v="7.2"/>
  </r>
  <r>
    <x v="9"/>
    <s v="Active"/>
    <x v="2"/>
    <s v="Raiganj"/>
    <s v="Joydev Das"/>
    <s v="2560315042"/>
    <n v="27372"/>
    <x v="3"/>
    <n v="6"/>
    <n v="144"/>
    <n v="10"/>
    <n v="18"/>
    <n v="7"/>
    <n v="8"/>
    <n v="10"/>
    <n v="1"/>
    <m/>
    <m/>
    <m/>
    <m/>
    <m/>
    <m/>
    <n v="54"/>
    <n v="9"/>
  </r>
  <r>
    <x v="3"/>
    <s v="Active"/>
    <x v="1"/>
    <s v="Hridaypur"/>
    <s v="Suman Ghosh"/>
    <s v="8116659114"/>
    <n v="29525"/>
    <x v="7"/>
    <n v="4"/>
    <n v="96"/>
    <m/>
    <m/>
    <n v="16"/>
    <n v="28"/>
    <n v="10"/>
    <m/>
    <m/>
    <m/>
    <m/>
    <m/>
    <m/>
    <m/>
    <n v="54"/>
    <m/>
  </r>
  <r>
    <x v="4"/>
    <s v="Active"/>
    <x v="2"/>
    <s v="Barobisha"/>
    <s v="Sankar Arya"/>
    <s v="2200315639"/>
    <n v="28692"/>
    <x v="7"/>
    <n v="6"/>
    <n v="144"/>
    <n v="4"/>
    <n v="2"/>
    <n v="11"/>
    <n v="5"/>
    <n v="9"/>
    <n v="1"/>
    <m/>
    <m/>
    <m/>
    <m/>
    <m/>
    <m/>
    <n v="32"/>
    <n v="5.333333333333333"/>
  </r>
  <r>
    <x v="0"/>
    <s v="Active"/>
    <x v="0"/>
    <s v="Ghatal"/>
    <s v="Chandan Satik"/>
    <s v="2390311662"/>
    <n v="22400"/>
    <x v="7"/>
    <n v="6"/>
    <n v="144"/>
    <n v="3"/>
    <n v="2"/>
    <n v="10"/>
    <n v="12"/>
    <n v="9"/>
    <m/>
    <m/>
    <m/>
    <m/>
    <m/>
    <m/>
    <m/>
    <n v="36"/>
    <n v="6"/>
  </r>
  <r>
    <x v="4"/>
    <s v="Inactive"/>
    <x v="2"/>
    <s v="Barobisha"/>
    <s v="Virendra Narayan Nag"/>
    <s v="8967601707"/>
    <n v="29526"/>
    <x v="7"/>
    <n v="3"/>
    <n v="72"/>
    <m/>
    <m/>
    <n v="2"/>
    <n v="8"/>
    <n v="9"/>
    <m/>
    <m/>
    <m/>
    <m/>
    <m/>
    <m/>
    <m/>
    <n v="19"/>
    <m/>
  </r>
  <r>
    <x v="2"/>
    <s v="Active"/>
    <x v="1"/>
    <s v="Jhantipahari"/>
    <s v="Asish Kumar Mandal"/>
    <s v="2160314962"/>
    <n v="27220"/>
    <x v="2"/>
    <n v="6"/>
    <n v="144"/>
    <n v="14"/>
    <n v="23"/>
    <n v="8"/>
    <n v="10"/>
    <n v="8"/>
    <n v="2"/>
    <m/>
    <m/>
    <m/>
    <m/>
    <m/>
    <m/>
    <n v="65"/>
    <n v="10.833333333333334"/>
  </r>
  <r>
    <x v="5"/>
    <s v="Active"/>
    <x v="1"/>
    <s v="Kushodanga"/>
    <s v="Rumpa Pal Mondal"/>
    <s v="3390315402"/>
    <n v="28170"/>
    <x v="2"/>
    <n v="6"/>
    <n v="144"/>
    <n v="1"/>
    <n v="6"/>
    <n v="4"/>
    <n v="10"/>
    <n v="8"/>
    <n v="1"/>
    <m/>
    <m/>
    <m/>
    <m/>
    <m/>
    <m/>
    <n v="30"/>
    <n v="5"/>
  </r>
  <r>
    <x v="3"/>
    <s v="Active"/>
    <x v="1"/>
    <s v="Badkulla"/>
    <s v="Swapan Kumar Biswas"/>
    <s v="2430315186"/>
    <n v="27732"/>
    <x v="3"/>
    <n v="6"/>
    <n v="144"/>
    <n v="4"/>
    <n v="13"/>
    <n v="2"/>
    <n v="7"/>
    <n v="8"/>
    <m/>
    <m/>
    <m/>
    <m/>
    <m/>
    <m/>
    <m/>
    <n v="34"/>
    <n v="5.666666666666667"/>
  </r>
  <r>
    <x v="3"/>
    <s v="Active"/>
    <x v="1"/>
    <s v="Santipur"/>
    <s v="Najmira Khatun"/>
    <s v="2430315335"/>
    <n v="28075"/>
    <x v="7"/>
    <n v="6"/>
    <n v="144"/>
    <m/>
    <m/>
    <n v="1"/>
    <n v="2"/>
    <n v="6"/>
    <n v="3"/>
    <m/>
    <m/>
    <m/>
    <m/>
    <m/>
    <m/>
    <n v="12"/>
    <n v="2"/>
  </r>
  <r>
    <x v="0"/>
    <s v="Active"/>
    <x v="0"/>
    <s v="Nayabasat"/>
    <s v="Soumya Ghosh"/>
    <s v="2390314387"/>
    <n v="26403"/>
    <x v="3"/>
    <n v="6"/>
    <n v="144"/>
    <n v="2"/>
    <n v="3"/>
    <n v="2"/>
    <n v="3"/>
    <n v="6"/>
    <n v="2"/>
    <m/>
    <m/>
    <m/>
    <m/>
    <m/>
    <m/>
    <n v="18"/>
    <n v="3"/>
  </r>
  <r>
    <x v="4"/>
    <s v="Inactive"/>
    <x v="2"/>
    <s v="Buxa Forest Craja"/>
    <s v="Pankaj Tiwari"/>
    <s v="9490310077"/>
    <n v="20503"/>
    <x v="7"/>
    <n v="4"/>
    <n v="96"/>
    <m/>
    <m/>
    <m/>
    <n v="8"/>
    <n v="6"/>
    <n v="1"/>
    <m/>
    <m/>
    <m/>
    <m/>
    <m/>
    <m/>
    <n v="15"/>
    <n v="3.75"/>
  </r>
  <r>
    <x v="7"/>
    <s v="Active"/>
    <x v="2"/>
    <s v="Nabagram"/>
    <s v="Sahabuddin Ahmed"/>
    <s v="2410312329"/>
    <n v="23270"/>
    <x v="3"/>
    <n v="6"/>
    <n v="144"/>
    <n v="1"/>
    <n v="4"/>
    <n v="6"/>
    <n v="8"/>
    <n v="6"/>
    <n v="1"/>
    <m/>
    <m/>
    <m/>
    <m/>
    <m/>
    <m/>
    <n v="26"/>
    <n v="4.333333333333333"/>
  </r>
  <r>
    <x v="10"/>
    <s v="Active"/>
    <x v="2"/>
    <s v="Kanupur"/>
    <s v="Shobhan Majhi"/>
    <s v="2410311257"/>
    <n v="21926"/>
    <x v="3"/>
    <n v="6"/>
    <n v="144"/>
    <m/>
    <n v="3"/>
    <n v="9"/>
    <n v="2"/>
    <n v="6"/>
    <m/>
    <m/>
    <m/>
    <m/>
    <m/>
    <m/>
    <m/>
    <n v="20"/>
    <n v="3.3333333333333335"/>
  </r>
  <r>
    <x v="0"/>
    <s v="Active"/>
    <x v="0"/>
    <s v="Jara"/>
    <s v="Priyanka Biswas"/>
    <s v="2390311424"/>
    <n v="22130"/>
    <x v="2"/>
    <n v="6"/>
    <n v="144"/>
    <n v="1"/>
    <n v="1"/>
    <n v="4"/>
    <n v="5"/>
    <n v="5"/>
    <n v="2"/>
    <m/>
    <m/>
    <m/>
    <m/>
    <m/>
    <m/>
    <n v="18"/>
    <n v="3"/>
  </r>
  <r>
    <x v="3"/>
    <s v="Active"/>
    <x v="1"/>
    <s v="Hidaypur"/>
    <s v="Akramul Shaikh"/>
    <s v="2430315571"/>
    <n v="28485"/>
    <x v="3"/>
    <n v="6"/>
    <n v="144"/>
    <n v="3"/>
    <n v="25"/>
    <n v="9"/>
    <n v="17"/>
    <n v="5"/>
    <m/>
    <m/>
    <m/>
    <m/>
    <m/>
    <m/>
    <m/>
    <n v="59"/>
    <n v="9.8333333333333339"/>
  </r>
  <r>
    <x v="1"/>
    <s v="Active"/>
    <x v="0"/>
    <s v="Khanakul"/>
    <s v="Sahanaj Parvin"/>
    <s v="3390312801"/>
    <n v="23969"/>
    <x v="0"/>
    <n v="6"/>
    <n v="144"/>
    <n v="2"/>
    <n v="3"/>
    <m/>
    <n v="12"/>
    <n v="5"/>
    <m/>
    <m/>
    <m/>
    <m/>
    <m/>
    <m/>
    <m/>
    <n v="22"/>
    <n v="3.6666666666666665"/>
  </r>
  <r>
    <x v="1"/>
    <s v="Active"/>
    <x v="0"/>
    <s v="Dasghara"/>
    <s v="Sabir Amed"/>
    <s v="3390312282"/>
    <n v="23214"/>
    <x v="7"/>
    <n v="6"/>
    <n v="144"/>
    <n v="2"/>
    <n v="2"/>
    <n v="1"/>
    <n v="4"/>
    <n v="5"/>
    <m/>
    <m/>
    <m/>
    <m/>
    <m/>
    <m/>
    <m/>
    <n v="14"/>
    <n v="2.3333333333333335"/>
  </r>
  <r>
    <x v="10"/>
    <s v="Active"/>
    <x v="2"/>
    <s v="Talgachi"/>
    <s v="Giridhari Sarkar"/>
    <s v="2410310083"/>
    <n v="20509"/>
    <x v="1"/>
    <n v="6"/>
    <n v="144"/>
    <n v="2"/>
    <n v="6"/>
    <n v="4"/>
    <n v="14"/>
    <n v="4"/>
    <n v="8"/>
    <m/>
    <m/>
    <m/>
    <m/>
    <m/>
    <m/>
    <n v="38"/>
    <n v="6.333333333333333"/>
  </r>
  <r>
    <x v="0"/>
    <s v="Active"/>
    <x v="0"/>
    <s v="Ramjibanpur"/>
    <s v="Abhijit Modak"/>
    <s v="3390311425"/>
    <n v="22131"/>
    <x v="4"/>
    <n v="6"/>
    <n v="144"/>
    <n v="4"/>
    <n v="20"/>
    <n v="5"/>
    <n v="10"/>
    <n v="4"/>
    <n v="1"/>
    <m/>
    <m/>
    <m/>
    <m/>
    <m/>
    <m/>
    <n v="44"/>
    <n v="7.333333333333333"/>
  </r>
  <r>
    <x v="1"/>
    <s v="Active"/>
    <x v="0"/>
    <s v="Dhanyaghori"/>
    <s v="Pratik Chakraborty"/>
    <s v="3390311946"/>
    <n v="22773"/>
    <x v="0"/>
    <n v="6"/>
    <n v="144"/>
    <n v="4"/>
    <n v="6"/>
    <n v="10"/>
    <n v="9"/>
    <n v="4"/>
    <n v="1"/>
    <m/>
    <m/>
    <m/>
    <m/>
    <m/>
    <m/>
    <n v="34"/>
    <n v="5.666666666666667"/>
  </r>
  <r>
    <x v="1"/>
    <s v="Active"/>
    <x v="0"/>
    <s v="Rajbalhat"/>
    <s v="Dibyendu Bhowmick"/>
    <s v="3390314186"/>
    <n v="26015"/>
    <x v="0"/>
    <n v="6"/>
    <n v="144"/>
    <n v="5"/>
    <n v="11"/>
    <n v="25"/>
    <n v="11"/>
    <n v="4"/>
    <m/>
    <m/>
    <m/>
    <m/>
    <m/>
    <m/>
    <m/>
    <n v="56"/>
    <n v="9.3333333333333339"/>
  </r>
  <r>
    <x v="11"/>
    <s v="Active"/>
    <x v="2"/>
    <s v="Inyathpur"/>
    <s v="Tumpa Poddar"/>
    <s v="2370312246"/>
    <n v="23178"/>
    <x v="0"/>
    <n v="6"/>
    <n v="144"/>
    <n v="8"/>
    <n v="8"/>
    <n v="8"/>
    <n v="16"/>
    <n v="3"/>
    <n v="4"/>
    <m/>
    <m/>
    <m/>
    <m/>
    <m/>
    <m/>
    <n v="47"/>
    <n v="7.833333333333333"/>
  </r>
  <r>
    <x v="11"/>
    <s v="Active"/>
    <x v="2"/>
    <s v="Kaluari"/>
    <s v="Masidur Rahaman"/>
    <s v="2370310973"/>
    <n v="21583"/>
    <x v="6"/>
    <n v="6"/>
    <n v="144"/>
    <m/>
    <n v="14"/>
    <n v="13"/>
    <n v="10"/>
    <n v="3"/>
    <n v="4"/>
    <m/>
    <m/>
    <m/>
    <m/>
    <m/>
    <m/>
    <n v="44"/>
    <n v="7.333333333333333"/>
  </r>
  <r>
    <x v="1"/>
    <s v="Active"/>
    <x v="0"/>
    <s v="Kamarpara"/>
    <s v="Md Mustakim"/>
    <s v="3390312441"/>
    <n v="23433"/>
    <x v="2"/>
    <n v="6"/>
    <n v="144"/>
    <n v="6"/>
    <n v="12"/>
    <n v="15"/>
    <n v="10"/>
    <n v="3"/>
    <n v="1"/>
    <m/>
    <m/>
    <m/>
    <m/>
    <m/>
    <m/>
    <n v="47"/>
    <n v="7.833333333333333"/>
  </r>
  <r>
    <x v="8"/>
    <s v="Active"/>
    <x v="2"/>
    <s v="Mangaldihi"/>
    <s v="Ruma Bagdi"/>
    <s v="0140311670"/>
    <n v="27028"/>
    <x v="0"/>
    <n v="6"/>
    <n v="144"/>
    <n v="2"/>
    <n v="2"/>
    <n v="2"/>
    <n v="3"/>
    <n v="3"/>
    <n v="1"/>
    <m/>
    <m/>
    <m/>
    <m/>
    <m/>
    <m/>
    <n v="13"/>
    <n v="2.1666666666666665"/>
  </r>
  <r>
    <x v="0"/>
    <s v="Active"/>
    <x v="0"/>
    <s v="Kankabati"/>
    <s v="Mita Samanta"/>
    <s v="2390311663"/>
    <n v="22401"/>
    <x v="7"/>
    <n v="6"/>
    <n v="144"/>
    <m/>
    <n v="67"/>
    <n v="8"/>
    <m/>
    <n v="3"/>
    <m/>
    <m/>
    <m/>
    <m/>
    <m/>
    <m/>
    <m/>
    <n v="78"/>
    <n v="13"/>
  </r>
  <r>
    <x v="8"/>
    <s v="Active"/>
    <x v="2"/>
    <s v="Jajigram"/>
    <s v="Mosaraf Sk"/>
    <s v="0140311323"/>
    <n v="21998"/>
    <x v="6"/>
    <n v="6"/>
    <n v="144"/>
    <n v="2"/>
    <n v="1"/>
    <n v="10"/>
    <n v="11"/>
    <n v="3"/>
    <n v="1"/>
    <m/>
    <m/>
    <m/>
    <m/>
    <m/>
    <m/>
    <n v="28"/>
    <n v="4.666666666666667"/>
  </r>
  <r>
    <x v="1"/>
    <s v="Active"/>
    <x v="0"/>
    <s v="Khanakul"/>
    <s v="Susobhan Patra"/>
    <s v="3390312968"/>
    <n v="24153"/>
    <x v="0"/>
    <n v="6"/>
    <n v="144"/>
    <n v="3"/>
    <n v="12"/>
    <n v="4"/>
    <n v="4"/>
    <n v="3"/>
    <m/>
    <m/>
    <m/>
    <m/>
    <m/>
    <m/>
    <m/>
    <n v="26"/>
    <n v="4.333333333333333"/>
  </r>
  <r>
    <x v="1"/>
    <s v="Active"/>
    <x v="0"/>
    <s v="Haripal"/>
    <s v="Sk Nasim Ali"/>
    <s v="3390312613"/>
    <n v="23669"/>
    <x v="0"/>
    <n v="6"/>
    <n v="144"/>
    <n v="3"/>
    <n v="11"/>
    <n v="5"/>
    <n v="2"/>
    <n v="3"/>
    <m/>
    <m/>
    <m/>
    <m/>
    <m/>
    <m/>
    <m/>
    <n v="24"/>
    <n v="4"/>
  </r>
  <r>
    <x v="1"/>
    <s v="Active"/>
    <x v="0"/>
    <s v="Polba"/>
    <s v="Arindam Sadhukhan"/>
    <s v="3390315433"/>
    <n v="28201"/>
    <x v="3"/>
    <n v="6"/>
    <n v="144"/>
    <n v="4"/>
    <n v="3"/>
    <n v="9"/>
    <n v="3"/>
    <n v="3"/>
    <n v="1"/>
    <m/>
    <m/>
    <m/>
    <m/>
    <m/>
    <m/>
    <n v="23"/>
    <n v="3.8333333333333335"/>
  </r>
  <r>
    <x v="0"/>
    <s v="Active"/>
    <x v="0"/>
    <s v="Chandrakona"/>
    <s v="Ananya Maity Bag"/>
    <s v="2390313181"/>
    <n v="24495"/>
    <x v="2"/>
    <n v="6"/>
    <n v="144"/>
    <n v="5"/>
    <n v="4"/>
    <n v="4"/>
    <n v="5"/>
    <n v="3"/>
    <n v="1"/>
    <m/>
    <m/>
    <m/>
    <m/>
    <m/>
    <m/>
    <n v="22"/>
    <n v="3.6666666666666665"/>
  </r>
  <r>
    <x v="12"/>
    <s v="Active"/>
    <x v="0"/>
    <s v="Kolaghat (Ktpps)"/>
    <s v="Sudipta Mandal"/>
    <s v="2380315163"/>
    <n v="27637"/>
    <x v="7"/>
    <n v="6"/>
    <n v="144"/>
    <n v="2"/>
    <n v="2"/>
    <n v="6"/>
    <n v="6"/>
    <n v="3"/>
    <n v="1"/>
    <m/>
    <m/>
    <m/>
    <m/>
    <m/>
    <m/>
    <n v="20"/>
    <n v="3.3333333333333335"/>
  </r>
  <r>
    <x v="0"/>
    <s v="Active"/>
    <x v="0"/>
    <s v="Kharar"/>
    <s v="Pinki Ghosh"/>
    <s v="2390311944"/>
    <n v="29368"/>
    <x v="2"/>
    <n v="6"/>
    <n v="144"/>
    <m/>
    <n v="8"/>
    <n v="5"/>
    <n v="2"/>
    <n v="3"/>
    <m/>
    <m/>
    <m/>
    <m/>
    <m/>
    <m/>
    <m/>
    <n v="18"/>
    <n v="3"/>
  </r>
  <r>
    <x v="0"/>
    <s v="Active"/>
    <x v="0"/>
    <s v="Banka"/>
    <s v="Shampa Mandal"/>
    <s v="2390312439"/>
    <n v="23431"/>
    <x v="3"/>
    <n v="6"/>
    <n v="144"/>
    <n v="1"/>
    <n v="2"/>
    <n v="1"/>
    <n v="4"/>
    <n v="3"/>
    <n v="1"/>
    <m/>
    <m/>
    <m/>
    <m/>
    <m/>
    <m/>
    <n v="12"/>
    <n v="2"/>
  </r>
  <r>
    <x v="3"/>
    <s v="Active"/>
    <x v="1"/>
    <s v="Santipur"/>
    <s v="Partha Dey"/>
    <s v="2430315570"/>
    <n v="29089"/>
    <x v="7"/>
    <n v="6"/>
    <n v="144"/>
    <m/>
    <n v="7"/>
    <n v="4"/>
    <n v="6"/>
    <n v="2"/>
    <n v="1"/>
    <m/>
    <m/>
    <m/>
    <m/>
    <m/>
    <m/>
    <n v="20"/>
    <n v="3.3333333333333335"/>
  </r>
  <r>
    <x v="12"/>
    <s v="Active"/>
    <x v="0"/>
    <s v="Panskura"/>
    <s v="Kartik Maity"/>
    <s v="2380311666"/>
    <n v="22404"/>
    <x v="0"/>
    <n v="6"/>
    <n v="144"/>
    <n v="3"/>
    <n v="10"/>
    <n v="6"/>
    <n v="16"/>
    <n v="2"/>
    <m/>
    <m/>
    <m/>
    <m/>
    <m/>
    <m/>
    <m/>
    <n v="37"/>
    <n v="6.166666666666667"/>
  </r>
  <r>
    <x v="1"/>
    <s v="Active"/>
    <x v="0"/>
    <s v="Kalipur"/>
    <s v="Satyajit Chattopadhyay"/>
    <s v="3390311422"/>
    <n v="22128"/>
    <x v="0"/>
    <n v="6"/>
    <n v="144"/>
    <n v="3"/>
    <n v="20"/>
    <n v="6"/>
    <m/>
    <n v="2"/>
    <m/>
    <m/>
    <m/>
    <m/>
    <m/>
    <m/>
    <m/>
    <n v="31"/>
    <n v="5.166666666666667"/>
  </r>
  <r>
    <x v="0"/>
    <s v="Active"/>
    <x v="0"/>
    <s v="Khirpai"/>
    <s v="Reshma Khatun"/>
    <s v="2390314453"/>
    <n v="26501"/>
    <x v="0"/>
    <n v="6"/>
    <n v="144"/>
    <n v="6"/>
    <n v="7"/>
    <n v="6"/>
    <n v="8"/>
    <n v="2"/>
    <m/>
    <m/>
    <m/>
    <m/>
    <m/>
    <m/>
    <m/>
    <n v="29"/>
    <n v="4.833333333333333"/>
  </r>
  <r>
    <x v="0"/>
    <s v="Active"/>
    <x v="0"/>
    <s v="Ramjibanpur"/>
    <s v="Mahadeb Das "/>
    <s v="3390315155"/>
    <n v="27629"/>
    <x v="2"/>
    <n v="6"/>
    <n v="144"/>
    <n v="6"/>
    <n v="7"/>
    <n v="9"/>
    <n v="2"/>
    <n v="2"/>
    <m/>
    <m/>
    <m/>
    <m/>
    <m/>
    <m/>
    <m/>
    <n v="26"/>
    <n v="4.333333333333333"/>
  </r>
  <r>
    <x v="2"/>
    <s v="Inactive"/>
    <x v="1"/>
    <s v="Patrasayer"/>
    <s v="Bula Karmakar"/>
    <s v="2160315824"/>
    <n v="29069"/>
    <x v="7"/>
    <n v="5"/>
    <n v="120"/>
    <n v="1"/>
    <n v="4"/>
    <n v="9"/>
    <m/>
    <n v="2"/>
    <m/>
    <m/>
    <m/>
    <m/>
    <m/>
    <m/>
    <m/>
    <n v="16"/>
    <n v="3.2"/>
  </r>
  <r>
    <x v="8"/>
    <s v="Active"/>
    <x v="2"/>
    <s v="Dharampur"/>
    <s v="Md Zulfikar Ali"/>
    <s v="0140315201"/>
    <n v="27792"/>
    <x v="2"/>
    <n v="6"/>
    <n v="144"/>
    <m/>
    <m/>
    <m/>
    <n v="1"/>
    <n v="2"/>
    <m/>
    <m/>
    <m/>
    <m/>
    <m/>
    <m/>
    <m/>
    <n v="3"/>
    <n v="0.5"/>
  </r>
  <r>
    <x v="4"/>
    <s v="Inactive"/>
    <x v="2"/>
    <s v="Buxa Forest Craja"/>
    <s v="Md Khalique Ansari "/>
    <s v="9490315684"/>
    <n v="28825"/>
    <x v="7"/>
    <n v="5"/>
    <n v="120"/>
    <m/>
    <m/>
    <m/>
    <m/>
    <n v="2"/>
    <m/>
    <m/>
    <m/>
    <m/>
    <m/>
    <m/>
    <m/>
    <n v="2"/>
    <n v="0.4"/>
  </r>
  <r>
    <x v="3"/>
    <s v="Inactive"/>
    <x v="1"/>
    <s v="Chakdaha"/>
    <s v="Kiran Biswas"/>
    <s v="2430315343"/>
    <n v="28083"/>
    <x v="7"/>
    <n v="5"/>
    <n v="120"/>
    <n v="2"/>
    <n v="3"/>
    <n v="1"/>
    <n v="4"/>
    <n v="1"/>
    <n v="1"/>
    <m/>
    <m/>
    <m/>
    <m/>
    <m/>
    <m/>
    <n v="12"/>
    <n v="2.4"/>
  </r>
  <r>
    <x v="3"/>
    <s v="Active"/>
    <x v="1"/>
    <s v="Ranaghat"/>
    <s v="Sagari Ghosh"/>
    <s v="2430314519"/>
    <n v="26595"/>
    <x v="2"/>
    <n v="6"/>
    <n v="144"/>
    <n v="6"/>
    <n v="9"/>
    <n v="5"/>
    <n v="3"/>
    <n v="1"/>
    <m/>
    <m/>
    <m/>
    <m/>
    <m/>
    <m/>
    <m/>
    <n v="24"/>
    <n v="4"/>
  </r>
  <r>
    <x v="8"/>
    <s v="Active"/>
    <x v="2"/>
    <s v="Parsundi"/>
    <s v="Parimal Das"/>
    <s v="0140311628"/>
    <n v="22365"/>
    <x v="1"/>
    <n v="6"/>
    <n v="144"/>
    <n v="3"/>
    <n v="5"/>
    <n v="5"/>
    <n v="1"/>
    <n v="1"/>
    <m/>
    <m/>
    <m/>
    <m/>
    <m/>
    <m/>
    <m/>
    <n v="15"/>
    <n v="2.5"/>
  </r>
  <r>
    <x v="10"/>
    <s v="Active"/>
    <x v="2"/>
    <s v="Sagarpara"/>
    <s v="Habibur Rahaman"/>
    <s v="2410311259"/>
    <n v="28860"/>
    <x v="3"/>
    <n v="6"/>
    <n v="144"/>
    <n v="2"/>
    <m/>
    <n v="6"/>
    <n v="5"/>
    <n v="1"/>
    <m/>
    <m/>
    <m/>
    <m/>
    <m/>
    <m/>
    <m/>
    <n v="14"/>
    <n v="2.3333333333333335"/>
  </r>
  <r>
    <x v="0"/>
    <s v="Active"/>
    <x v="0"/>
    <s v="Bhairabpur"/>
    <s v="Srabani Chatterjee"/>
    <s v="2390312437"/>
    <n v="23429"/>
    <x v="1"/>
    <n v="6"/>
    <n v="144"/>
    <m/>
    <n v="2"/>
    <n v="1"/>
    <n v="2"/>
    <n v="1"/>
    <m/>
    <m/>
    <m/>
    <m/>
    <m/>
    <m/>
    <m/>
    <n v="6"/>
    <n v="1"/>
  </r>
  <r>
    <x v="1"/>
    <s v="Active"/>
    <x v="0"/>
    <s v="Kamarpara"/>
    <s v="Mithu Ghosh"/>
    <s v="3390312440"/>
    <n v="23432"/>
    <x v="0"/>
    <n v="6"/>
    <n v="144"/>
    <n v="1"/>
    <m/>
    <n v="2"/>
    <m/>
    <n v="1"/>
    <m/>
    <m/>
    <m/>
    <m/>
    <m/>
    <m/>
    <m/>
    <n v="4"/>
    <n v="0.66666666666666663"/>
  </r>
  <r>
    <x v="0"/>
    <s v="Active"/>
    <x v="0"/>
    <s v="Chandrakona"/>
    <s v="Mani Dhara"/>
    <s v="2390313180"/>
    <n v="24494"/>
    <x v="2"/>
    <n v="6"/>
    <n v="144"/>
    <m/>
    <n v="2"/>
    <m/>
    <m/>
    <m/>
    <n v="1"/>
    <m/>
    <m/>
    <m/>
    <m/>
    <m/>
    <m/>
    <n v="3"/>
    <n v="0.5"/>
  </r>
  <r>
    <x v="2"/>
    <s v="Inactive"/>
    <x v="1"/>
    <s v="Patrasayer"/>
    <s v="Manorama Chakraborty Roy "/>
    <s v="2160315496"/>
    <n v="28305"/>
    <x v="7"/>
    <n v="4"/>
    <n v="96"/>
    <m/>
    <n v="9"/>
    <m/>
    <m/>
    <m/>
    <m/>
    <m/>
    <m/>
    <m/>
    <m/>
    <m/>
    <m/>
    <n v="9"/>
    <n v="2.25"/>
  </r>
  <r>
    <x v="12"/>
    <s v="Active"/>
    <x v="0"/>
    <s v="Keshapat"/>
    <s v="Subhankar Samanta"/>
    <s v="2380311664"/>
    <n v="22402"/>
    <x v="7"/>
    <n v="6"/>
    <n v="144"/>
    <n v="3"/>
    <n v="1"/>
    <n v="1"/>
    <n v="2"/>
    <m/>
    <m/>
    <m/>
    <m/>
    <m/>
    <m/>
    <m/>
    <m/>
    <n v="7"/>
    <n v="1.1666666666666667"/>
  </r>
  <r>
    <x v="12"/>
    <s v="Active"/>
    <x v="0"/>
    <s v="Contai"/>
    <s v="Subhankar Sahoo"/>
    <s v="2380314983"/>
    <n v="27249"/>
    <x v="7"/>
    <n v="6"/>
    <n v="144"/>
    <m/>
    <n v="3"/>
    <m/>
    <n v="1"/>
    <m/>
    <m/>
    <m/>
    <m/>
    <m/>
    <m/>
    <m/>
    <m/>
    <n v="4"/>
    <n v="0.66666666666666663"/>
  </r>
  <r>
    <x v="3"/>
    <s v="Inactive"/>
    <x v="1"/>
    <s v="Hridaypur"/>
    <s v="Asim Halder"/>
    <s v="2430315807"/>
    <n v="29052"/>
    <x v="7"/>
    <n v="3"/>
    <n v="72"/>
    <n v="2"/>
    <n v="2"/>
    <m/>
    <m/>
    <m/>
    <m/>
    <m/>
    <m/>
    <m/>
    <m/>
    <m/>
    <m/>
    <n v="4"/>
    <n v="1.3333333333333333"/>
  </r>
  <r>
    <x v="12"/>
    <s v="Active"/>
    <x v="0"/>
    <s v="Panskura"/>
    <s v="Prasanta Ghorai"/>
    <s v="9635383167"/>
    <n v="29527"/>
    <x v="8"/>
    <n v="4"/>
    <n v="96"/>
    <m/>
    <m/>
    <m/>
    <n v="1"/>
    <m/>
    <m/>
    <m/>
    <m/>
    <m/>
    <m/>
    <m/>
    <m/>
    <n v="1"/>
    <n v="0.25"/>
  </r>
  <r>
    <x v="0"/>
    <s v="Active"/>
    <x v="0"/>
    <s v="Banka"/>
    <s v="Subhajit Chanda"/>
    <s v="2390312543"/>
    <n v="23560"/>
    <x v="2"/>
    <n v="6"/>
    <n v="144"/>
    <m/>
    <n v="1"/>
    <m/>
    <m/>
    <m/>
    <m/>
    <m/>
    <m/>
    <m/>
    <m/>
    <m/>
    <m/>
    <n v="1"/>
    <n v="0.16666666666666666"/>
  </r>
  <r>
    <x v="1"/>
    <s v="Active"/>
    <x v="0"/>
    <s v="Saidpur"/>
    <s v="Puja Manna"/>
    <s v="3390311696"/>
    <n v="22453"/>
    <x v="7"/>
    <n v="6"/>
    <n v="144"/>
    <m/>
    <n v="1"/>
    <m/>
    <m/>
    <m/>
    <m/>
    <m/>
    <m/>
    <m/>
    <m/>
    <m/>
    <m/>
    <n v="1"/>
    <n v="0.16666666666666666"/>
  </r>
  <r>
    <x v="3"/>
    <s v="Active"/>
    <x v="1"/>
    <s v="Ranaghat"/>
    <s v="Kishore Bhakta"/>
    <s v="2430315568"/>
    <n v="28482"/>
    <x v="7"/>
    <n v="6"/>
    <n v="144"/>
    <m/>
    <n v="1"/>
    <m/>
    <m/>
    <m/>
    <m/>
    <m/>
    <m/>
    <m/>
    <m/>
    <m/>
    <m/>
    <n v="1"/>
    <n v="0.16666666666666666"/>
  </r>
  <r>
    <x v="3"/>
    <s v="Inactive"/>
    <x v="1"/>
    <s v="Hridaypur"/>
    <s v="Nitish Mondal"/>
    <s v="8942919438"/>
    <n v="29524"/>
    <x v="7"/>
    <n v="1"/>
    <n v="24"/>
    <m/>
    <m/>
    <m/>
    <n v="1"/>
    <m/>
    <m/>
    <m/>
    <m/>
    <m/>
    <m/>
    <m/>
    <m/>
    <n v="1"/>
    <m/>
  </r>
  <r>
    <x v="1"/>
    <s v="Inactive"/>
    <x v="0"/>
    <s v="Batanal"/>
    <s v="Chaitali Shit Malik"/>
    <s v="3390311948"/>
    <n v="22775"/>
    <x v="9"/>
    <n v="1"/>
    <n v="24"/>
    <m/>
    <n v="1"/>
    <m/>
    <m/>
    <m/>
    <m/>
    <m/>
    <m/>
    <m/>
    <m/>
    <m/>
    <m/>
    <n v="1"/>
    <n v="1"/>
  </r>
  <r>
    <x v="1"/>
    <s v="Active"/>
    <x v="0"/>
    <s v="Mayapur"/>
    <s v="Ruma Rana"/>
    <s v="8410316172"/>
    <n v="29749"/>
    <x v="7"/>
    <n v="1"/>
    <n v="24"/>
    <m/>
    <m/>
    <m/>
    <m/>
    <m/>
    <m/>
    <m/>
    <m/>
    <m/>
    <m/>
    <m/>
    <m/>
    <m/>
    <n v="0"/>
  </r>
  <r>
    <x v="13"/>
    <s v="Active"/>
    <x v="3"/>
    <s v="Hingalganj"/>
    <s v="Khairulla Mistri"/>
    <s v="8410316210"/>
    <n v="29799"/>
    <x v="7"/>
    <n v="2"/>
    <n v="48"/>
    <m/>
    <m/>
    <m/>
    <m/>
    <m/>
    <m/>
    <m/>
    <m/>
    <m/>
    <m/>
    <m/>
    <m/>
    <m/>
    <n v="0"/>
  </r>
  <r>
    <x v="4"/>
    <s v="Active"/>
    <x v="2"/>
    <s v="Ethelbari"/>
    <s v="Tarif Baxla"/>
    <s v="8410316211"/>
    <n v="29798"/>
    <x v="7"/>
    <n v="2"/>
    <n v="48"/>
    <m/>
    <m/>
    <m/>
    <m/>
    <m/>
    <m/>
    <m/>
    <m/>
    <m/>
    <m/>
    <m/>
    <m/>
    <m/>
    <n v="0"/>
  </r>
  <r>
    <x v="12"/>
    <s v="Active"/>
    <x v="0"/>
    <s v="Tamluk"/>
    <s v="Soumen Baichar"/>
    <s v="2390314474"/>
    <n v="26530"/>
    <x v="7"/>
    <n v="6"/>
    <n v="144"/>
    <m/>
    <m/>
    <m/>
    <m/>
    <m/>
    <m/>
    <m/>
    <m/>
    <m/>
    <m/>
    <m/>
    <m/>
    <m/>
    <n v="0"/>
  </r>
  <r>
    <x v="8"/>
    <s v="Inactive"/>
    <x v="2"/>
    <s v="Lohapur"/>
    <s v="Suraj Fulmali"/>
    <s v="0140311327"/>
    <n v="27437"/>
    <x v="7"/>
    <n v="2"/>
    <n v="48"/>
    <m/>
    <m/>
    <m/>
    <m/>
    <m/>
    <m/>
    <m/>
    <m/>
    <m/>
    <m/>
    <m/>
    <m/>
    <m/>
    <n v="0"/>
  </r>
  <r>
    <x v="1"/>
    <s v="Inactive"/>
    <x v="0"/>
    <s v="Mangrul"/>
    <s v="Prasenjit Ghosh"/>
    <s v="2390311944"/>
    <n v="22771"/>
    <x v="10"/>
    <n v="0"/>
    <n v="0"/>
    <m/>
    <m/>
    <m/>
    <m/>
    <m/>
    <m/>
    <m/>
    <m/>
    <m/>
    <m/>
    <m/>
    <m/>
    <m/>
    <e v="#DIV/0!"/>
  </r>
  <r>
    <x v="8"/>
    <s v="Inactive"/>
    <x v="2"/>
    <s v="Mangaldihi"/>
    <s v="Swarup Sadhu"/>
    <s v="0140311670"/>
    <n v="22424"/>
    <x v="10"/>
    <n v="0"/>
    <n v="0"/>
    <m/>
    <m/>
    <m/>
    <m/>
    <m/>
    <m/>
    <m/>
    <m/>
    <m/>
    <m/>
    <m/>
    <m/>
    <m/>
    <e v="#DIV/0!"/>
  </r>
  <r>
    <x v="3"/>
    <s v="Inactive"/>
    <x v="1"/>
    <s v="Badkulla"/>
    <s v="Amit Sikder"/>
    <s v="2430315185"/>
    <n v="27731"/>
    <x v="7"/>
    <n v="2"/>
    <n v="48"/>
    <m/>
    <m/>
    <m/>
    <m/>
    <m/>
    <m/>
    <m/>
    <m/>
    <m/>
    <m/>
    <m/>
    <m/>
    <m/>
    <n v="0"/>
  </r>
  <r>
    <x v="2"/>
    <s v="Inactive"/>
    <x v="1"/>
    <s v="Kotulpur"/>
    <s v="Sayan Dutta"/>
    <s v="2160315608"/>
    <n v="28601"/>
    <x v="7"/>
    <n v="1"/>
    <n v="24"/>
    <m/>
    <m/>
    <m/>
    <m/>
    <m/>
    <m/>
    <m/>
    <m/>
    <m/>
    <m/>
    <m/>
    <m/>
    <m/>
    <n v="0"/>
  </r>
  <r>
    <x v="12"/>
    <s v="Inactive"/>
    <x v="0"/>
    <s v="Contai"/>
    <s v="Sulekha Das"/>
    <s v="2380314986"/>
    <n v="27252"/>
    <x v="9"/>
    <n v="0"/>
    <n v="0"/>
    <m/>
    <m/>
    <m/>
    <m/>
    <m/>
    <m/>
    <m/>
    <m/>
    <m/>
    <m/>
    <m/>
    <m/>
    <m/>
    <e v="#DIV/0!"/>
  </r>
  <r>
    <x v="1"/>
    <s v="Inactive"/>
    <x v="0"/>
    <s v="Mayapur"/>
    <s v="Falguni Samanta"/>
    <s v="3390311256"/>
    <n v="21925"/>
    <x v="9"/>
    <n v="0"/>
    <n v="0"/>
    <m/>
    <m/>
    <m/>
    <m/>
    <m/>
    <m/>
    <m/>
    <m/>
    <m/>
    <m/>
    <m/>
    <m/>
    <m/>
    <e v="#DIV/0!"/>
  </r>
  <r>
    <x v="2"/>
    <s v="Inactive"/>
    <x v="1"/>
    <s v="Layekbandh"/>
    <s v="Debasis Dey"/>
    <s v="2160315158"/>
    <n v="27632"/>
    <x v="9"/>
    <n v="0"/>
    <n v="0"/>
    <m/>
    <m/>
    <m/>
    <m/>
    <m/>
    <m/>
    <m/>
    <m/>
    <m/>
    <m/>
    <m/>
    <m/>
    <m/>
    <e v="#DIV/0!"/>
  </r>
  <r>
    <x v="4"/>
    <s v="Inactive"/>
    <x v="2"/>
    <s v="Maynaguri"/>
    <s v="Biswajit Roy"/>
    <s v="2310311260"/>
    <n v="21929"/>
    <x v="9"/>
    <n v="0"/>
    <n v="0"/>
    <m/>
    <m/>
    <m/>
    <m/>
    <m/>
    <m/>
    <m/>
    <m/>
    <m/>
    <m/>
    <m/>
    <m/>
    <m/>
    <e v="#DIV/0!"/>
  </r>
  <r>
    <x v="12"/>
    <s v="Inactive"/>
    <x v="0"/>
    <s v="Contai"/>
    <s v="Narayan Ojha"/>
    <s v="2380314459"/>
    <n v="26507"/>
    <x v="9"/>
    <n v="0"/>
    <n v="0"/>
    <m/>
    <m/>
    <m/>
    <m/>
    <m/>
    <m/>
    <m/>
    <m/>
    <m/>
    <m/>
    <m/>
    <m/>
    <m/>
    <e v="#DIV/0!"/>
  </r>
  <r>
    <x v="1"/>
    <s v="Inactive"/>
    <x v="0"/>
    <s v="Arambagh"/>
    <s v="Sk Momin Uddin"/>
    <s v="3390313207"/>
    <n v="24527"/>
    <x v="9"/>
    <n v="0"/>
    <n v="0"/>
    <m/>
    <m/>
    <m/>
    <m/>
    <m/>
    <m/>
    <m/>
    <m/>
    <m/>
    <m/>
    <m/>
    <m/>
    <m/>
    <e v="#DIV/0!"/>
  </r>
  <r>
    <x v="8"/>
    <s v="Inactive"/>
    <x v="2"/>
    <s v="Koytha"/>
    <s v="Tamarul Sk"/>
    <s v="0140311624"/>
    <n v="22361"/>
    <x v="9"/>
    <n v="0"/>
    <n v="0"/>
    <m/>
    <m/>
    <m/>
    <m/>
    <m/>
    <m/>
    <m/>
    <m/>
    <m/>
    <m/>
    <m/>
    <m/>
    <m/>
    <e v="#DIV/0!"/>
  </r>
  <r>
    <x v="8"/>
    <s v="Inactive"/>
    <x v="2"/>
    <s v="Mangaldihi"/>
    <s v="Sk Khairul Hossain"/>
    <s v="0140310490"/>
    <n v="20983"/>
    <x v="9"/>
    <n v="0"/>
    <n v="0"/>
    <m/>
    <m/>
    <m/>
    <m/>
    <m/>
    <m/>
    <m/>
    <m/>
    <m/>
    <m/>
    <m/>
    <m/>
    <m/>
    <e v="#DIV/0!"/>
  </r>
  <r>
    <x v="3"/>
    <s v="Inactive"/>
    <x v="1"/>
    <s v="Hridaypur"/>
    <s v="Saiful Sekh"/>
    <s v="2430314735"/>
    <n v="26881"/>
    <x v="9"/>
    <n v="0"/>
    <n v="0"/>
    <m/>
    <m/>
    <m/>
    <m/>
    <m/>
    <m/>
    <m/>
    <m/>
    <m/>
    <m/>
    <m/>
    <m/>
    <m/>
    <e v="#DIV/0!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Active"/>
    <x v="0"/>
    <s v="Palaschabrighat"/>
    <s v="Asima Bhunia"/>
    <s v="2390311420"/>
    <n v="22126"/>
    <x v="0"/>
    <n v="6"/>
    <n v="90"/>
    <m/>
    <m/>
    <n v="6"/>
    <n v="1"/>
    <n v="16"/>
    <m/>
    <m/>
    <m/>
    <m/>
    <m/>
    <m/>
    <m/>
    <n v="23"/>
    <n v="3.8333333333333335"/>
  </r>
  <r>
    <x v="1"/>
    <s v="Active"/>
    <x v="1"/>
    <s v="Santipur"/>
    <s v="Sahabul Mandal"/>
    <s v="2430315156"/>
    <n v="27630"/>
    <x v="1"/>
    <n v="6"/>
    <n v="90"/>
    <m/>
    <m/>
    <m/>
    <m/>
    <n v="10"/>
    <n v="3"/>
    <m/>
    <m/>
    <m/>
    <m/>
    <m/>
    <m/>
    <n v="13"/>
    <n v="2.1666666666666665"/>
  </r>
  <r>
    <x v="2"/>
    <s v="Active"/>
    <x v="1"/>
    <s v="Kushodanga"/>
    <s v="Priti Das"/>
    <s v="3390315408"/>
    <n v="28176"/>
    <x v="2"/>
    <n v="6"/>
    <n v="90"/>
    <n v="2"/>
    <n v="2"/>
    <n v="3"/>
    <n v="6"/>
    <n v="8"/>
    <n v="2"/>
    <m/>
    <m/>
    <m/>
    <m/>
    <m/>
    <m/>
    <n v="23"/>
    <n v="3.8333333333333335"/>
  </r>
  <r>
    <x v="0"/>
    <s v="Active"/>
    <x v="0"/>
    <s v="Nayabasat"/>
    <s v="Mousumi Chanda Dey"/>
    <s v="2390315855"/>
    <n v="29123"/>
    <x v="3"/>
    <n v="6"/>
    <n v="90"/>
    <n v="9"/>
    <n v="21"/>
    <n v="1"/>
    <n v="27"/>
    <n v="12"/>
    <n v="12"/>
    <m/>
    <m/>
    <m/>
    <m/>
    <m/>
    <m/>
    <n v="82"/>
    <n v="13.666666666666666"/>
  </r>
  <r>
    <x v="3"/>
    <s v="Active"/>
    <x v="2"/>
    <s v="Sagardighi Square"/>
    <s v="Khurshid Alom "/>
    <s v="2200311941"/>
    <n v="22768"/>
    <x v="4"/>
    <n v="6"/>
    <n v="90"/>
    <m/>
    <m/>
    <m/>
    <n v="1"/>
    <n v="6"/>
    <n v="2"/>
    <m/>
    <m/>
    <m/>
    <m/>
    <m/>
    <m/>
    <n v="9"/>
    <n v="1.5"/>
  </r>
  <r>
    <x v="2"/>
    <s v="Active"/>
    <x v="1"/>
    <s v="Patuli"/>
    <s v="Satyajit Kar"/>
    <s v="3390314928"/>
    <n v="27154"/>
    <x v="3"/>
    <n v="6"/>
    <n v="90"/>
    <n v="2"/>
    <n v="4"/>
    <n v="7"/>
    <n v="2"/>
    <n v="4"/>
    <n v="1"/>
    <m/>
    <m/>
    <m/>
    <m/>
    <m/>
    <m/>
    <n v="20"/>
    <n v="3.3333333333333335"/>
  </r>
  <r>
    <x v="4"/>
    <s v="Active"/>
    <x v="0"/>
    <s v="Jirat"/>
    <s v="Sahadeb Chakraborty"/>
    <s v="3390314204"/>
    <n v="26084"/>
    <x v="1"/>
    <n v="6"/>
    <n v="90"/>
    <n v="3"/>
    <n v="10"/>
    <n v="10"/>
    <n v="7"/>
    <n v="5"/>
    <n v="2"/>
    <m/>
    <m/>
    <m/>
    <m/>
    <m/>
    <m/>
    <n v="37"/>
    <n v="6.166666666666667"/>
  </r>
  <r>
    <x v="0"/>
    <s v="Active"/>
    <x v="0"/>
    <s v="Binpur"/>
    <s v="Debika Singha Patra"/>
    <s v="2390311962"/>
    <n v="22789"/>
    <x v="0"/>
    <n v="6"/>
    <n v="90"/>
    <m/>
    <n v="2"/>
    <n v="5"/>
    <n v="3"/>
    <n v="2"/>
    <n v="1"/>
    <m/>
    <m/>
    <m/>
    <m/>
    <m/>
    <m/>
    <n v="13"/>
    <n v="2.1666666666666665"/>
  </r>
  <r>
    <x v="5"/>
    <s v="Active"/>
    <x v="2"/>
    <s v="Kaluari"/>
    <s v="Masidur Rahaman"/>
    <s v="2370310973"/>
    <n v="21583"/>
    <x v="2"/>
    <n v="6"/>
    <n v="90"/>
    <m/>
    <m/>
    <n v="15"/>
    <n v="5"/>
    <n v="10"/>
    <n v="1"/>
    <m/>
    <m/>
    <m/>
    <m/>
    <m/>
    <m/>
    <n v="31"/>
    <n v="5.166666666666667"/>
  </r>
  <r>
    <x v="0"/>
    <s v="Active"/>
    <x v="0"/>
    <s v="Kankabati"/>
    <s v="Mita Samanta"/>
    <s v="2390311663"/>
    <n v="22401"/>
    <x v="4"/>
    <n v="6"/>
    <n v="90"/>
    <m/>
    <n v="22"/>
    <n v="7"/>
    <m/>
    <n v="2"/>
    <m/>
    <m/>
    <m/>
    <m/>
    <m/>
    <m/>
    <m/>
    <n v="31"/>
    <n v="5.166666666666667"/>
  </r>
  <r>
    <x v="0"/>
    <s v="Active"/>
    <x v="0"/>
    <s v="Nayabasat"/>
    <s v="Soumya Ghosh"/>
    <s v="2390314387"/>
    <n v="26403"/>
    <x v="5"/>
    <n v="6"/>
    <n v="90"/>
    <m/>
    <m/>
    <m/>
    <m/>
    <n v="2"/>
    <m/>
    <m/>
    <m/>
    <m/>
    <m/>
    <m/>
    <m/>
    <n v="2"/>
    <n v="0.33333333333333331"/>
  </r>
  <r>
    <x v="0"/>
    <s v="Active"/>
    <x v="0"/>
    <s v="Chandrakona"/>
    <s v="Mani Dhara"/>
    <s v="2390313180"/>
    <n v="24494"/>
    <x v="6"/>
    <n v="6"/>
    <n v="90"/>
    <m/>
    <m/>
    <m/>
    <m/>
    <n v="2"/>
    <m/>
    <m/>
    <m/>
    <m/>
    <m/>
    <m/>
    <m/>
    <n v="2"/>
    <n v="0.33333333333333331"/>
  </r>
  <r>
    <x v="6"/>
    <s v="Active"/>
    <x v="0"/>
    <s v="Panskura"/>
    <s v="Kartik Maity"/>
    <s v="2380311666"/>
    <n v="22404"/>
    <x v="3"/>
    <n v="6"/>
    <n v="90"/>
    <m/>
    <m/>
    <m/>
    <n v="2"/>
    <n v="7"/>
    <n v="1"/>
    <m/>
    <m/>
    <m/>
    <m/>
    <m/>
    <m/>
    <n v="10"/>
    <n v="1.6666666666666667"/>
  </r>
  <r>
    <x v="7"/>
    <s v="Active"/>
    <x v="2"/>
    <s v="Damanpur"/>
    <s v="Biplab Barman"/>
    <s v="9490310566"/>
    <n v="21091"/>
    <x v="5"/>
    <n v="6"/>
    <n v="90"/>
    <n v="1"/>
    <n v="1"/>
    <n v="2"/>
    <n v="7"/>
    <n v="4"/>
    <m/>
    <m/>
    <m/>
    <m/>
    <m/>
    <m/>
    <m/>
    <n v="15"/>
    <n v="2.5"/>
  </r>
  <r>
    <x v="4"/>
    <s v="Active"/>
    <x v="0"/>
    <s v="Rajhati"/>
    <s v="Arnnapurna Maji"/>
    <s v="3390311610"/>
    <n v="22346"/>
    <x v="7"/>
    <n v="6"/>
    <n v="90"/>
    <n v="3"/>
    <n v="15"/>
    <n v="1"/>
    <n v="2"/>
    <n v="5"/>
    <m/>
    <m/>
    <m/>
    <m/>
    <m/>
    <m/>
    <m/>
    <n v="26"/>
    <n v="4.333333333333333"/>
  </r>
  <r>
    <x v="2"/>
    <s v="Active"/>
    <x v="1"/>
    <s v="Kushodanga"/>
    <s v="Rumpa Pal Mondal"/>
    <s v="3390315402"/>
    <n v="28170"/>
    <x v="6"/>
    <n v="6"/>
    <n v="90"/>
    <m/>
    <m/>
    <n v="3"/>
    <n v="2"/>
    <n v="6"/>
    <m/>
    <m/>
    <m/>
    <m/>
    <m/>
    <m/>
    <m/>
    <n v="11"/>
    <n v="1.8333333333333333"/>
  </r>
  <r>
    <x v="3"/>
    <s v="Active"/>
    <x v="2"/>
    <s v="Sagardighi Square"/>
    <s v="Rajani Roy"/>
    <s v="2200310076"/>
    <n v="20502"/>
    <x v="5"/>
    <n v="6"/>
    <n v="90"/>
    <m/>
    <n v="1"/>
    <m/>
    <n v="3"/>
    <n v="6"/>
    <m/>
    <m/>
    <m/>
    <m/>
    <m/>
    <m/>
    <m/>
    <n v="10"/>
    <n v="1.6666666666666667"/>
  </r>
  <r>
    <x v="8"/>
    <s v="Active"/>
    <x v="2"/>
    <s v="Raiganj"/>
    <s v="Joydev Das"/>
    <s v="2560315042"/>
    <n v="27372"/>
    <x v="5"/>
    <n v="6"/>
    <n v="90"/>
    <n v="1"/>
    <m/>
    <n v="1"/>
    <n v="6"/>
    <n v="1"/>
    <m/>
    <m/>
    <m/>
    <m/>
    <m/>
    <m/>
    <m/>
    <n v="9"/>
    <n v="1.5"/>
  </r>
  <r>
    <x v="1"/>
    <s v="Active"/>
    <x v="1"/>
    <s v="Hridaypur"/>
    <s v="Injamul Rahaman "/>
    <s v="2430314512"/>
    <n v="26588"/>
    <x v="6"/>
    <n v="6"/>
    <n v="90"/>
    <n v="1"/>
    <m/>
    <n v="1"/>
    <n v="1"/>
    <n v="10"/>
    <m/>
    <m/>
    <m/>
    <m/>
    <m/>
    <m/>
    <m/>
    <n v="13"/>
    <n v="2.1666666666666665"/>
  </r>
  <r>
    <x v="9"/>
    <s v="Active"/>
    <x v="2"/>
    <s v="Paikar"/>
    <s v="Saheb Sk"/>
    <s v="0140311324"/>
    <n v="21999"/>
    <x v="2"/>
    <n v="6"/>
    <n v="90"/>
    <n v="1"/>
    <m/>
    <n v="1"/>
    <n v="3"/>
    <n v="3"/>
    <m/>
    <m/>
    <m/>
    <m/>
    <m/>
    <m/>
    <m/>
    <n v="8"/>
    <n v="1.3333333333333333"/>
  </r>
  <r>
    <x v="10"/>
    <s v="Active"/>
    <x v="1"/>
    <s v="Jhantipahari"/>
    <s v="Asish Kumar Mandal"/>
    <s v="2160314962"/>
    <n v="27220"/>
    <x v="6"/>
    <n v="6"/>
    <n v="90"/>
    <m/>
    <n v="3"/>
    <n v="4"/>
    <n v="1"/>
    <n v="2"/>
    <m/>
    <m/>
    <m/>
    <m/>
    <m/>
    <m/>
    <m/>
    <n v="10"/>
    <n v="1.6666666666666667"/>
  </r>
  <r>
    <x v="11"/>
    <s v="Active"/>
    <x v="2"/>
    <s v="Talgachi"/>
    <s v="Giridhari Sarkar"/>
    <s v="2410310083"/>
    <n v="20509"/>
    <x v="1"/>
    <n v="6"/>
    <n v="90"/>
    <n v="1"/>
    <m/>
    <n v="2"/>
    <n v="3"/>
    <n v="1"/>
    <m/>
    <m/>
    <m/>
    <m/>
    <m/>
    <m/>
    <m/>
    <n v="7"/>
    <n v="1.1666666666666667"/>
  </r>
  <r>
    <x v="1"/>
    <s v="Inactive"/>
    <x v="1"/>
    <s v="Santipur"/>
    <s v="Dipanwita Das"/>
    <s v="2430315569"/>
    <n v="28483"/>
    <x v="4"/>
    <n v="5"/>
    <n v="75"/>
    <m/>
    <m/>
    <n v="6"/>
    <n v="1"/>
    <m/>
    <m/>
    <m/>
    <m/>
    <m/>
    <m/>
    <m/>
    <m/>
    <n v="7"/>
    <n v="1.4"/>
  </r>
  <r>
    <x v="3"/>
    <s v="Active"/>
    <x v="2"/>
    <s v="Sagardighi Square"/>
    <s v="Ajit Modak"/>
    <s v="2200309916"/>
    <n v="20322"/>
    <x v="3"/>
    <n v="6"/>
    <n v="90"/>
    <m/>
    <n v="2"/>
    <m/>
    <n v="1"/>
    <n v="3"/>
    <m/>
    <m/>
    <m/>
    <m/>
    <m/>
    <m/>
    <m/>
    <n v="6"/>
    <n v="1"/>
  </r>
  <r>
    <x v="0"/>
    <s v="Active"/>
    <x v="0"/>
    <s v="Guiadaha"/>
    <s v="Munmun Chakraborty"/>
    <s v="2390312218"/>
    <n v="23142"/>
    <x v="3"/>
    <n v="6"/>
    <n v="90"/>
    <n v="5"/>
    <m/>
    <m/>
    <m/>
    <n v="1"/>
    <m/>
    <m/>
    <m/>
    <m/>
    <m/>
    <m/>
    <m/>
    <n v="6"/>
    <n v="1"/>
  </r>
  <r>
    <x v="0"/>
    <s v="Active"/>
    <x v="0"/>
    <s v="Jara"/>
    <s v="Priyanka Biswas"/>
    <s v="2390311424"/>
    <n v="22130"/>
    <x v="6"/>
    <n v="6"/>
    <n v="90"/>
    <m/>
    <m/>
    <m/>
    <n v="2"/>
    <n v="1"/>
    <m/>
    <m/>
    <m/>
    <m/>
    <m/>
    <m/>
    <m/>
    <n v="3"/>
    <n v="0.5"/>
  </r>
  <r>
    <x v="10"/>
    <s v="Active"/>
    <x v="1"/>
    <s v="Anara"/>
    <s v="Biswajit Majee"/>
    <s v="2460314961"/>
    <n v="27219"/>
    <x v="6"/>
    <n v="6"/>
    <n v="90"/>
    <m/>
    <m/>
    <n v="2"/>
    <n v="1"/>
    <n v="3"/>
    <m/>
    <m/>
    <m/>
    <m/>
    <m/>
    <m/>
    <m/>
    <n v="6"/>
    <n v="1"/>
  </r>
  <r>
    <x v="9"/>
    <s v="Active"/>
    <x v="2"/>
    <s v="Parsundi"/>
    <s v="Parimal Das"/>
    <s v="0140311628"/>
    <n v="22365"/>
    <x v="1"/>
    <n v="6"/>
    <n v="90"/>
    <m/>
    <n v="2"/>
    <n v="1"/>
    <n v="2"/>
    <m/>
    <m/>
    <m/>
    <m/>
    <m/>
    <m/>
    <m/>
    <m/>
    <n v="5"/>
    <n v="0.83333333333333337"/>
  </r>
  <r>
    <x v="9"/>
    <s v="Active"/>
    <x v="2"/>
    <s v="Kapista"/>
    <s v="Swarup Karmakar"/>
    <s v="0140311629"/>
    <n v="22366"/>
    <x v="6"/>
    <n v="6"/>
    <n v="90"/>
    <n v="3"/>
    <m/>
    <n v="1"/>
    <n v="1"/>
    <m/>
    <m/>
    <m/>
    <m/>
    <m/>
    <m/>
    <m/>
    <m/>
    <n v="5"/>
    <n v="0.83333333333333337"/>
  </r>
  <r>
    <x v="4"/>
    <s v="Active"/>
    <x v="0"/>
    <s v="Kamarpara"/>
    <s v="Md Mustakim"/>
    <s v="3390312441"/>
    <n v="23433"/>
    <x v="6"/>
    <n v="6"/>
    <n v="90"/>
    <m/>
    <m/>
    <m/>
    <m/>
    <n v="1"/>
    <m/>
    <m/>
    <m/>
    <m/>
    <m/>
    <m/>
    <m/>
    <n v="1"/>
    <n v="0.16666666666666666"/>
  </r>
  <r>
    <x v="0"/>
    <s v="Active"/>
    <x v="0"/>
    <s v="Bhairabpur"/>
    <s v="Srabani Chatterjee"/>
    <s v="2390312437"/>
    <n v="23429"/>
    <x v="1"/>
    <n v="6"/>
    <n v="90"/>
    <m/>
    <m/>
    <m/>
    <m/>
    <n v="2"/>
    <n v="1"/>
    <m/>
    <m/>
    <m/>
    <m/>
    <m/>
    <m/>
    <n v="3"/>
    <n v="0.5"/>
  </r>
  <r>
    <x v="4"/>
    <s v="Active"/>
    <x v="0"/>
    <s v="Rajhati"/>
    <s v="Santanu Ghosh"/>
    <s v="3390314383"/>
    <n v="26399"/>
    <x v="1"/>
    <n v="6"/>
    <n v="90"/>
    <n v="1"/>
    <n v="3"/>
    <n v="3"/>
    <n v="5"/>
    <n v="3"/>
    <m/>
    <m/>
    <m/>
    <m/>
    <m/>
    <m/>
    <m/>
    <n v="15"/>
    <n v="2.5"/>
  </r>
  <r>
    <x v="1"/>
    <s v="Active"/>
    <x v="1"/>
    <s v="Hidaypur"/>
    <s v="Akramul Shaikh"/>
    <s v="2430315571"/>
    <n v="28485"/>
    <x v="5"/>
    <n v="6"/>
    <n v="90"/>
    <m/>
    <m/>
    <n v="3"/>
    <n v="1"/>
    <m/>
    <m/>
    <m/>
    <m/>
    <m/>
    <m/>
    <m/>
    <m/>
    <n v="4"/>
    <n v="0.66666666666666663"/>
  </r>
  <r>
    <x v="0"/>
    <s v="Active"/>
    <x v="0"/>
    <s v="Jhargram"/>
    <s v="Sk Imran"/>
    <s v="2390311695"/>
    <n v="22452"/>
    <x v="5"/>
    <n v="6"/>
    <n v="90"/>
    <m/>
    <m/>
    <n v="2"/>
    <n v="4"/>
    <m/>
    <m/>
    <m/>
    <m/>
    <m/>
    <m/>
    <m/>
    <m/>
    <n v="6"/>
    <n v="1"/>
  </r>
  <r>
    <x v="0"/>
    <s v="Active"/>
    <x v="0"/>
    <s v="Ramjibanpur"/>
    <s v="Abhijit Modak"/>
    <s v="3390311425"/>
    <n v="22131"/>
    <x v="7"/>
    <n v="6"/>
    <n v="90"/>
    <m/>
    <n v="2"/>
    <n v="2"/>
    <n v="1"/>
    <n v="3"/>
    <m/>
    <m/>
    <m/>
    <m/>
    <m/>
    <m/>
    <m/>
    <n v="8"/>
    <n v="1.3333333333333333"/>
  </r>
  <r>
    <x v="4"/>
    <s v="Active"/>
    <x v="0"/>
    <s v="Khanakul"/>
    <s v="Sahanaj Parvin"/>
    <s v="3390312801"/>
    <n v="23969"/>
    <x v="3"/>
    <n v="6"/>
    <n v="90"/>
    <m/>
    <n v="2"/>
    <n v="1"/>
    <n v="2"/>
    <n v="4"/>
    <m/>
    <m/>
    <m/>
    <m/>
    <m/>
    <m/>
    <m/>
    <n v="9"/>
    <n v="1.5"/>
  </r>
  <r>
    <x v="7"/>
    <s v="Active"/>
    <x v="2"/>
    <s v="Barobisha"/>
    <s v="Md Akimuzzaman"/>
    <s v="2310315481"/>
    <n v="28270"/>
    <x v="5"/>
    <n v="6"/>
    <n v="90"/>
    <m/>
    <m/>
    <m/>
    <n v="2"/>
    <n v="1"/>
    <m/>
    <m/>
    <m/>
    <m/>
    <m/>
    <m/>
    <m/>
    <n v="3"/>
    <n v="0.5"/>
  </r>
  <r>
    <x v="1"/>
    <s v="Active"/>
    <x v="1"/>
    <s v="Badkulla"/>
    <s v="Swapan Kumar Biswas"/>
    <s v="2430315186"/>
    <n v="27732"/>
    <x v="5"/>
    <n v="6"/>
    <n v="90"/>
    <n v="2"/>
    <n v="1"/>
    <m/>
    <m/>
    <m/>
    <m/>
    <m/>
    <m/>
    <m/>
    <m/>
    <m/>
    <m/>
    <n v="3"/>
    <n v="0.5"/>
  </r>
  <r>
    <x v="10"/>
    <s v="Active"/>
    <x v="1"/>
    <s v="Patrasayer"/>
    <s v="Satish Ankure"/>
    <s v="2160314679"/>
    <n v="26810"/>
    <x v="6"/>
    <n v="6"/>
    <n v="90"/>
    <n v="2"/>
    <m/>
    <m/>
    <n v="1"/>
    <m/>
    <m/>
    <m/>
    <m/>
    <m/>
    <m/>
    <m/>
    <m/>
    <n v="3"/>
    <n v="0.5"/>
  </r>
  <r>
    <x v="4"/>
    <s v="Active"/>
    <x v="0"/>
    <s v="Dhanyaghori"/>
    <s v="Pratik Chakraborty"/>
    <s v="3390311946"/>
    <n v="22773"/>
    <x v="3"/>
    <n v="6"/>
    <n v="90"/>
    <m/>
    <m/>
    <n v="2"/>
    <n v="3"/>
    <n v="10"/>
    <m/>
    <m/>
    <m/>
    <m/>
    <m/>
    <m/>
    <m/>
    <n v="15"/>
    <n v="2.5"/>
  </r>
  <r>
    <x v="7"/>
    <s v="Inactive"/>
    <x v="2"/>
    <s v="Buxa Forest Craja"/>
    <s v="Pankaj Tiwari"/>
    <s v="9490310077"/>
    <n v="20503"/>
    <x v="4"/>
    <n v="4"/>
    <n v="60"/>
    <m/>
    <m/>
    <m/>
    <m/>
    <n v="2"/>
    <m/>
    <m/>
    <m/>
    <m/>
    <m/>
    <m/>
    <m/>
    <n v="2"/>
    <n v="0.5"/>
  </r>
  <r>
    <x v="9"/>
    <s v="Active"/>
    <x v="2"/>
    <s v="Jajigram"/>
    <s v="Mosaraf Sk"/>
    <s v="0140311323"/>
    <n v="21998"/>
    <x v="2"/>
    <n v="6"/>
    <n v="90"/>
    <m/>
    <m/>
    <m/>
    <n v="2"/>
    <m/>
    <m/>
    <m/>
    <m/>
    <m/>
    <m/>
    <m/>
    <m/>
    <n v="2"/>
    <n v="0.33333333333333331"/>
  </r>
  <r>
    <x v="0"/>
    <s v="Active"/>
    <x v="0"/>
    <s v="Ramjibanpur"/>
    <s v="Mahadeb Das "/>
    <s v="3390315155"/>
    <n v="27629"/>
    <x v="6"/>
    <n v="6"/>
    <n v="90"/>
    <m/>
    <n v="2"/>
    <m/>
    <n v="2"/>
    <n v="1"/>
    <m/>
    <m/>
    <m/>
    <m/>
    <m/>
    <m/>
    <m/>
    <n v="5"/>
    <n v="0.83333333333333337"/>
  </r>
  <r>
    <x v="0"/>
    <s v="Active"/>
    <x v="0"/>
    <s v="Kharar"/>
    <s v="Pinki Ghosh"/>
    <s v="2390311944"/>
    <n v="29368"/>
    <x v="6"/>
    <n v="6"/>
    <n v="90"/>
    <m/>
    <m/>
    <m/>
    <n v="4"/>
    <m/>
    <m/>
    <m/>
    <m/>
    <m/>
    <m/>
    <m/>
    <m/>
    <n v="4"/>
    <n v="0.66666666666666663"/>
  </r>
  <r>
    <x v="4"/>
    <s v="Active"/>
    <x v="0"/>
    <s v="Kalipur"/>
    <s v="Satyajit Chattopadhyay"/>
    <s v="3390311422"/>
    <n v="22128"/>
    <x v="3"/>
    <n v="6"/>
    <n v="90"/>
    <m/>
    <m/>
    <n v="1"/>
    <n v="1"/>
    <n v="1"/>
    <m/>
    <m/>
    <m/>
    <m/>
    <m/>
    <m/>
    <m/>
    <n v="3"/>
    <n v="0.5"/>
  </r>
  <r>
    <x v="1"/>
    <s v="Active"/>
    <x v="1"/>
    <s v="Haringhata"/>
    <s v="Eyakub Mondal"/>
    <s v="2430315345"/>
    <n v="28085"/>
    <x v="6"/>
    <n v="6"/>
    <n v="90"/>
    <m/>
    <n v="2"/>
    <m/>
    <m/>
    <m/>
    <m/>
    <m/>
    <m/>
    <m/>
    <m/>
    <m/>
    <m/>
    <n v="2"/>
    <n v="0.33333333333333331"/>
  </r>
  <r>
    <x v="9"/>
    <s v="Active"/>
    <x v="2"/>
    <s v="Mangaldihi"/>
    <s v="Ruma Bagdi"/>
    <s v="0140311670"/>
    <n v="27028"/>
    <x v="3"/>
    <n v="6"/>
    <n v="90"/>
    <m/>
    <m/>
    <m/>
    <n v="2"/>
    <m/>
    <m/>
    <m/>
    <m/>
    <m/>
    <m/>
    <m/>
    <m/>
    <n v="2"/>
    <n v="0.33333333333333331"/>
  </r>
  <r>
    <x v="0"/>
    <s v="Active"/>
    <x v="0"/>
    <s v="Chandrakona"/>
    <s v="Ananya Maity Bag"/>
    <s v="2390313181"/>
    <n v="24495"/>
    <x v="6"/>
    <n v="6"/>
    <n v="90"/>
    <m/>
    <m/>
    <n v="1"/>
    <n v="1"/>
    <n v="2"/>
    <m/>
    <m/>
    <m/>
    <m/>
    <m/>
    <m/>
    <m/>
    <n v="4"/>
    <n v="0.66666666666666663"/>
  </r>
  <r>
    <x v="4"/>
    <s v="Active"/>
    <x v="0"/>
    <s v="Kamarpara"/>
    <s v="Mithu Ghosh"/>
    <s v="3390312440"/>
    <n v="23432"/>
    <x v="3"/>
    <n v="6"/>
    <n v="90"/>
    <m/>
    <m/>
    <n v="2"/>
    <m/>
    <m/>
    <m/>
    <m/>
    <m/>
    <m/>
    <m/>
    <m/>
    <m/>
    <n v="2"/>
    <n v="0.33333333333333331"/>
  </r>
  <r>
    <x v="12"/>
    <s v="Active"/>
    <x v="2"/>
    <s v="Dhuliyan"/>
    <s v="Md Asraful Hoque"/>
    <s v="2410313985"/>
    <n v="25557"/>
    <x v="4"/>
    <n v="6"/>
    <n v="90"/>
    <m/>
    <m/>
    <m/>
    <n v="1"/>
    <m/>
    <m/>
    <m/>
    <m/>
    <m/>
    <m/>
    <m/>
    <m/>
    <n v="1"/>
    <n v="0.16666666666666666"/>
  </r>
  <r>
    <x v="4"/>
    <s v="Inactive"/>
    <x v="0"/>
    <s v="Batanal"/>
    <s v="Chaitali Shit Malik"/>
    <s v="3390311948"/>
    <n v="22775"/>
    <x v="8"/>
    <n v="1"/>
    <n v="15"/>
    <m/>
    <m/>
    <m/>
    <n v="2"/>
    <n v="6"/>
    <m/>
    <m/>
    <m/>
    <m/>
    <m/>
    <m/>
    <m/>
    <n v="8"/>
    <n v="8"/>
  </r>
  <r>
    <x v="6"/>
    <s v="Active"/>
    <x v="0"/>
    <s v="Contai"/>
    <s v="Subhankar Sahoo"/>
    <s v="2380314983"/>
    <n v="27249"/>
    <x v="4"/>
    <n v="6"/>
    <n v="90"/>
    <m/>
    <m/>
    <m/>
    <n v="1"/>
    <m/>
    <m/>
    <m/>
    <m/>
    <m/>
    <m/>
    <m/>
    <m/>
    <n v="1"/>
    <n v="0.16666666666666666"/>
  </r>
  <r>
    <x v="0"/>
    <s v="Active"/>
    <x v="0"/>
    <s v="Ghatal"/>
    <s v="Chandan Satik"/>
    <s v="2390311662"/>
    <n v="22400"/>
    <x v="4"/>
    <n v="6"/>
    <n v="90"/>
    <m/>
    <m/>
    <m/>
    <n v="1"/>
    <m/>
    <m/>
    <m/>
    <m/>
    <m/>
    <m/>
    <m/>
    <m/>
    <n v="1"/>
    <n v="0.16666666666666666"/>
  </r>
  <r>
    <x v="0"/>
    <s v="Active"/>
    <x v="0"/>
    <s v="Khirpai"/>
    <s v="Sk Abbas Ali"/>
    <s v="2390311378"/>
    <n v="22073"/>
    <x v="2"/>
    <n v="6"/>
    <n v="90"/>
    <m/>
    <m/>
    <n v="1"/>
    <m/>
    <m/>
    <m/>
    <m/>
    <m/>
    <m/>
    <m/>
    <m/>
    <m/>
    <n v="1"/>
    <n v="0.16666666666666666"/>
  </r>
  <r>
    <x v="5"/>
    <s v="Active"/>
    <x v="2"/>
    <s v="Inyathpur"/>
    <s v="Tumpa Poddar"/>
    <s v="2370312246"/>
    <n v="23178"/>
    <x v="3"/>
    <n v="6"/>
    <n v="90"/>
    <m/>
    <m/>
    <n v="1"/>
    <m/>
    <m/>
    <m/>
    <m/>
    <m/>
    <m/>
    <m/>
    <m/>
    <m/>
    <n v="1"/>
    <n v="0.16666666666666666"/>
  </r>
  <r>
    <x v="0"/>
    <s v="Active"/>
    <x v="0"/>
    <s v="Banka"/>
    <s v="Shampa Mandal"/>
    <s v="2390312439"/>
    <n v="23431"/>
    <x v="5"/>
    <n v="6"/>
    <n v="90"/>
    <m/>
    <m/>
    <n v="1"/>
    <m/>
    <m/>
    <m/>
    <m/>
    <m/>
    <m/>
    <m/>
    <m/>
    <m/>
    <n v="1"/>
    <n v="0.16666666666666666"/>
  </r>
  <r>
    <x v="0"/>
    <s v="Active"/>
    <x v="0"/>
    <s v="Khirpai"/>
    <s v="Reshma Khatun"/>
    <s v="2390314453"/>
    <n v="26501"/>
    <x v="3"/>
    <n v="6"/>
    <n v="90"/>
    <m/>
    <m/>
    <n v="1"/>
    <m/>
    <m/>
    <m/>
    <m/>
    <m/>
    <m/>
    <m/>
    <m/>
    <m/>
    <n v="1"/>
    <n v="0.16666666666666666"/>
  </r>
  <r>
    <x v="10"/>
    <s v="Inactive"/>
    <x v="1"/>
    <s v="Patrasayer"/>
    <s v="Bula Karmakar"/>
    <s v="2160315824"/>
    <n v="29069"/>
    <x v="4"/>
    <n v="5"/>
    <n v="75"/>
    <m/>
    <n v="1"/>
    <m/>
    <m/>
    <m/>
    <m/>
    <m/>
    <m/>
    <m/>
    <m/>
    <m/>
    <m/>
    <n v="1"/>
    <n v="0.2"/>
  </r>
  <r>
    <x v="7"/>
    <s v="Active"/>
    <x v="2"/>
    <s v="Barobisha"/>
    <s v="Sankar Arya"/>
    <s v="2200315639"/>
    <n v="28692"/>
    <x v="4"/>
    <n v="6"/>
    <n v="90"/>
    <n v="1"/>
    <m/>
    <m/>
    <m/>
    <m/>
    <m/>
    <m/>
    <m/>
    <m/>
    <m/>
    <m/>
    <m/>
    <n v="1"/>
    <n v="0.16666666666666666"/>
  </r>
  <r>
    <x v="4"/>
    <s v="Active"/>
    <x v="0"/>
    <s v="Haripal"/>
    <s v="Sk Nasim Ali"/>
    <s v="3390312613"/>
    <n v="23669"/>
    <x v="3"/>
    <n v="6"/>
    <n v="90"/>
    <m/>
    <n v="1"/>
    <m/>
    <m/>
    <m/>
    <m/>
    <m/>
    <m/>
    <m/>
    <m/>
    <m/>
    <m/>
    <n v="1"/>
    <n v="0.16666666666666666"/>
  </r>
  <r>
    <x v="4"/>
    <s v="Active"/>
    <x v="0"/>
    <s v="Khanakul"/>
    <s v="Susobhan Patra"/>
    <s v="3390312968"/>
    <n v="24153"/>
    <x v="3"/>
    <n v="6"/>
    <n v="90"/>
    <m/>
    <m/>
    <m/>
    <n v="1"/>
    <n v="2"/>
    <m/>
    <m/>
    <m/>
    <m/>
    <m/>
    <m/>
    <m/>
    <n v="3"/>
    <n v="0.5"/>
  </r>
  <r>
    <x v="4"/>
    <s v="Active"/>
    <x v="0"/>
    <s v="Rajbalhat"/>
    <s v="Dibyendu Bhowmick"/>
    <s v="3390314186"/>
    <n v="26015"/>
    <x v="3"/>
    <n v="6"/>
    <n v="90"/>
    <m/>
    <m/>
    <m/>
    <n v="1"/>
    <m/>
    <m/>
    <m/>
    <m/>
    <m/>
    <m/>
    <m/>
    <m/>
    <n v="1"/>
    <n v="0.16666666666666666"/>
  </r>
  <r>
    <x v="4"/>
    <s v="Active"/>
    <x v="0"/>
    <s v="Mayapur"/>
    <s v="Ruma Rana"/>
    <s v="8410316172"/>
    <n v="29749"/>
    <x v="4"/>
    <n v="1"/>
    <n v="15"/>
    <m/>
    <m/>
    <m/>
    <m/>
    <m/>
    <m/>
    <m/>
    <m/>
    <m/>
    <m/>
    <m/>
    <m/>
    <m/>
    <n v="0"/>
  </r>
  <r>
    <x v="13"/>
    <s v="Active"/>
    <x v="3"/>
    <s v="Hingalganj"/>
    <s v="Khairulla Mistri"/>
    <s v="8410316210"/>
    <n v="29799"/>
    <x v="4"/>
    <n v="2"/>
    <n v="30"/>
    <m/>
    <m/>
    <m/>
    <m/>
    <m/>
    <m/>
    <m/>
    <m/>
    <m/>
    <m/>
    <m/>
    <m/>
    <m/>
    <n v="0"/>
  </r>
  <r>
    <x v="7"/>
    <s v="Active"/>
    <x v="2"/>
    <s v="Ethelbari"/>
    <s v="Tarif Baxla"/>
    <s v="8410316211"/>
    <n v="29798"/>
    <x v="4"/>
    <n v="2"/>
    <n v="30"/>
    <m/>
    <m/>
    <m/>
    <m/>
    <m/>
    <m/>
    <m/>
    <m/>
    <m/>
    <m/>
    <m/>
    <m/>
    <m/>
    <n v="0"/>
  </r>
  <r>
    <x v="7"/>
    <s v="Inactive"/>
    <x v="2"/>
    <s v="Barobisha"/>
    <s v="Virendra Narayan Nag"/>
    <s v="8967601707"/>
    <n v="29526"/>
    <x v="4"/>
    <n v="3"/>
    <n v="45"/>
    <m/>
    <m/>
    <m/>
    <m/>
    <m/>
    <m/>
    <m/>
    <m/>
    <m/>
    <m/>
    <m/>
    <m/>
    <m/>
    <m/>
  </r>
  <r>
    <x v="1"/>
    <s v="Active"/>
    <x v="1"/>
    <s v="Hridaypur"/>
    <s v="Suman Ghosh"/>
    <s v="8116659114"/>
    <n v="29525"/>
    <x v="4"/>
    <n v="4"/>
    <n v="60"/>
    <m/>
    <m/>
    <m/>
    <m/>
    <m/>
    <m/>
    <m/>
    <m/>
    <m/>
    <m/>
    <m/>
    <m/>
    <m/>
    <m/>
  </r>
  <r>
    <x v="7"/>
    <s v="Inactive"/>
    <x v="2"/>
    <s v="Buxa Forest Craja"/>
    <s v="Md Khalique Ansari "/>
    <s v="9490315684"/>
    <n v="28825"/>
    <x v="4"/>
    <n v="5"/>
    <n v="75"/>
    <m/>
    <m/>
    <m/>
    <m/>
    <m/>
    <m/>
    <m/>
    <m/>
    <m/>
    <m/>
    <m/>
    <m/>
    <m/>
    <n v="0"/>
  </r>
  <r>
    <x v="1"/>
    <s v="Active"/>
    <x v="1"/>
    <s v="Ranaghat"/>
    <s v="Kishore Bhakta"/>
    <s v="2430315568"/>
    <n v="28482"/>
    <x v="4"/>
    <n v="6"/>
    <n v="90"/>
    <m/>
    <m/>
    <m/>
    <m/>
    <m/>
    <m/>
    <m/>
    <m/>
    <m/>
    <m/>
    <m/>
    <m/>
    <m/>
    <n v="0"/>
  </r>
  <r>
    <x v="1"/>
    <s v="Active"/>
    <x v="1"/>
    <s v="Ranaghat"/>
    <s v="Sagari Ghosh"/>
    <s v="2430314519"/>
    <n v="26595"/>
    <x v="6"/>
    <n v="6"/>
    <n v="90"/>
    <m/>
    <m/>
    <m/>
    <m/>
    <m/>
    <m/>
    <m/>
    <m/>
    <m/>
    <m/>
    <m/>
    <m/>
    <m/>
    <n v="0"/>
  </r>
  <r>
    <x v="4"/>
    <s v="Active"/>
    <x v="0"/>
    <s v="Polba"/>
    <s v="Arindam Sadhukhan"/>
    <s v="3390315433"/>
    <n v="28201"/>
    <x v="5"/>
    <n v="6"/>
    <n v="90"/>
    <m/>
    <m/>
    <m/>
    <m/>
    <m/>
    <m/>
    <m/>
    <m/>
    <m/>
    <m/>
    <m/>
    <m/>
    <m/>
    <n v="0"/>
  </r>
  <r>
    <x v="4"/>
    <s v="Active"/>
    <x v="0"/>
    <s v="Sahapur"/>
    <s v="Bishal Maity"/>
    <s v="3390312548"/>
    <n v="23565"/>
    <x v="5"/>
    <n v="6"/>
    <n v="90"/>
    <m/>
    <m/>
    <m/>
    <m/>
    <m/>
    <m/>
    <m/>
    <m/>
    <m/>
    <m/>
    <m/>
    <m/>
    <m/>
    <n v="0"/>
  </r>
  <r>
    <x v="0"/>
    <s v="Active"/>
    <x v="0"/>
    <s v="Banka"/>
    <s v="Subhajit Chanda"/>
    <s v="2390312543"/>
    <n v="23560"/>
    <x v="6"/>
    <n v="6"/>
    <n v="90"/>
    <m/>
    <m/>
    <m/>
    <m/>
    <m/>
    <m/>
    <m/>
    <m/>
    <m/>
    <m/>
    <m/>
    <m/>
    <m/>
    <n v="0"/>
  </r>
  <r>
    <x v="9"/>
    <s v="Active"/>
    <x v="2"/>
    <s v="Dharampur"/>
    <s v="Md Zulfikar Ali"/>
    <s v="0140315201"/>
    <n v="27792"/>
    <x v="6"/>
    <n v="6"/>
    <n v="90"/>
    <m/>
    <m/>
    <m/>
    <m/>
    <m/>
    <m/>
    <m/>
    <m/>
    <m/>
    <m/>
    <m/>
    <m/>
    <m/>
    <n v="0"/>
  </r>
  <r>
    <x v="11"/>
    <s v="Active"/>
    <x v="2"/>
    <s v="Kanupur"/>
    <s v="Shobhan Majhi"/>
    <s v="2410311257"/>
    <n v="21926"/>
    <x v="5"/>
    <n v="6"/>
    <n v="90"/>
    <m/>
    <m/>
    <m/>
    <m/>
    <n v="4"/>
    <m/>
    <m/>
    <m/>
    <m/>
    <m/>
    <m/>
    <m/>
    <m/>
    <n v="0"/>
  </r>
  <r>
    <x v="11"/>
    <s v="Active"/>
    <x v="2"/>
    <s v="Sagarpara"/>
    <s v="Habibur Rahaman"/>
    <s v="2410311259"/>
    <n v="28860"/>
    <x v="5"/>
    <n v="6"/>
    <n v="90"/>
    <m/>
    <m/>
    <m/>
    <m/>
    <m/>
    <m/>
    <m/>
    <m/>
    <m/>
    <m/>
    <m/>
    <m/>
    <m/>
    <n v="0"/>
  </r>
  <r>
    <x v="12"/>
    <s v="Active"/>
    <x v="2"/>
    <s v="Nabagram"/>
    <s v="Sahabuddin Ahmed"/>
    <s v="2410312329"/>
    <n v="23270"/>
    <x v="5"/>
    <n v="6"/>
    <n v="90"/>
    <m/>
    <m/>
    <m/>
    <m/>
    <m/>
    <m/>
    <m/>
    <m/>
    <m/>
    <m/>
    <m/>
    <m/>
    <m/>
    <n v="0"/>
  </r>
  <r>
    <x v="6"/>
    <s v="Active"/>
    <x v="0"/>
    <s v="Kolaghat (Ktpps)"/>
    <s v="Sudipta Mandal"/>
    <s v="2380315163"/>
    <n v="27637"/>
    <x v="4"/>
    <n v="6"/>
    <n v="90"/>
    <m/>
    <m/>
    <m/>
    <m/>
    <m/>
    <m/>
    <m/>
    <m/>
    <m/>
    <m/>
    <m/>
    <m/>
    <m/>
    <n v="0"/>
  </r>
  <r>
    <x v="6"/>
    <s v="Active"/>
    <x v="0"/>
    <s v="Panskura"/>
    <s v="Prasanta Ghorai"/>
    <s v="9635383167"/>
    <n v="29527"/>
    <x v="9"/>
    <n v="4"/>
    <n v="60"/>
    <m/>
    <m/>
    <m/>
    <m/>
    <m/>
    <m/>
    <m/>
    <m/>
    <m/>
    <m/>
    <m/>
    <m/>
    <m/>
    <n v="0"/>
  </r>
  <r>
    <x v="1"/>
    <s v="Active"/>
    <x v="1"/>
    <s v="Santipur"/>
    <s v="Najmira Khatun"/>
    <s v="2430315335"/>
    <n v="28075"/>
    <x v="4"/>
    <n v="6"/>
    <n v="90"/>
    <m/>
    <m/>
    <m/>
    <m/>
    <m/>
    <m/>
    <m/>
    <m/>
    <m/>
    <m/>
    <m/>
    <m/>
    <m/>
    <n v="0"/>
  </r>
  <r>
    <x v="1"/>
    <s v="Inactive"/>
    <x v="1"/>
    <s v="Chakdaha"/>
    <s v="Kiran Biswas"/>
    <s v="2430315343"/>
    <n v="28083"/>
    <x v="4"/>
    <n v="5"/>
    <n v="75"/>
    <m/>
    <m/>
    <m/>
    <m/>
    <m/>
    <m/>
    <m/>
    <m/>
    <m/>
    <m/>
    <m/>
    <m/>
    <m/>
    <n v="0"/>
  </r>
  <r>
    <x v="6"/>
    <s v="Active"/>
    <x v="0"/>
    <s v="Keshapat"/>
    <s v="Subhankar Samanta"/>
    <s v="2380311664"/>
    <n v="22402"/>
    <x v="4"/>
    <n v="6"/>
    <n v="90"/>
    <m/>
    <m/>
    <m/>
    <m/>
    <m/>
    <m/>
    <m/>
    <m/>
    <m/>
    <m/>
    <m/>
    <m/>
    <m/>
    <n v="0"/>
  </r>
  <r>
    <x v="4"/>
    <s v="Active"/>
    <x v="0"/>
    <s v="Dasghara"/>
    <s v="Sabir Amed"/>
    <s v="3390312282"/>
    <n v="23214"/>
    <x v="4"/>
    <n v="6"/>
    <n v="90"/>
    <m/>
    <m/>
    <m/>
    <m/>
    <m/>
    <m/>
    <m/>
    <m/>
    <m/>
    <m/>
    <m/>
    <m/>
    <m/>
    <n v="0"/>
  </r>
  <r>
    <x v="6"/>
    <s v="Active"/>
    <x v="0"/>
    <s v="Tamluk"/>
    <s v="Soumen Baichar"/>
    <s v="2390314474"/>
    <n v="26530"/>
    <x v="4"/>
    <n v="6"/>
    <n v="90"/>
    <m/>
    <m/>
    <m/>
    <m/>
    <m/>
    <m/>
    <m/>
    <m/>
    <m/>
    <m/>
    <m/>
    <m/>
    <m/>
    <n v="0"/>
  </r>
  <r>
    <x v="4"/>
    <s v="Active"/>
    <x v="0"/>
    <s v="Saidpur"/>
    <s v="Puja Manna"/>
    <s v="3390311696"/>
    <n v="22453"/>
    <x v="4"/>
    <n v="6"/>
    <n v="90"/>
    <m/>
    <m/>
    <m/>
    <m/>
    <m/>
    <m/>
    <m/>
    <m/>
    <m/>
    <m/>
    <m/>
    <m/>
    <m/>
    <n v="0"/>
  </r>
  <r>
    <x v="1"/>
    <s v="Active"/>
    <x v="1"/>
    <s v="Santipur"/>
    <s v="Partha Dey"/>
    <s v="2430315570"/>
    <n v="29089"/>
    <x v="4"/>
    <n v="6"/>
    <n v="90"/>
    <m/>
    <m/>
    <m/>
    <m/>
    <m/>
    <m/>
    <m/>
    <m/>
    <m/>
    <m/>
    <m/>
    <m/>
    <m/>
    <n v="0"/>
  </r>
  <r>
    <x v="10"/>
    <s v="Inactive"/>
    <x v="1"/>
    <s v="Patrasayer"/>
    <s v="Manorama Chakraborty Roy "/>
    <s v="2160315496"/>
    <n v="28305"/>
    <x v="4"/>
    <n v="4"/>
    <n v="60"/>
    <m/>
    <m/>
    <m/>
    <m/>
    <m/>
    <m/>
    <m/>
    <m/>
    <m/>
    <m/>
    <m/>
    <m/>
    <m/>
    <n v="0"/>
  </r>
  <r>
    <x v="9"/>
    <s v="Inactive"/>
    <x v="2"/>
    <s v="Lohapur"/>
    <s v="Suraj Fulmali"/>
    <s v="0140311327"/>
    <n v="27437"/>
    <x v="4"/>
    <n v="2"/>
    <n v="30"/>
    <m/>
    <m/>
    <m/>
    <m/>
    <m/>
    <m/>
    <m/>
    <m/>
    <m/>
    <m/>
    <m/>
    <m/>
    <m/>
    <n v="0"/>
  </r>
  <r>
    <x v="1"/>
    <s v="Inactive"/>
    <x v="1"/>
    <s v="Hridaypur"/>
    <s v="Nitish Mondal"/>
    <s v="8942919438"/>
    <n v="29524"/>
    <x v="4"/>
    <n v="1"/>
    <n v="15"/>
    <m/>
    <m/>
    <m/>
    <m/>
    <m/>
    <m/>
    <m/>
    <m/>
    <m/>
    <m/>
    <m/>
    <m/>
    <m/>
    <m/>
  </r>
  <r>
    <x v="1"/>
    <s v="Inactive"/>
    <x v="1"/>
    <s v="Hridaypur"/>
    <s v="Asim Halder"/>
    <s v="2430315807"/>
    <n v="29052"/>
    <x v="4"/>
    <n v="3"/>
    <n v="45"/>
    <m/>
    <m/>
    <m/>
    <m/>
    <m/>
    <m/>
    <m/>
    <m/>
    <m/>
    <m/>
    <m/>
    <m/>
    <m/>
    <n v="0"/>
  </r>
  <r>
    <x v="4"/>
    <s v="Inactive"/>
    <x v="0"/>
    <s v="Mangrul"/>
    <s v="Prasenjit Ghosh"/>
    <s v="2390311944"/>
    <n v="22771"/>
    <x v="10"/>
    <n v="0"/>
    <n v="0"/>
    <m/>
    <m/>
    <m/>
    <m/>
    <m/>
    <m/>
    <m/>
    <m/>
    <m/>
    <m/>
    <m/>
    <m/>
    <m/>
    <e v="#DIV/0!"/>
  </r>
  <r>
    <x v="9"/>
    <s v="Inactive"/>
    <x v="2"/>
    <s v="Mangaldihi"/>
    <s v="Swarup Sadhu"/>
    <s v="0140311670"/>
    <n v="22424"/>
    <x v="10"/>
    <n v="0"/>
    <n v="0"/>
    <m/>
    <m/>
    <m/>
    <m/>
    <m/>
    <m/>
    <m/>
    <m/>
    <m/>
    <m/>
    <m/>
    <m/>
    <m/>
    <e v="#DIV/0!"/>
  </r>
  <r>
    <x v="1"/>
    <s v="Inactive"/>
    <x v="1"/>
    <s v="Badkulla"/>
    <s v="Amit Sikder"/>
    <s v="2430315185"/>
    <n v="27731"/>
    <x v="4"/>
    <n v="2"/>
    <n v="30"/>
    <m/>
    <m/>
    <m/>
    <m/>
    <m/>
    <m/>
    <m/>
    <m/>
    <m/>
    <m/>
    <m/>
    <m/>
    <m/>
    <n v="0"/>
  </r>
  <r>
    <x v="10"/>
    <s v="Inactive"/>
    <x v="1"/>
    <s v="Kotulpur"/>
    <s v="Sayan Dutta"/>
    <s v="2160315608"/>
    <n v="28601"/>
    <x v="4"/>
    <n v="1"/>
    <n v="15"/>
    <m/>
    <m/>
    <m/>
    <m/>
    <m/>
    <m/>
    <m/>
    <m/>
    <m/>
    <m/>
    <m/>
    <m/>
    <m/>
    <n v="0"/>
  </r>
  <r>
    <x v="6"/>
    <s v="Inactive"/>
    <x v="0"/>
    <s v="Contai"/>
    <s v="Sulekha Das"/>
    <s v="2380314986"/>
    <n v="27252"/>
    <x v="8"/>
    <n v="0"/>
    <n v="0"/>
    <m/>
    <m/>
    <m/>
    <m/>
    <m/>
    <m/>
    <m/>
    <m/>
    <m/>
    <m/>
    <m/>
    <m/>
    <m/>
    <e v="#DIV/0!"/>
  </r>
  <r>
    <x v="4"/>
    <s v="Inactive"/>
    <x v="0"/>
    <s v="Mayapur"/>
    <s v="Falguni Samanta"/>
    <s v="3390311256"/>
    <n v="21925"/>
    <x v="8"/>
    <n v="0"/>
    <n v="0"/>
    <m/>
    <m/>
    <m/>
    <m/>
    <m/>
    <m/>
    <m/>
    <m/>
    <m/>
    <m/>
    <m/>
    <m/>
    <m/>
    <e v="#DIV/0!"/>
  </r>
  <r>
    <x v="10"/>
    <s v="Inactive"/>
    <x v="1"/>
    <s v="Layekbandh"/>
    <s v="Debasis Dey"/>
    <s v="2160315158"/>
    <n v="27632"/>
    <x v="8"/>
    <n v="0"/>
    <n v="0"/>
    <m/>
    <m/>
    <m/>
    <m/>
    <m/>
    <m/>
    <m/>
    <m/>
    <m/>
    <m/>
    <m/>
    <m/>
    <m/>
    <e v="#DIV/0!"/>
  </r>
  <r>
    <x v="7"/>
    <s v="Inactive"/>
    <x v="2"/>
    <s v="Maynaguri"/>
    <s v="Biswajit Roy"/>
    <s v="2310311260"/>
    <n v="21929"/>
    <x v="8"/>
    <n v="0"/>
    <n v="0"/>
    <m/>
    <m/>
    <m/>
    <m/>
    <m/>
    <m/>
    <m/>
    <m/>
    <m/>
    <m/>
    <m/>
    <m/>
    <m/>
    <e v="#DIV/0!"/>
  </r>
  <r>
    <x v="6"/>
    <s v="Inactive"/>
    <x v="0"/>
    <s v="Contai"/>
    <s v="Narayan Ojha"/>
    <s v="2380314459"/>
    <n v="26507"/>
    <x v="8"/>
    <n v="0"/>
    <n v="0"/>
    <m/>
    <m/>
    <m/>
    <m/>
    <m/>
    <m/>
    <m/>
    <m/>
    <m/>
    <m/>
    <m/>
    <m/>
    <m/>
    <e v="#DIV/0!"/>
  </r>
  <r>
    <x v="4"/>
    <s v="Inactive"/>
    <x v="0"/>
    <s v="Arambagh"/>
    <s v="Sk Momin Uddin"/>
    <s v="3390313207"/>
    <n v="24527"/>
    <x v="8"/>
    <n v="0"/>
    <n v="0"/>
    <m/>
    <m/>
    <m/>
    <m/>
    <m/>
    <m/>
    <m/>
    <m/>
    <m/>
    <m/>
    <m/>
    <m/>
    <m/>
    <e v="#DIV/0!"/>
  </r>
  <r>
    <x v="9"/>
    <s v="Inactive"/>
    <x v="2"/>
    <s v="Koytha"/>
    <s v="Tamarul Sk"/>
    <s v="0140311624"/>
    <n v="22361"/>
    <x v="8"/>
    <n v="0"/>
    <n v="0"/>
    <m/>
    <m/>
    <m/>
    <m/>
    <m/>
    <m/>
    <m/>
    <m/>
    <m/>
    <m/>
    <m/>
    <m/>
    <m/>
    <e v="#DIV/0!"/>
  </r>
  <r>
    <x v="9"/>
    <s v="Inactive"/>
    <x v="2"/>
    <s v="Mangaldihi"/>
    <s v="Sk Khairul Hossain"/>
    <s v="0140310490"/>
    <n v="20983"/>
    <x v="8"/>
    <n v="0"/>
    <n v="0"/>
    <m/>
    <m/>
    <m/>
    <m/>
    <m/>
    <m/>
    <m/>
    <m/>
    <m/>
    <m/>
    <m/>
    <m/>
    <m/>
    <e v="#DIV/0!"/>
  </r>
  <r>
    <x v="1"/>
    <s v="Inactive"/>
    <x v="1"/>
    <s v="Hridaypur"/>
    <s v="Saiful Sekh"/>
    <s v="2430314735"/>
    <n v="26881"/>
    <x v="8"/>
    <n v="0"/>
    <n v="0"/>
    <m/>
    <m/>
    <m/>
    <m/>
    <m/>
    <m/>
    <m/>
    <m/>
    <m/>
    <m/>
    <m/>
    <m/>
    <m/>
    <e v="#DIV/0!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Active"/>
    <x v="0"/>
    <s v="Haringhata"/>
    <s v="Eyakub Mondal"/>
    <s v="2430315345"/>
    <n v="28085"/>
    <n v="6"/>
    <n v="180"/>
    <n v="18"/>
    <n v="170"/>
    <n v="28"/>
    <n v="66"/>
    <n v="22"/>
    <n v="2"/>
    <m/>
    <m/>
    <m/>
    <m/>
    <m/>
    <m/>
    <n v="306"/>
    <n v="51"/>
  </r>
  <r>
    <x v="1"/>
    <s v="Active"/>
    <x v="0"/>
    <s v="Anara"/>
    <s v="Biswajit Majee"/>
    <s v="2460314961"/>
    <n v="27219"/>
    <n v="6"/>
    <n v="180"/>
    <n v="54"/>
    <n v="96"/>
    <n v="45"/>
    <n v="44"/>
    <n v="45"/>
    <n v="6"/>
    <m/>
    <m/>
    <m/>
    <m/>
    <m/>
    <m/>
    <n v="290"/>
    <n v="48.333333333333336"/>
  </r>
  <r>
    <x v="2"/>
    <s v="Active"/>
    <x v="1"/>
    <s v="Sagardighi Square"/>
    <s v="Rajani Roy"/>
    <s v="2200310076"/>
    <n v="20502"/>
    <n v="6"/>
    <n v="180"/>
    <n v="37"/>
    <n v="47"/>
    <n v="57"/>
    <n v="99"/>
    <n v="36"/>
    <n v="4"/>
    <m/>
    <m/>
    <m/>
    <m/>
    <m/>
    <m/>
    <n v="280"/>
    <n v="46.666666666666664"/>
  </r>
  <r>
    <x v="0"/>
    <s v="Active"/>
    <x v="0"/>
    <s v="Hridaypur"/>
    <s v="Injamul Rahaman "/>
    <s v="2430314512"/>
    <n v="26588"/>
    <n v="6"/>
    <n v="180"/>
    <n v="24"/>
    <n v="90"/>
    <n v="34"/>
    <n v="55"/>
    <n v="32"/>
    <n v="3"/>
    <m/>
    <m/>
    <m/>
    <m/>
    <m/>
    <m/>
    <n v="238"/>
    <n v="39.666666666666664"/>
  </r>
  <r>
    <x v="3"/>
    <s v="Active"/>
    <x v="1"/>
    <s v="Damanpur"/>
    <s v="Biplab Barman"/>
    <s v="9490310566"/>
    <n v="21091"/>
    <n v="6"/>
    <n v="180"/>
    <n v="25"/>
    <n v="37"/>
    <n v="35"/>
    <n v="47"/>
    <n v="28"/>
    <n v="2"/>
    <m/>
    <m/>
    <m/>
    <m/>
    <m/>
    <m/>
    <n v="174"/>
    <n v="29"/>
  </r>
  <r>
    <x v="4"/>
    <s v="Active"/>
    <x v="2"/>
    <s v="Rajhati"/>
    <s v="Arnnapurna Maji"/>
    <s v="3390311610"/>
    <n v="22346"/>
    <n v="6"/>
    <n v="180"/>
    <n v="13"/>
    <n v="65"/>
    <n v="28"/>
    <n v="38"/>
    <n v="28"/>
    <n v="1"/>
    <m/>
    <m/>
    <m/>
    <m/>
    <m/>
    <m/>
    <n v="173"/>
    <n v="28.833333333333332"/>
  </r>
  <r>
    <x v="5"/>
    <s v="Active"/>
    <x v="1"/>
    <s v="Dhuliyan"/>
    <s v="Md Asraful Hoque"/>
    <s v="2410313985"/>
    <n v="25557"/>
    <n v="6"/>
    <n v="180"/>
    <n v="23"/>
    <n v="43"/>
    <n v="18"/>
    <n v="34"/>
    <n v="27"/>
    <n v="8"/>
    <m/>
    <m/>
    <m/>
    <m/>
    <m/>
    <m/>
    <n v="153"/>
    <n v="25.5"/>
  </r>
  <r>
    <x v="6"/>
    <s v="Active"/>
    <x v="2"/>
    <s v="Jhargram"/>
    <s v="Sk Imran"/>
    <s v="2390311695"/>
    <n v="22452"/>
    <n v="6"/>
    <n v="180"/>
    <n v="12"/>
    <n v="38"/>
    <n v="38"/>
    <n v="24"/>
    <n v="21"/>
    <n v="6"/>
    <m/>
    <m/>
    <m/>
    <m/>
    <m/>
    <m/>
    <n v="139"/>
    <n v="23.166666666666668"/>
  </r>
  <r>
    <x v="0"/>
    <s v="Active"/>
    <x v="0"/>
    <s v="Santipur"/>
    <s v="Sahabul Mandal"/>
    <s v="2430315156"/>
    <n v="27630"/>
    <n v="6"/>
    <n v="180"/>
    <n v="12"/>
    <n v="23"/>
    <n v="28"/>
    <n v="53"/>
    <n v="17"/>
    <n v="4"/>
    <m/>
    <m/>
    <m/>
    <m/>
    <m/>
    <m/>
    <n v="137"/>
    <n v="22.833333333333332"/>
  </r>
  <r>
    <x v="6"/>
    <s v="Active"/>
    <x v="2"/>
    <s v="Binpur"/>
    <s v="Debika Singha Patra"/>
    <s v="2390311962"/>
    <n v="22789"/>
    <n v="6"/>
    <n v="180"/>
    <n v="4"/>
    <n v="18"/>
    <n v="33"/>
    <n v="38"/>
    <n v="35"/>
    <n v="8"/>
    <m/>
    <m/>
    <m/>
    <m/>
    <m/>
    <m/>
    <n v="136"/>
    <n v="22.666666666666668"/>
  </r>
  <r>
    <x v="4"/>
    <s v="Active"/>
    <x v="2"/>
    <s v="Rajhati"/>
    <s v="Santanu Ghosh"/>
    <s v="3390314383"/>
    <n v="26399"/>
    <n v="6"/>
    <n v="180"/>
    <n v="12"/>
    <n v="36"/>
    <n v="29"/>
    <n v="33"/>
    <n v="21"/>
    <n v="4"/>
    <m/>
    <m/>
    <m/>
    <m/>
    <m/>
    <m/>
    <n v="135"/>
    <n v="22.5"/>
  </r>
  <r>
    <x v="4"/>
    <s v="Active"/>
    <x v="2"/>
    <s v="Jirat"/>
    <s v="Sahadeb Chakraborty"/>
    <s v="3390314204"/>
    <n v="26084"/>
    <n v="6"/>
    <n v="180"/>
    <n v="8"/>
    <n v="36"/>
    <n v="35"/>
    <n v="23"/>
    <n v="22"/>
    <n v="5"/>
    <m/>
    <m/>
    <m/>
    <m/>
    <m/>
    <m/>
    <n v="129"/>
    <n v="21.5"/>
  </r>
  <r>
    <x v="3"/>
    <s v="Active"/>
    <x v="1"/>
    <s v="Barobisha"/>
    <s v="Md Akimuzzaman"/>
    <s v="2310315481"/>
    <n v="28270"/>
    <n v="6"/>
    <n v="180"/>
    <n v="10"/>
    <n v="25"/>
    <n v="33"/>
    <n v="28"/>
    <n v="26"/>
    <n v="6"/>
    <m/>
    <m/>
    <m/>
    <m/>
    <m/>
    <m/>
    <n v="128"/>
    <n v="21.333333333333332"/>
  </r>
  <r>
    <x v="2"/>
    <s v="Active"/>
    <x v="1"/>
    <s v="Sagardighi Square"/>
    <s v="Ajit Modak"/>
    <s v="2200309916"/>
    <n v="20322"/>
    <n v="6"/>
    <n v="180"/>
    <n v="23"/>
    <n v="30"/>
    <n v="30"/>
    <n v="24"/>
    <n v="16"/>
    <n v="5"/>
    <m/>
    <m/>
    <m/>
    <m/>
    <m/>
    <m/>
    <n v="128"/>
    <n v="21.333333333333332"/>
  </r>
  <r>
    <x v="7"/>
    <s v="Active"/>
    <x v="1"/>
    <s v="Kapista"/>
    <s v="Swarup Karmakar"/>
    <s v="0140311629"/>
    <n v="22366"/>
    <n v="6"/>
    <n v="180"/>
    <n v="9"/>
    <n v="25"/>
    <n v="23"/>
    <n v="18"/>
    <n v="30"/>
    <n v="5"/>
    <m/>
    <m/>
    <m/>
    <m/>
    <m/>
    <m/>
    <n v="110"/>
    <n v="18.333333333333332"/>
  </r>
  <r>
    <x v="6"/>
    <s v="Active"/>
    <x v="2"/>
    <s v="Nayabasat"/>
    <s v="Mousumi Chanda Dey"/>
    <s v="2390315855"/>
    <n v="29123"/>
    <n v="6"/>
    <n v="180"/>
    <n v="28"/>
    <n v="15"/>
    <n v="26"/>
    <n v="18"/>
    <n v="18"/>
    <n v="3"/>
    <m/>
    <m/>
    <m/>
    <m/>
    <m/>
    <m/>
    <n v="108"/>
    <n v="18"/>
  </r>
  <r>
    <x v="8"/>
    <s v="Active"/>
    <x v="0"/>
    <s v="Patuli"/>
    <s v="Satyajit Kar"/>
    <s v="3390314928"/>
    <n v="27154"/>
    <n v="6"/>
    <n v="180"/>
    <n v="8"/>
    <n v="36"/>
    <n v="28"/>
    <n v="9"/>
    <n v="18"/>
    <n v="5"/>
    <m/>
    <m/>
    <m/>
    <m/>
    <m/>
    <m/>
    <n v="104"/>
    <n v="17.333333333333332"/>
  </r>
  <r>
    <x v="7"/>
    <s v="Active"/>
    <x v="1"/>
    <s v="Paikar"/>
    <s v="Saheb Sk"/>
    <s v="0140311324"/>
    <n v="21999"/>
    <n v="6"/>
    <n v="180"/>
    <n v="26"/>
    <n v="20"/>
    <n v="16"/>
    <n v="19"/>
    <n v="18"/>
    <n v="4"/>
    <m/>
    <m/>
    <m/>
    <m/>
    <m/>
    <m/>
    <n v="103"/>
    <n v="17.166666666666668"/>
  </r>
  <r>
    <x v="4"/>
    <s v="Active"/>
    <x v="2"/>
    <s v="Rajbalhat"/>
    <s v="Dibyendu Bhowmick"/>
    <s v="3390314186"/>
    <n v="26015"/>
    <n v="6"/>
    <n v="180"/>
    <n v="7"/>
    <n v="14"/>
    <n v="35"/>
    <n v="19"/>
    <n v="18"/>
    <m/>
    <m/>
    <m/>
    <m/>
    <m/>
    <m/>
    <m/>
    <n v="93"/>
    <n v="15.5"/>
  </r>
  <r>
    <x v="6"/>
    <s v="Active"/>
    <x v="2"/>
    <s v="Kankabati"/>
    <s v="Mita Samanta"/>
    <s v="2390311663"/>
    <n v="22401"/>
    <n v="6"/>
    <n v="180"/>
    <m/>
    <n v="77"/>
    <n v="12"/>
    <m/>
    <n v="3"/>
    <m/>
    <m/>
    <m/>
    <m/>
    <m/>
    <m/>
    <m/>
    <n v="92"/>
    <n v="15.333333333333334"/>
  </r>
  <r>
    <x v="1"/>
    <s v="Active"/>
    <x v="0"/>
    <s v="Jhantipahari"/>
    <s v="Asish Kumar Mandal"/>
    <s v="2160314962"/>
    <n v="27220"/>
    <n v="6"/>
    <n v="180"/>
    <n v="16"/>
    <n v="25"/>
    <n v="11"/>
    <n v="15"/>
    <n v="19"/>
    <n v="3"/>
    <m/>
    <m/>
    <m/>
    <m/>
    <m/>
    <m/>
    <n v="89"/>
    <n v="14.833333333333334"/>
  </r>
  <r>
    <x v="6"/>
    <s v="Active"/>
    <x v="2"/>
    <s v="Khirpai"/>
    <s v="Sk Abbas Ali"/>
    <s v="2390311378"/>
    <n v="22073"/>
    <n v="6"/>
    <n v="180"/>
    <n v="9"/>
    <n v="26"/>
    <n v="15"/>
    <n v="22"/>
    <n v="14"/>
    <n v="1"/>
    <m/>
    <m/>
    <m/>
    <m/>
    <m/>
    <m/>
    <n v="87"/>
    <n v="14.5"/>
  </r>
  <r>
    <x v="9"/>
    <s v="Active"/>
    <x v="1"/>
    <s v="Kaluari"/>
    <s v="Masidur Rahaman"/>
    <s v="2370310973"/>
    <n v="21583"/>
    <n v="6"/>
    <n v="180"/>
    <n v="7"/>
    <n v="21"/>
    <n v="20"/>
    <n v="16"/>
    <n v="15"/>
    <n v="6"/>
    <m/>
    <m/>
    <m/>
    <m/>
    <m/>
    <m/>
    <n v="85"/>
    <n v="14.166666666666666"/>
  </r>
  <r>
    <x v="0"/>
    <s v="Active"/>
    <x v="0"/>
    <s v="Hridaypur"/>
    <s v="Suman Ghosh"/>
    <s v="8116659114"/>
    <n v="29525"/>
    <n v="4"/>
    <n v="120"/>
    <m/>
    <m/>
    <n v="22"/>
    <n v="48"/>
    <n v="13"/>
    <n v="2"/>
    <m/>
    <m/>
    <m/>
    <m/>
    <m/>
    <m/>
    <n v="85"/>
    <n v="21.25"/>
  </r>
  <r>
    <x v="4"/>
    <s v="Active"/>
    <x v="2"/>
    <s v="Sahapur"/>
    <s v="Bishal Maity"/>
    <s v="3390312548"/>
    <n v="23565"/>
    <n v="6"/>
    <n v="180"/>
    <n v="4"/>
    <n v="11"/>
    <n v="26"/>
    <n v="18"/>
    <n v="17"/>
    <n v="4"/>
    <m/>
    <m/>
    <m/>
    <m/>
    <m/>
    <m/>
    <n v="80"/>
    <n v="13.333333333333334"/>
  </r>
  <r>
    <x v="10"/>
    <s v="Active"/>
    <x v="1"/>
    <s v="Raiganj"/>
    <s v="Joydev Das"/>
    <s v="2560315042"/>
    <n v="27372"/>
    <n v="6"/>
    <n v="180"/>
    <n v="13"/>
    <n v="20"/>
    <n v="9"/>
    <n v="19"/>
    <n v="14"/>
    <n v="1"/>
    <m/>
    <m/>
    <m/>
    <m/>
    <m/>
    <m/>
    <n v="76"/>
    <n v="12.666666666666666"/>
  </r>
  <r>
    <x v="0"/>
    <s v="Active"/>
    <x v="0"/>
    <s v="Hidaypur"/>
    <s v="Akramul Shaikh"/>
    <s v="2430315571"/>
    <n v="28485"/>
    <n v="6"/>
    <n v="180"/>
    <n v="4"/>
    <n v="29"/>
    <n v="9"/>
    <n v="22"/>
    <n v="9"/>
    <m/>
    <m/>
    <m/>
    <m/>
    <m/>
    <m/>
    <m/>
    <n v="73"/>
    <n v="12.166666666666666"/>
  </r>
  <r>
    <x v="11"/>
    <s v="Active"/>
    <x v="2"/>
    <s v="Panskura"/>
    <s v="Kartik Maity"/>
    <s v="2380311666"/>
    <n v="22404"/>
    <n v="6"/>
    <n v="180"/>
    <n v="7"/>
    <n v="15"/>
    <n v="12"/>
    <n v="23"/>
    <n v="7"/>
    <n v="1"/>
    <m/>
    <m/>
    <m/>
    <m/>
    <m/>
    <m/>
    <n v="65"/>
    <n v="10.833333333333334"/>
  </r>
  <r>
    <x v="2"/>
    <s v="Active"/>
    <x v="1"/>
    <s v="Sagardighi Square"/>
    <s v="Khurshid Alom "/>
    <s v="2200311941"/>
    <n v="22768"/>
    <n v="6"/>
    <n v="180"/>
    <n v="6"/>
    <n v="4"/>
    <n v="17"/>
    <n v="19"/>
    <n v="17"/>
    <n v="1"/>
    <m/>
    <m/>
    <m/>
    <m/>
    <m/>
    <m/>
    <n v="64"/>
    <n v="10.666666666666666"/>
  </r>
  <r>
    <x v="0"/>
    <s v="Active"/>
    <x v="0"/>
    <s v="Santipur"/>
    <s v="Najmira Khatun"/>
    <s v="2430315335"/>
    <n v="28075"/>
    <n v="6"/>
    <n v="180"/>
    <n v="7"/>
    <n v="12"/>
    <n v="9"/>
    <n v="22"/>
    <n v="10"/>
    <n v="4"/>
    <m/>
    <m/>
    <m/>
    <m/>
    <m/>
    <m/>
    <n v="64"/>
    <n v="10.666666666666666"/>
  </r>
  <r>
    <x v="9"/>
    <s v="Active"/>
    <x v="1"/>
    <s v="Inyathpur"/>
    <s v="Tumpa Poddar"/>
    <s v="2370312246"/>
    <n v="23178"/>
    <n v="6"/>
    <n v="180"/>
    <n v="11"/>
    <n v="14"/>
    <n v="11"/>
    <n v="18"/>
    <n v="6"/>
    <n v="4"/>
    <m/>
    <m/>
    <m/>
    <m/>
    <m/>
    <m/>
    <n v="64"/>
    <n v="10.666666666666666"/>
  </r>
  <r>
    <x v="1"/>
    <s v="Active"/>
    <x v="0"/>
    <s v="Patrasayer"/>
    <s v="Satish Ankure"/>
    <s v="2160314679"/>
    <n v="26810"/>
    <n v="6"/>
    <n v="180"/>
    <n v="6"/>
    <n v="6"/>
    <n v="5"/>
    <n v="25"/>
    <n v="21"/>
    <m/>
    <m/>
    <m/>
    <m/>
    <m/>
    <m/>
    <m/>
    <n v="63"/>
    <n v="10.5"/>
  </r>
  <r>
    <x v="8"/>
    <s v="Active"/>
    <x v="0"/>
    <s v="Kushodanga"/>
    <s v="Priti Das"/>
    <s v="3390315408"/>
    <n v="28176"/>
    <n v="6"/>
    <n v="180"/>
    <n v="5"/>
    <n v="5"/>
    <n v="9"/>
    <n v="20"/>
    <n v="17"/>
    <n v="7"/>
    <m/>
    <m/>
    <m/>
    <m/>
    <m/>
    <m/>
    <n v="63"/>
    <n v="10.5"/>
  </r>
  <r>
    <x v="6"/>
    <s v="Active"/>
    <x v="2"/>
    <s v="Ghatal"/>
    <s v="Chandan Satik"/>
    <s v="2390311662"/>
    <n v="22400"/>
    <n v="6"/>
    <n v="180"/>
    <n v="4"/>
    <n v="4"/>
    <n v="18"/>
    <n v="20"/>
    <n v="13"/>
    <n v="1"/>
    <m/>
    <m/>
    <m/>
    <m/>
    <m/>
    <m/>
    <n v="60"/>
    <n v="10"/>
  </r>
  <r>
    <x v="4"/>
    <s v="Active"/>
    <x v="2"/>
    <s v="Kamarpara"/>
    <s v="Md Mustakim"/>
    <s v="3390312441"/>
    <n v="23433"/>
    <n v="6"/>
    <n v="180"/>
    <n v="7"/>
    <n v="14"/>
    <n v="18"/>
    <n v="15"/>
    <n v="5"/>
    <n v="1"/>
    <m/>
    <m/>
    <m/>
    <m/>
    <m/>
    <m/>
    <n v="60"/>
    <n v="10"/>
  </r>
  <r>
    <x v="7"/>
    <s v="Active"/>
    <x v="1"/>
    <s v="Jajigram"/>
    <s v="Mosaraf Sk"/>
    <s v="0140311323"/>
    <n v="21998"/>
    <n v="6"/>
    <n v="180"/>
    <n v="4"/>
    <n v="2"/>
    <n v="15"/>
    <n v="13"/>
    <n v="15"/>
    <n v="4"/>
    <m/>
    <m/>
    <m/>
    <m/>
    <m/>
    <m/>
    <n v="53"/>
    <n v="8.8333333333333339"/>
  </r>
  <r>
    <x v="11"/>
    <s v="Active"/>
    <x v="2"/>
    <s v="Kolaghat (Ktpps)"/>
    <s v="Sudipta Mandal"/>
    <s v="2380315163"/>
    <n v="27637"/>
    <n v="6"/>
    <n v="180"/>
    <n v="3"/>
    <n v="7"/>
    <n v="6"/>
    <n v="24"/>
    <n v="11"/>
    <n v="1"/>
    <m/>
    <m/>
    <m/>
    <m/>
    <m/>
    <m/>
    <n v="52"/>
    <n v="8.6666666666666661"/>
  </r>
  <r>
    <x v="6"/>
    <s v="Active"/>
    <x v="2"/>
    <s v="Ramjibanpur"/>
    <s v="Abhijit Modak"/>
    <s v="3390311425"/>
    <n v="22131"/>
    <n v="6"/>
    <n v="180"/>
    <n v="5"/>
    <n v="22"/>
    <n v="5"/>
    <n v="11"/>
    <n v="8"/>
    <n v="1"/>
    <m/>
    <m/>
    <m/>
    <m/>
    <m/>
    <m/>
    <n v="52"/>
    <n v="8.6666666666666661"/>
  </r>
  <r>
    <x v="0"/>
    <s v="Inactive"/>
    <x v="0"/>
    <s v="Santipur"/>
    <s v="Dipanwita Das"/>
    <s v="2430315569"/>
    <n v="28483"/>
    <n v="5"/>
    <n v="150"/>
    <n v="2"/>
    <m/>
    <n v="26"/>
    <n v="8"/>
    <n v="11"/>
    <n v="3"/>
    <m/>
    <m/>
    <m/>
    <m/>
    <m/>
    <m/>
    <n v="50"/>
    <n v="10"/>
  </r>
  <r>
    <x v="4"/>
    <s v="Active"/>
    <x v="2"/>
    <s v="Dhanyaghori"/>
    <s v="Pratik Chakraborty"/>
    <s v="3390311946"/>
    <n v="22773"/>
    <n v="6"/>
    <n v="180"/>
    <n v="4"/>
    <n v="7"/>
    <n v="15"/>
    <n v="17"/>
    <n v="5"/>
    <n v="1"/>
    <m/>
    <m/>
    <m/>
    <m/>
    <m/>
    <m/>
    <n v="49"/>
    <n v="8.1666666666666661"/>
  </r>
  <r>
    <x v="7"/>
    <s v="Active"/>
    <x v="1"/>
    <s v="Mangaldihi"/>
    <s v="Ruma Bagdi"/>
    <s v="0140311670"/>
    <n v="27028"/>
    <n v="6"/>
    <n v="180"/>
    <n v="3"/>
    <n v="5"/>
    <n v="11"/>
    <n v="16"/>
    <n v="10"/>
    <n v="3"/>
    <m/>
    <m/>
    <m/>
    <m/>
    <m/>
    <m/>
    <n v="48"/>
    <n v="8"/>
  </r>
  <r>
    <x v="7"/>
    <s v="Active"/>
    <x v="1"/>
    <s v="Dharampur"/>
    <s v="Md Zulfikar Ali"/>
    <s v="0140315201"/>
    <n v="27792"/>
    <n v="6"/>
    <n v="180"/>
    <n v="2"/>
    <n v="11"/>
    <n v="15"/>
    <n v="12"/>
    <n v="6"/>
    <n v="2"/>
    <m/>
    <m/>
    <m/>
    <m/>
    <m/>
    <m/>
    <n v="48"/>
    <n v="8"/>
  </r>
  <r>
    <x v="3"/>
    <s v="Active"/>
    <x v="1"/>
    <s v="Barobisha"/>
    <s v="Sankar Arya"/>
    <s v="2200315639"/>
    <n v="28692"/>
    <n v="6"/>
    <n v="180"/>
    <n v="4"/>
    <n v="4"/>
    <n v="16"/>
    <n v="10"/>
    <n v="12"/>
    <n v="1"/>
    <m/>
    <m/>
    <m/>
    <m/>
    <m/>
    <m/>
    <n v="47"/>
    <n v="7.833333333333333"/>
  </r>
  <r>
    <x v="1"/>
    <s v="Inactive"/>
    <x v="0"/>
    <s v="Patrasayer"/>
    <s v="Bula Karmakar"/>
    <s v="2160315824"/>
    <n v="29069"/>
    <n v="5"/>
    <n v="150"/>
    <n v="5"/>
    <n v="9"/>
    <n v="20"/>
    <n v="8"/>
    <n v="4"/>
    <n v="1"/>
    <m/>
    <m/>
    <m/>
    <m/>
    <m/>
    <m/>
    <n v="47"/>
    <n v="9.4"/>
  </r>
  <r>
    <x v="6"/>
    <s v="Active"/>
    <x v="2"/>
    <s v="Guiadaha"/>
    <s v="Munmun Chakraborty"/>
    <s v="2390312218"/>
    <n v="23142"/>
    <n v="6"/>
    <n v="180"/>
    <n v="5"/>
    <n v="3"/>
    <n v="3"/>
    <n v="16"/>
    <n v="14"/>
    <n v="1"/>
    <m/>
    <m/>
    <m/>
    <m/>
    <m/>
    <m/>
    <n v="42"/>
    <n v="7"/>
  </r>
  <r>
    <x v="6"/>
    <s v="Active"/>
    <x v="2"/>
    <s v="Ramjibanpur"/>
    <s v="Mahadeb Das "/>
    <s v="3390315155"/>
    <n v="27629"/>
    <n v="6"/>
    <n v="180"/>
    <n v="6"/>
    <n v="7"/>
    <n v="16"/>
    <n v="6"/>
    <n v="7"/>
    <m/>
    <m/>
    <m/>
    <m/>
    <m/>
    <m/>
    <m/>
    <n v="42"/>
    <n v="7"/>
  </r>
  <r>
    <x v="4"/>
    <s v="Active"/>
    <x v="2"/>
    <s v="Kalipur"/>
    <s v="Satyajit Chattopadhyay"/>
    <s v="3390311422"/>
    <n v="22128"/>
    <n v="6"/>
    <n v="180"/>
    <n v="3"/>
    <n v="25"/>
    <n v="7"/>
    <n v="2"/>
    <n v="3"/>
    <n v="1"/>
    <m/>
    <m/>
    <m/>
    <m/>
    <m/>
    <m/>
    <n v="41"/>
    <n v="6.833333333333333"/>
  </r>
  <r>
    <x v="0"/>
    <s v="Active"/>
    <x v="0"/>
    <s v="Badkulla"/>
    <s v="Swapan Kumar Biswas"/>
    <s v="2430315186"/>
    <n v="27732"/>
    <n v="6"/>
    <n v="180"/>
    <n v="4"/>
    <n v="15"/>
    <n v="3"/>
    <n v="8"/>
    <n v="10"/>
    <m/>
    <m/>
    <m/>
    <m/>
    <m/>
    <m/>
    <m/>
    <n v="40"/>
    <n v="6.666666666666667"/>
  </r>
  <r>
    <x v="0"/>
    <s v="Active"/>
    <x v="0"/>
    <s v="Ranaghat"/>
    <s v="Kishore Bhakta"/>
    <s v="2430315568"/>
    <n v="28482"/>
    <n v="6"/>
    <n v="180"/>
    <n v="4"/>
    <n v="21"/>
    <n v="5"/>
    <n v="1"/>
    <n v="8"/>
    <n v="1"/>
    <m/>
    <m/>
    <m/>
    <m/>
    <m/>
    <m/>
    <n v="40"/>
    <n v="6.666666666666667"/>
  </r>
  <r>
    <x v="4"/>
    <s v="Active"/>
    <x v="2"/>
    <s v="Khanakul"/>
    <s v="Susobhan Patra"/>
    <s v="3390312968"/>
    <n v="24153"/>
    <n v="6"/>
    <n v="180"/>
    <n v="4"/>
    <n v="13"/>
    <n v="4"/>
    <n v="11"/>
    <n v="6"/>
    <m/>
    <m/>
    <m/>
    <m/>
    <m/>
    <m/>
    <m/>
    <n v="38"/>
    <n v="6.333333333333333"/>
  </r>
  <r>
    <x v="6"/>
    <s v="Active"/>
    <x v="2"/>
    <s v="Palaschabrighat"/>
    <s v="Asima Bhunia"/>
    <s v="2390311420"/>
    <n v="22126"/>
    <n v="6"/>
    <n v="180"/>
    <n v="3"/>
    <n v="3"/>
    <n v="10"/>
    <n v="7"/>
    <n v="14"/>
    <m/>
    <m/>
    <m/>
    <m/>
    <m/>
    <m/>
    <m/>
    <n v="37"/>
    <n v="6.166666666666667"/>
  </r>
  <r>
    <x v="12"/>
    <s v="Active"/>
    <x v="1"/>
    <s v="Talgachi"/>
    <s v="Giridhari Sarkar"/>
    <s v="2410310083"/>
    <n v="20509"/>
    <n v="6"/>
    <n v="180"/>
    <n v="2"/>
    <n v="6"/>
    <n v="4"/>
    <n v="10"/>
    <n v="6"/>
    <n v="9"/>
    <m/>
    <m/>
    <m/>
    <m/>
    <m/>
    <m/>
    <n v="37"/>
    <n v="6.166666666666667"/>
  </r>
  <r>
    <x v="5"/>
    <s v="Active"/>
    <x v="1"/>
    <s v="Nabagram"/>
    <s v="Sahabuddin Ahmed"/>
    <s v="2410312329"/>
    <n v="23270"/>
    <n v="6"/>
    <n v="180"/>
    <n v="2"/>
    <n v="7"/>
    <n v="6"/>
    <n v="13"/>
    <n v="6"/>
    <n v="1"/>
    <m/>
    <m/>
    <m/>
    <m/>
    <m/>
    <m/>
    <n v="35"/>
    <n v="5.833333333333333"/>
  </r>
  <r>
    <x v="12"/>
    <s v="Active"/>
    <x v="1"/>
    <s v="Sagarpara"/>
    <s v="Habibur Rahaman"/>
    <s v="2410311259"/>
    <n v="28860"/>
    <n v="6"/>
    <n v="180"/>
    <n v="2"/>
    <m/>
    <n v="20"/>
    <n v="10"/>
    <n v="2"/>
    <n v="1"/>
    <m/>
    <m/>
    <m/>
    <m/>
    <m/>
    <m/>
    <n v="35"/>
    <n v="5.833333333333333"/>
  </r>
  <r>
    <x v="6"/>
    <s v="Active"/>
    <x v="2"/>
    <s v="Nayabasat"/>
    <s v="Soumya Ghosh"/>
    <s v="2390314387"/>
    <n v="26403"/>
    <n v="6"/>
    <n v="180"/>
    <n v="11"/>
    <n v="3"/>
    <n v="4"/>
    <n v="6"/>
    <n v="8"/>
    <n v="2"/>
    <m/>
    <m/>
    <m/>
    <m/>
    <m/>
    <m/>
    <n v="34"/>
    <n v="5.666666666666667"/>
  </r>
  <r>
    <x v="7"/>
    <s v="Active"/>
    <x v="1"/>
    <s v="Parsundi"/>
    <s v="Parimal Das"/>
    <s v="0140311628"/>
    <n v="22365"/>
    <n v="6"/>
    <n v="180"/>
    <n v="3"/>
    <n v="8"/>
    <n v="12"/>
    <n v="5"/>
    <n v="6"/>
    <m/>
    <m/>
    <m/>
    <m/>
    <m/>
    <m/>
    <m/>
    <n v="34"/>
    <n v="5.666666666666667"/>
  </r>
  <r>
    <x v="6"/>
    <s v="Active"/>
    <x v="2"/>
    <s v="Khirpai"/>
    <s v="Reshma Khatun"/>
    <s v="2390314453"/>
    <n v="26501"/>
    <n v="6"/>
    <n v="180"/>
    <n v="6"/>
    <n v="8"/>
    <n v="8"/>
    <n v="9"/>
    <n v="3"/>
    <m/>
    <m/>
    <m/>
    <m/>
    <m/>
    <m/>
    <m/>
    <n v="34"/>
    <n v="5.666666666666667"/>
  </r>
  <r>
    <x v="4"/>
    <s v="Active"/>
    <x v="2"/>
    <s v="Haripal"/>
    <s v="Sk Nasim Ali"/>
    <s v="3390312613"/>
    <n v="23669"/>
    <n v="6"/>
    <n v="180"/>
    <n v="3"/>
    <n v="11"/>
    <n v="7"/>
    <n v="7"/>
    <n v="3"/>
    <m/>
    <m/>
    <m/>
    <m/>
    <m/>
    <m/>
    <m/>
    <n v="31"/>
    <n v="5.166666666666667"/>
  </r>
  <r>
    <x v="0"/>
    <s v="Active"/>
    <x v="0"/>
    <s v="Santipur"/>
    <s v="Partha Dey"/>
    <s v="2430315570"/>
    <n v="29089"/>
    <n v="6"/>
    <n v="180"/>
    <n v="3"/>
    <n v="9"/>
    <n v="5"/>
    <n v="8"/>
    <n v="3"/>
    <n v="1"/>
    <m/>
    <m/>
    <m/>
    <m/>
    <m/>
    <m/>
    <n v="29"/>
    <n v="4.833333333333333"/>
  </r>
  <r>
    <x v="4"/>
    <s v="Active"/>
    <x v="2"/>
    <s v="Polba"/>
    <s v="Arindam Sadhukhan"/>
    <s v="3390315433"/>
    <n v="28201"/>
    <n v="6"/>
    <n v="180"/>
    <n v="4"/>
    <n v="4"/>
    <n v="11"/>
    <n v="3"/>
    <n v="3"/>
    <n v="1"/>
    <m/>
    <m/>
    <m/>
    <m/>
    <m/>
    <m/>
    <n v="26"/>
    <n v="4.333333333333333"/>
  </r>
  <r>
    <x v="4"/>
    <s v="Active"/>
    <x v="2"/>
    <s v="Khanakul"/>
    <s v="Sahanaj Parvin"/>
    <s v="3390312801"/>
    <n v="23969"/>
    <n v="6"/>
    <n v="180"/>
    <n v="2"/>
    <n v="3"/>
    <m/>
    <n v="15"/>
    <n v="5"/>
    <m/>
    <m/>
    <m/>
    <m/>
    <m/>
    <m/>
    <m/>
    <n v="25"/>
    <n v="4.166666666666667"/>
  </r>
  <r>
    <x v="0"/>
    <s v="Active"/>
    <x v="0"/>
    <s v="Ranaghat"/>
    <s v="Sagari Ghosh"/>
    <s v="2430314519"/>
    <n v="26595"/>
    <n v="6"/>
    <n v="180"/>
    <n v="6"/>
    <n v="9"/>
    <n v="6"/>
    <n v="3"/>
    <n v="1"/>
    <m/>
    <m/>
    <m/>
    <m/>
    <m/>
    <m/>
    <m/>
    <n v="25"/>
    <n v="4.166666666666667"/>
  </r>
  <r>
    <x v="4"/>
    <s v="Active"/>
    <x v="2"/>
    <s v="Dasghara"/>
    <s v="Sabir Amed"/>
    <s v="3390312282"/>
    <n v="23214"/>
    <n v="6"/>
    <n v="180"/>
    <n v="2"/>
    <n v="5"/>
    <n v="2"/>
    <n v="9"/>
    <n v="6"/>
    <m/>
    <m/>
    <m/>
    <m/>
    <m/>
    <m/>
    <m/>
    <n v="24"/>
    <n v="4"/>
  </r>
  <r>
    <x v="6"/>
    <s v="Active"/>
    <x v="2"/>
    <s v="Kharar"/>
    <s v="Pinki Ghosh"/>
    <s v="2390311944"/>
    <n v="29368"/>
    <n v="6"/>
    <n v="180"/>
    <m/>
    <n v="8"/>
    <n v="7"/>
    <n v="2"/>
    <n v="5"/>
    <n v="2"/>
    <m/>
    <m/>
    <m/>
    <m/>
    <m/>
    <m/>
    <n v="24"/>
    <n v="4"/>
  </r>
  <r>
    <x v="3"/>
    <s v="Inactive"/>
    <x v="1"/>
    <s v="Barobisha"/>
    <s v="Virendra Narayan Nag"/>
    <s v="8967601707"/>
    <n v="29526"/>
    <n v="3"/>
    <n v="90"/>
    <m/>
    <m/>
    <n v="2"/>
    <n v="8"/>
    <n v="13"/>
    <m/>
    <m/>
    <m/>
    <m/>
    <m/>
    <m/>
    <m/>
    <n v="23"/>
    <n v="7.666666666666667"/>
  </r>
  <r>
    <x v="12"/>
    <s v="Active"/>
    <x v="1"/>
    <s v="Kanupur"/>
    <s v="Shobhan Majhi"/>
    <s v="2410311257"/>
    <n v="21926"/>
    <n v="6"/>
    <n v="180"/>
    <m/>
    <n v="4"/>
    <n v="10"/>
    <n v="3"/>
    <n v="6"/>
    <m/>
    <m/>
    <m/>
    <m/>
    <m/>
    <m/>
    <m/>
    <n v="23"/>
    <n v="3.8333333333333335"/>
  </r>
  <r>
    <x v="11"/>
    <s v="Active"/>
    <x v="2"/>
    <s v="Panskura"/>
    <s v="Prasanta Ghorai"/>
    <s v="9635383167"/>
    <n v="29527"/>
    <n v="4"/>
    <n v="120"/>
    <m/>
    <m/>
    <n v="9"/>
    <n v="6"/>
    <n v="7"/>
    <m/>
    <m/>
    <m/>
    <m/>
    <m/>
    <m/>
    <m/>
    <n v="22"/>
    <n v="5.5"/>
  </r>
  <r>
    <x v="6"/>
    <s v="Active"/>
    <x v="2"/>
    <s v="Banka"/>
    <s v="Shampa Mandal"/>
    <s v="2390312439"/>
    <n v="23431"/>
    <n v="6"/>
    <n v="180"/>
    <n v="1"/>
    <n v="3"/>
    <n v="3"/>
    <n v="7"/>
    <n v="5"/>
    <n v="1"/>
    <m/>
    <m/>
    <m/>
    <m/>
    <m/>
    <m/>
    <n v="20"/>
    <n v="3.3333333333333335"/>
  </r>
  <r>
    <x v="3"/>
    <s v="Inactive"/>
    <x v="1"/>
    <s v="Buxa Forest Craja"/>
    <s v="Pankaj Tiwari"/>
    <s v="9490310077"/>
    <n v="20503"/>
    <n v="4"/>
    <n v="120"/>
    <m/>
    <m/>
    <m/>
    <n v="9"/>
    <n v="6"/>
    <n v="1"/>
    <m/>
    <m/>
    <m/>
    <m/>
    <m/>
    <m/>
    <n v="16"/>
    <n v="4"/>
  </r>
  <r>
    <x v="8"/>
    <s v="Active"/>
    <x v="0"/>
    <s v="Kushodanga"/>
    <s v="Rumpa Pal Mondal"/>
    <s v="3390315402"/>
    <n v="28170"/>
    <n v="6"/>
    <n v="180"/>
    <m/>
    <n v="5"/>
    <n v="2"/>
    <n v="4"/>
    <n v="4"/>
    <n v="1"/>
    <m/>
    <m/>
    <m/>
    <m/>
    <m/>
    <m/>
    <n v="16"/>
    <n v="2.6666666666666665"/>
  </r>
  <r>
    <x v="6"/>
    <s v="Active"/>
    <x v="2"/>
    <s v="Chandrakona"/>
    <s v="Ananya Maity Bag"/>
    <s v="2390313181"/>
    <n v="24495"/>
    <n v="6"/>
    <n v="180"/>
    <n v="1"/>
    <n v="3"/>
    <n v="1"/>
    <n v="5"/>
    <n v="4"/>
    <n v="1"/>
    <m/>
    <m/>
    <m/>
    <m/>
    <m/>
    <m/>
    <n v="15"/>
    <n v="2.5"/>
  </r>
  <r>
    <x v="0"/>
    <s v="Inactive"/>
    <x v="0"/>
    <s v="Chakdaha"/>
    <s v="Kiran Biswas"/>
    <s v="2430315343"/>
    <n v="28083"/>
    <n v="5"/>
    <n v="150"/>
    <n v="2"/>
    <n v="3"/>
    <n v="1"/>
    <n v="5"/>
    <n v="1"/>
    <n v="1"/>
    <m/>
    <m/>
    <m/>
    <m/>
    <m/>
    <m/>
    <n v="13"/>
    <n v="2.6"/>
  </r>
  <r>
    <x v="6"/>
    <s v="Active"/>
    <x v="2"/>
    <s v="Jara"/>
    <s v="Priyanka Biswas"/>
    <s v="2390311424"/>
    <n v="22130"/>
    <n v="6"/>
    <n v="180"/>
    <n v="1"/>
    <n v="2"/>
    <n v="3"/>
    <n v="3"/>
    <n v="3"/>
    <m/>
    <m/>
    <m/>
    <m/>
    <m/>
    <m/>
    <m/>
    <n v="12"/>
    <n v="2"/>
  </r>
  <r>
    <x v="4"/>
    <s v="Inactive"/>
    <x v="2"/>
    <s v="Batanal"/>
    <s v="Chaitali Shit Malik"/>
    <s v="3390311948"/>
    <n v="22775"/>
    <n v="1"/>
    <n v="30"/>
    <n v="4"/>
    <n v="4"/>
    <n v="3"/>
    <m/>
    <m/>
    <m/>
    <m/>
    <m/>
    <m/>
    <m/>
    <m/>
    <m/>
    <n v="11"/>
    <n v="11"/>
  </r>
  <r>
    <x v="11"/>
    <s v="Active"/>
    <x v="2"/>
    <s v="Keshapat"/>
    <s v="Subhankar Samanta"/>
    <s v="2380311664"/>
    <n v="22402"/>
    <n v="6"/>
    <n v="180"/>
    <n v="3"/>
    <n v="3"/>
    <n v="1"/>
    <n v="2"/>
    <m/>
    <m/>
    <m/>
    <m/>
    <m/>
    <m/>
    <m/>
    <m/>
    <n v="9"/>
    <n v="1.5"/>
  </r>
  <r>
    <x v="1"/>
    <s v="Inactive"/>
    <x v="0"/>
    <s v="Patrasayer"/>
    <s v="Manorama Chakraborty Roy "/>
    <s v="2160315496"/>
    <n v="28305"/>
    <n v="4"/>
    <n v="120"/>
    <m/>
    <n v="9"/>
    <m/>
    <m/>
    <m/>
    <m/>
    <m/>
    <m/>
    <m/>
    <m/>
    <m/>
    <m/>
    <n v="9"/>
    <n v="2.25"/>
  </r>
  <r>
    <x v="0"/>
    <s v="Inactive"/>
    <x v="0"/>
    <s v="Hridaypur"/>
    <s v="Asim Halder"/>
    <s v="2430315807"/>
    <n v="29052"/>
    <n v="3"/>
    <n v="90"/>
    <n v="4"/>
    <n v="5"/>
    <m/>
    <m/>
    <m/>
    <m/>
    <m/>
    <m/>
    <m/>
    <m/>
    <m/>
    <m/>
    <n v="9"/>
    <n v="3"/>
  </r>
  <r>
    <x v="6"/>
    <s v="Active"/>
    <x v="2"/>
    <s v="Bhairabpur"/>
    <s v="Srabani Chatterjee"/>
    <s v="2390312437"/>
    <n v="23429"/>
    <n v="6"/>
    <n v="180"/>
    <n v="1"/>
    <n v="2"/>
    <n v="1"/>
    <n v="2"/>
    <n v="1"/>
    <n v="1"/>
    <m/>
    <m/>
    <m/>
    <m/>
    <m/>
    <m/>
    <n v="8"/>
    <n v="1.3333333333333333"/>
  </r>
  <r>
    <x v="4"/>
    <s v="Active"/>
    <x v="2"/>
    <s v="Kamarpara"/>
    <s v="Mithu Ghosh"/>
    <s v="3390312440"/>
    <n v="23432"/>
    <n v="6"/>
    <n v="180"/>
    <n v="1"/>
    <m/>
    <n v="3"/>
    <n v="1"/>
    <n v="1"/>
    <m/>
    <m/>
    <m/>
    <m/>
    <m/>
    <m/>
    <m/>
    <n v="6"/>
    <n v="1"/>
  </r>
  <r>
    <x v="6"/>
    <s v="Active"/>
    <x v="2"/>
    <s v="Chandrakona"/>
    <s v="Mani Dhara"/>
    <s v="2390313180"/>
    <n v="24494"/>
    <n v="6"/>
    <n v="180"/>
    <m/>
    <n v="2"/>
    <m/>
    <m/>
    <n v="3"/>
    <m/>
    <m/>
    <m/>
    <m/>
    <m/>
    <m/>
    <m/>
    <n v="5"/>
    <n v="0.83333333333333337"/>
  </r>
  <r>
    <x v="11"/>
    <s v="Active"/>
    <x v="2"/>
    <s v="Contai"/>
    <s v="Subhankar Sahoo"/>
    <s v="2380314983"/>
    <n v="27249"/>
    <n v="6"/>
    <n v="180"/>
    <m/>
    <n v="3"/>
    <m/>
    <n v="1"/>
    <m/>
    <m/>
    <m/>
    <m/>
    <m/>
    <m/>
    <m/>
    <m/>
    <n v="4"/>
    <n v="0.66666666666666663"/>
  </r>
  <r>
    <x v="3"/>
    <s v="Inactive"/>
    <x v="1"/>
    <s v="Buxa Forest Craja"/>
    <s v="Md Khalique Ansari "/>
    <s v="9490315684"/>
    <n v="28825"/>
    <n v="5"/>
    <n v="150"/>
    <m/>
    <m/>
    <m/>
    <n v="1"/>
    <n v="2"/>
    <m/>
    <m/>
    <m/>
    <m/>
    <m/>
    <m/>
    <m/>
    <n v="3"/>
    <n v="0.6"/>
  </r>
  <r>
    <x v="3"/>
    <s v="Active"/>
    <x v="1"/>
    <s v="Ethelbari"/>
    <s v="Tarif Baxla"/>
    <s v="8410316211"/>
    <n v="29798"/>
    <n v="2"/>
    <n v="60"/>
    <m/>
    <m/>
    <m/>
    <m/>
    <m/>
    <n v="3"/>
    <m/>
    <m/>
    <m/>
    <m/>
    <m/>
    <m/>
    <n v="3"/>
    <n v="1.5"/>
  </r>
  <r>
    <x v="6"/>
    <s v="Active"/>
    <x v="2"/>
    <s v="Banka"/>
    <s v="Subhajit Chanda"/>
    <s v="2390312543"/>
    <n v="23560"/>
    <n v="6"/>
    <n v="180"/>
    <m/>
    <n v="1"/>
    <n v="1"/>
    <m/>
    <m/>
    <m/>
    <m/>
    <m/>
    <m/>
    <m/>
    <m/>
    <m/>
    <n v="2"/>
    <n v="0.33333333333333331"/>
  </r>
  <r>
    <x v="0"/>
    <s v="Inactive"/>
    <x v="0"/>
    <s v="Badkulla"/>
    <s v="Amit Sikder"/>
    <s v="2430315185"/>
    <n v="27731"/>
    <n v="2"/>
    <n v="60"/>
    <n v="2"/>
    <m/>
    <m/>
    <m/>
    <m/>
    <m/>
    <m/>
    <m/>
    <m/>
    <m/>
    <m/>
    <m/>
    <n v="2"/>
    <n v="1"/>
  </r>
  <r>
    <x v="0"/>
    <s v="Inactive"/>
    <x v="0"/>
    <s v="Hridaypur"/>
    <s v="Nitish Mondal"/>
    <s v="8942919438"/>
    <n v="29524"/>
    <n v="1"/>
    <n v="30"/>
    <m/>
    <m/>
    <m/>
    <n v="2"/>
    <m/>
    <m/>
    <m/>
    <m/>
    <m/>
    <m/>
    <m/>
    <m/>
    <n v="2"/>
    <m/>
  </r>
  <r>
    <x v="13"/>
    <s v="Active"/>
    <x v="3"/>
    <s v="Hingalganj"/>
    <s v="Khairulla Mistri"/>
    <s v="8410316210"/>
    <n v="29799"/>
    <n v="2"/>
    <n v="60"/>
    <m/>
    <m/>
    <m/>
    <m/>
    <m/>
    <n v="1"/>
    <m/>
    <m/>
    <m/>
    <m/>
    <m/>
    <m/>
    <n v="1"/>
    <n v="0.5"/>
  </r>
  <r>
    <x v="4"/>
    <s v="Active"/>
    <x v="2"/>
    <s v="Saidpur"/>
    <s v="Puja Manna"/>
    <s v="3390311696"/>
    <n v="22453"/>
    <n v="6"/>
    <n v="180"/>
    <m/>
    <n v="1"/>
    <m/>
    <m/>
    <m/>
    <m/>
    <m/>
    <m/>
    <m/>
    <m/>
    <m/>
    <m/>
    <n v="1"/>
    <n v="0.16666666666666666"/>
  </r>
  <r>
    <x v="7"/>
    <s v="Inactive"/>
    <x v="1"/>
    <s v="Lohapur"/>
    <s v="Suraj Fulmali"/>
    <s v="0140311327"/>
    <n v="27437"/>
    <n v="2"/>
    <n v="60"/>
    <n v="1"/>
    <m/>
    <m/>
    <m/>
    <m/>
    <m/>
    <m/>
    <m/>
    <m/>
    <m/>
    <m/>
    <m/>
    <n v="1"/>
    <n v="0.5"/>
  </r>
  <r>
    <x v="11"/>
    <s v="Active"/>
    <x v="2"/>
    <s v="Tamluk"/>
    <s v="Soumen Baichar"/>
    <s v="2390314474"/>
    <n v="26530"/>
    <n v="6"/>
    <n v="180"/>
    <m/>
    <m/>
    <m/>
    <m/>
    <m/>
    <m/>
    <m/>
    <m/>
    <m/>
    <m/>
    <m/>
    <m/>
    <m/>
    <n v="0"/>
  </r>
  <r>
    <x v="4"/>
    <s v="Active"/>
    <x v="2"/>
    <s v="Mayapur"/>
    <s v="Ruma Rana"/>
    <s v="8410316172"/>
    <n v="29749"/>
    <n v="1"/>
    <n v="30"/>
    <m/>
    <m/>
    <m/>
    <m/>
    <m/>
    <m/>
    <m/>
    <m/>
    <m/>
    <m/>
    <m/>
    <m/>
    <m/>
    <n v="0"/>
  </r>
  <r>
    <x v="1"/>
    <s v="Inactive"/>
    <x v="0"/>
    <s v="Kotulpur"/>
    <s v="Sayan Dutta"/>
    <s v="2160315608"/>
    <n v="28601"/>
    <n v="1"/>
    <n v="30"/>
    <m/>
    <m/>
    <m/>
    <m/>
    <m/>
    <m/>
    <m/>
    <m/>
    <m/>
    <m/>
    <m/>
    <m/>
    <m/>
    <n v="0"/>
  </r>
  <r>
    <x v="7"/>
    <s v="Inactive"/>
    <x v="1"/>
    <s v="Mangaldihi"/>
    <s v="Sk Khairul Hossain"/>
    <s v="0140310490"/>
    <n v="20983"/>
    <n v="0"/>
    <n v="0"/>
    <m/>
    <m/>
    <m/>
    <m/>
    <m/>
    <m/>
    <m/>
    <m/>
    <m/>
    <m/>
    <m/>
    <m/>
    <m/>
    <e v="#DIV/0!"/>
  </r>
  <r>
    <x v="3"/>
    <s v="Inactive"/>
    <x v="1"/>
    <s v="Maynaguri"/>
    <s v="Biswajit Roy"/>
    <s v="2310311260"/>
    <n v="21929"/>
    <n v="0"/>
    <n v="0"/>
    <m/>
    <m/>
    <m/>
    <m/>
    <m/>
    <m/>
    <m/>
    <m/>
    <m/>
    <m/>
    <m/>
    <m/>
    <m/>
    <e v="#DIV/0!"/>
  </r>
  <r>
    <x v="1"/>
    <s v="Inactive"/>
    <x v="0"/>
    <s v="Layekbandh"/>
    <s v="Debasis Dey"/>
    <s v="2160315158"/>
    <n v="27632"/>
    <n v="0"/>
    <n v="0"/>
    <m/>
    <m/>
    <m/>
    <m/>
    <m/>
    <m/>
    <m/>
    <m/>
    <m/>
    <m/>
    <m/>
    <m/>
    <m/>
    <e v="#DIV/0!"/>
  </r>
  <r>
    <x v="4"/>
    <s v="Inactive"/>
    <x v="2"/>
    <s v="Mayapur"/>
    <s v="Falguni Samanta"/>
    <s v="3390311256"/>
    <n v="21925"/>
    <n v="0"/>
    <n v="0"/>
    <m/>
    <m/>
    <m/>
    <m/>
    <m/>
    <m/>
    <m/>
    <m/>
    <m/>
    <m/>
    <m/>
    <m/>
    <m/>
    <e v="#DIV/0!"/>
  </r>
  <r>
    <x v="11"/>
    <s v="Inactive"/>
    <x v="2"/>
    <s v="Contai"/>
    <s v="Narayan Ojha"/>
    <s v="2380314459"/>
    <n v="26507"/>
    <n v="0"/>
    <n v="0"/>
    <m/>
    <m/>
    <m/>
    <m/>
    <m/>
    <m/>
    <m/>
    <m/>
    <m/>
    <m/>
    <m/>
    <m/>
    <m/>
    <e v="#DIV/0!"/>
  </r>
  <r>
    <x v="4"/>
    <s v="Inactive"/>
    <x v="2"/>
    <s v="Mangrul"/>
    <s v="Prasenjit Ghosh"/>
    <s v="2390311944"/>
    <n v="22771"/>
    <n v="0"/>
    <n v="0"/>
    <m/>
    <m/>
    <m/>
    <m/>
    <m/>
    <m/>
    <m/>
    <m/>
    <m/>
    <m/>
    <m/>
    <m/>
    <m/>
    <e v="#DIV/0!"/>
  </r>
  <r>
    <x v="0"/>
    <s v="Inactive"/>
    <x v="0"/>
    <s v="Hridaypur"/>
    <s v="Saiful Sekh"/>
    <s v="2430314735"/>
    <n v="26881"/>
    <n v="0"/>
    <n v="0"/>
    <m/>
    <m/>
    <m/>
    <m/>
    <m/>
    <m/>
    <m/>
    <m/>
    <m/>
    <m/>
    <m/>
    <m/>
    <m/>
    <e v="#DIV/0!"/>
  </r>
  <r>
    <x v="4"/>
    <s v="Inactive"/>
    <x v="2"/>
    <s v="Arambagh"/>
    <s v="Sk Momin Uddin"/>
    <s v="3390313207"/>
    <n v="24527"/>
    <n v="0"/>
    <n v="0"/>
    <m/>
    <m/>
    <m/>
    <m/>
    <m/>
    <m/>
    <m/>
    <m/>
    <m/>
    <m/>
    <m/>
    <m/>
    <m/>
    <e v="#DIV/0!"/>
  </r>
  <r>
    <x v="11"/>
    <s v="Inactive"/>
    <x v="2"/>
    <s v="Contai"/>
    <s v="Sulekha Das"/>
    <s v="2380314986"/>
    <n v="27252"/>
    <n v="0"/>
    <n v="0"/>
    <m/>
    <m/>
    <m/>
    <m/>
    <m/>
    <m/>
    <m/>
    <m/>
    <m/>
    <m/>
    <m/>
    <m/>
    <m/>
    <e v="#DIV/0!"/>
  </r>
  <r>
    <x v="7"/>
    <s v="Inactive"/>
    <x v="1"/>
    <s v="Mangaldihi"/>
    <s v="Swarup Sadhu"/>
    <s v="0140311670"/>
    <n v="22424"/>
    <n v="0"/>
    <n v="0"/>
    <m/>
    <m/>
    <m/>
    <m/>
    <m/>
    <m/>
    <m/>
    <m/>
    <m/>
    <m/>
    <m/>
    <m/>
    <m/>
    <e v="#DIV/0!"/>
  </r>
  <r>
    <x v="7"/>
    <s v="Inactive"/>
    <x v="1"/>
    <s v="Koytha"/>
    <s v="Tamarul Sk"/>
    <s v="0140311624"/>
    <n v="22361"/>
    <n v="0"/>
    <n v="0"/>
    <m/>
    <m/>
    <m/>
    <m/>
    <m/>
    <m/>
    <m/>
    <m/>
    <m/>
    <m/>
    <m/>
    <m/>
    <m/>
    <e v="#DIV/0!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Active"/>
    <x v="0"/>
    <s v="Guiadaha"/>
    <s v="Munmun Chakraborty"/>
    <s v="2390312218"/>
    <n v="23142"/>
    <x v="0"/>
    <n v="6"/>
    <n v="72"/>
    <n v="27"/>
    <n v="7"/>
    <n v="20"/>
    <n v="26"/>
    <n v="52"/>
    <n v="2"/>
    <m/>
    <m/>
    <m/>
    <m/>
    <m/>
    <m/>
    <n v="134"/>
    <n v="22.333333333333332"/>
  </r>
  <r>
    <x v="0"/>
    <s v="Active"/>
    <x v="0"/>
    <s v="Nayabasat"/>
    <s v="Mousumi Chanda Dey"/>
    <s v="2390315855"/>
    <n v="29123"/>
    <x v="0"/>
    <n v="6"/>
    <n v="72"/>
    <n v="15"/>
    <n v="36"/>
    <n v="6"/>
    <n v="26"/>
    <n v="36"/>
    <n v="17"/>
    <m/>
    <m/>
    <m/>
    <m/>
    <m/>
    <m/>
    <n v="136"/>
    <n v="22.666666666666668"/>
  </r>
  <r>
    <x v="0"/>
    <s v="Active"/>
    <x v="0"/>
    <s v="Palaschabrighat"/>
    <s v="Asima Bhunia"/>
    <s v="2390311420"/>
    <n v="22126"/>
    <x v="1"/>
    <n v="6"/>
    <n v="72"/>
    <n v="1"/>
    <n v="8"/>
    <n v="6"/>
    <n v="1"/>
    <n v="19"/>
    <m/>
    <m/>
    <m/>
    <m/>
    <m/>
    <m/>
    <m/>
    <n v="35"/>
    <n v="5.833333333333333"/>
  </r>
  <r>
    <x v="1"/>
    <s v="Active"/>
    <x v="0"/>
    <s v="Jirat"/>
    <s v="Sahadeb Chakraborty"/>
    <s v="3390314204"/>
    <n v="26084"/>
    <x v="2"/>
    <n v="6"/>
    <n v="72"/>
    <n v="10"/>
    <n v="29"/>
    <n v="26"/>
    <n v="21"/>
    <n v="17"/>
    <n v="4"/>
    <m/>
    <m/>
    <m/>
    <m/>
    <m/>
    <m/>
    <n v="107"/>
    <n v="17.833333333333332"/>
  </r>
  <r>
    <x v="0"/>
    <s v="Active"/>
    <x v="0"/>
    <s v="Binpur"/>
    <s v="Debika Singha Patra"/>
    <s v="2390311962"/>
    <n v="22789"/>
    <x v="1"/>
    <n v="6"/>
    <n v="72"/>
    <n v="2"/>
    <n v="15"/>
    <n v="17"/>
    <n v="20"/>
    <n v="16"/>
    <n v="5"/>
    <m/>
    <m/>
    <m/>
    <m/>
    <m/>
    <m/>
    <n v="75"/>
    <n v="12.5"/>
  </r>
  <r>
    <x v="2"/>
    <s v="Active"/>
    <x v="1"/>
    <s v="Haringhata"/>
    <s v="Eyakub Mondal"/>
    <s v="2430315345"/>
    <n v="28085"/>
    <x v="3"/>
    <n v="6"/>
    <n v="72"/>
    <n v="15"/>
    <n v="14"/>
    <n v="10"/>
    <n v="32"/>
    <n v="12"/>
    <n v="1"/>
    <m/>
    <m/>
    <m/>
    <m/>
    <m/>
    <m/>
    <n v="84"/>
    <n v="14"/>
  </r>
  <r>
    <x v="3"/>
    <s v="Active"/>
    <x v="1"/>
    <s v="Kushodanga"/>
    <s v="Priti Das"/>
    <s v="3390315408"/>
    <n v="28176"/>
    <x v="4"/>
    <n v="6"/>
    <n v="72"/>
    <n v="2"/>
    <n v="26"/>
    <n v="3"/>
    <n v="5"/>
    <n v="8"/>
    <n v="1"/>
    <m/>
    <m/>
    <m/>
    <m/>
    <m/>
    <m/>
    <n v="45"/>
    <n v="7.5"/>
  </r>
  <r>
    <x v="4"/>
    <s v="Active"/>
    <x v="1"/>
    <s v="Jhantipahari"/>
    <s v="Asish Kumar Mandal"/>
    <s v="2160314962"/>
    <n v="27220"/>
    <x v="3"/>
    <n v="6"/>
    <n v="72"/>
    <n v="6"/>
    <n v="10"/>
    <n v="6"/>
    <n v="4"/>
    <n v="7"/>
    <n v="1"/>
    <m/>
    <m/>
    <m/>
    <m/>
    <m/>
    <m/>
    <n v="34"/>
    <n v="5.666666666666667"/>
  </r>
  <r>
    <x v="0"/>
    <s v="Active"/>
    <x v="0"/>
    <s v="Nayabasat"/>
    <s v="Soumya Ghosh"/>
    <s v="2390314387"/>
    <n v="26403"/>
    <x v="5"/>
    <n v="6"/>
    <n v="72"/>
    <m/>
    <n v="1"/>
    <n v="1"/>
    <n v="3"/>
    <n v="6"/>
    <n v="2"/>
    <m/>
    <m/>
    <m/>
    <m/>
    <m/>
    <m/>
    <n v="13"/>
    <n v="2.1666666666666665"/>
  </r>
  <r>
    <x v="0"/>
    <s v="Active"/>
    <x v="0"/>
    <s v="Jara"/>
    <s v="Priyanka Biswas"/>
    <s v="2390311424"/>
    <n v="22130"/>
    <x v="3"/>
    <n v="6"/>
    <n v="72"/>
    <m/>
    <n v="1"/>
    <n v="6"/>
    <n v="6"/>
    <n v="4"/>
    <n v="2"/>
    <m/>
    <m/>
    <m/>
    <m/>
    <m/>
    <m/>
    <n v="19"/>
    <n v="3.1666666666666665"/>
  </r>
  <r>
    <x v="5"/>
    <s v="Active"/>
    <x v="2"/>
    <s v="Mangaldihi"/>
    <s v="Ruma Bagdi"/>
    <s v="0140311670"/>
    <n v="27028"/>
    <x v="0"/>
    <n v="6"/>
    <n v="72"/>
    <n v="2"/>
    <m/>
    <n v="2"/>
    <n v="1"/>
    <n v="4"/>
    <n v="1"/>
    <m/>
    <m/>
    <m/>
    <m/>
    <m/>
    <m/>
    <n v="10"/>
    <n v="1.6666666666666667"/>
  </r>
  <r>
    <x v="6"/>
    <s v="Active"/>
    <x v="2"/>
    <s v="Damanpur"/>
    <s v="Biplab Barman"/>
    <s v="9490310566"/>
    <n v="21091"/>
    <x v="5"/>
    <n v="6"/>
    <n v="72"/>
    <n v="11"/>
    <n v="14"/>
    <n v="2"/>
    <n v="3"/>
    <n v="4"/>
    <m/>
    <m/>
    <m/>
    <m/>
    <m/>
    <m/>
    <m/>
    <n v="34"/>
    <n v="5.666666666666667"/>
  </r>
  <r>
    <x v="7"/>
    <s v="Active"/>
    <x v="2"/>
    <s v="Sagardighi Square"/>
    <s v="Khurshid Alom "/>
    <s v="2200311941"/>
    <n v="22768"/>
    <x v="6"/>
    <n v="6"/>
    <n v="72"/>
    <n v="4"/>
    <n v="1"/>
    <m/>
    <n v="1"/>
    <n v="4"/>
    <m/>
    <m/>
    <m/>
    <m/>
    <m/>
    <m/>
    <m/>
    <n v="10"/>
    <n v="1.6666666666666667"/>
  </r>
  <r>
    <x v="0"/>
    <s v="Active"/>
    <x v="0"/>
    <s v="Ramjibanpur"/>
    <s v="Abhijit Modak"/>
    <s v="3390311425"/>
    <n v="22131"/>
    <x v="7"/>
    <n v="6"/>
    <n v="72"/>
    <n v="1"/>
    <n v="6"/>
    <n v="2"/>
    <n v="4"/>
    <n v="3"/>
    <n v="1"/>
    <m/>
    <m/>
    <m/>
    <m/>
    <m/>
    <m/>
    <n v="17"/>
    <n v="2.8333333333333335"/>
  </r>
  <r>
    <x v="1"/>
    <s v="Active"/>
    <x v="0"/>
    <s v="Polba"/>
    <s v="Arindam Sadhukhan"/>
    <s v="3390315433"/>
    <n v="28201"/>
    <x v="5"/>
    <n v="6"/>
    <n v="72"/>
    <n v="4"/>
    <n v="3"/>
    <n v="7"/>
    <n v="3"/>
    <n v="3"/>
    <n v="1"/>
    <m/>
    <m/>
    <m/>
    <m/>
    <m/>
    <m/>
    <n v="21"/>
    <n v="3.5"/>
  </r>
  <r>
    <x v="0"/>
    <s v="Active"/>
    <x v="0"/>
    <s v="Jhargram"/>
    <s v="Sk Imran"/>
    <s v="2390311695"/>
    <n v="22452"/>
    <x v="5"/>
    <n v="6"/>
    <n v="72"/>
    <n v="1"/>
    <n v="5"/>
    <n v="4"/>
    <n v="3"/>
    <n v="3"/>
    <m/>
    <m/>
    <m/>
    <m/>
    <m/>
    <m/>
    <m/>
    <n v="16"/>
    <n v="2.6666666666666665"/>
  </r>
  <r>
    <x v="1"/>
    <s v="Active"/>
    <x v="0"/>
    <s v="Kamarpara"/>
    <s v="Md Mustakim"/>
    <s v="3390312441"/>
    <n v="23433"/>
    <x v="3"/>
    <n v="6"/>
    <n v="72"/>
    <n v="4"/>
    <n v="10"/>
    <n v="12"/>
    <n v="7"/>
    <n v="2"/>
    <n v="1"/>
    <m/>
    <m/>
    <m/>
    <m/>
    <m/>
    <m/>
    <n v="36"/>
    <n v="6"/>
  </r>
  <r>
    <x v="1"/>
    <s v="Active"/>
    <x v="0"/>
    <s v="Rajhati"/>
    <s v="Santanu Ghosh"/>
    <s v="3390314383"/>
    <n v="26399"/>
    <x v="2"/>
    <n v="6"/>
    <n v="72"/>
    <n v="4"/>
    <n v="12"/>
    <n v="3"/>
    <n v="2"/>
    <n v="2"/>
    <m/>
    <m/>
    <m/>
    <m/>
    <m/>
    <m/>
    <m/>
    <n v="23"/>
    <n v="3.8333333333333335"/>
  </r>
  <r>
    <x v="3"/>
    <s v="Active"/>
    <x v="1"/>
    <s v="Kushodanga"/>
    <s v="Rumpa Pal Mondal"/>
    <s v="3390315402"/>
    <n v="28170"/>
    <x v="3"/>
    <n v="6"/>
    <n v="72"/>
    <n v="7"/>
    <n v="3"/>
    <n v="2"/>
    <n v="4"/>
    <n v="2"/>
    <m/>
    <m/>
    <m/>
    <m/>
    <m/>
    <m/>
    <m/>
    <n v="18"/>
    <n v="3"/>
  </r>
  <r>
    <x v="8"/>
    <s v="Active"/>
    <x v="2"/>
    <s v="Inyathpur"/>
    <s v="Tumpa Poddar"/>
    <s v="2370312246"/>
    <n v="23178"/>
    <x v="0"/>
    <n v="6"/>
    <n v="72"/>
    <n v="3"/>
    <n v="4"/>
    <n v="2"/>
    <n v="5"/>
    <n v="2"/>
    <m/>
    <m/>
    <m/>
    <m/>
    <m/>
    <m/>
    <m/>
    <n v="16"/>
    <n v="2.6666666666666665"/>
  </r>
  <r>
    <x v="6"/>
    <s v="Active"/>
    <x v="2"/>
    <s v="Barobisha"/>
    <s v="Sankar Arya"/>
    <s v="2200315639"/>
    <n v="28692"/>
    <x v="6"/>
    <n v="6"/>
    <n v="72"/>
    <n v="1"/>
    <n v="2"/>
    <n v="5"/>
    <n v="2"/>
    <n v="2"/>
    <m/>
    <m/>
    <m/>
    <m/>
    <m/>
    <m/>
    <m/>
    <n v="12"/>
    <n v="2"/>
  </r>
  <r>
    <x v="4"/>
    <s v="Inactive"/>
    <x v="1"/>
    <s v="Patrasayer"/>
    <s v="Bula Karmakar"/>
    <s v="2160315824"/>
    <n v="29069"/>
    <x v="6"/>
    <n v="5"/>
    <n v="60"/>
    <n v="1"/>
    <n v="3"/>
    <n v="3"/>
    <m/>
    <n v="2"/>
    <m/>
    <m/>
    <m/>
    <m/>
    <m/>
    <m/>
    <m/>
    <n v="9"/>
    <n v="1.8"/>
  </r>
  <r>
    <x v="4"/>
    <s v="Active"/>
    <x v="1"/>
    <s v="Patrasayer"/>
    <s v="Satish Ankure"/>
    <s v="2160314679"/>
    <n v="26810"/>
    <x v="3"/>
    <n v="6"/>
    <n v="72"/>
    <m/>
    <n v="2"/>
    <m/>
    <m/>
    <n v="2"/>
    <m/>
    <m/>
    <m/>
    <m/>
    <m/>
    <m/>
    <m/>
    <n v="4"/>
    <n v="0.66666666666666663"/>
  </r>
  <r>
    <x v="9"/>
    <s v="Active"/>
    <x v="2"/>
    <s v="Dhuliyan"/>
    <s v="Md Asraful Hoque"/>
    <s v="2410313985"/>
    <n v="25557"/>
    <x v="6"/>
    <n v="6"/>
    <n v="72"/>
    <m/>
    <n v="2"/>
    <n v="2"/>
    <n v="5"/>
    <n v="1"/>
    <n v="2"/>
    <m/>
    <m/>
    <m/>
    <m/>
    <m/>
    <m/>
    <n v="12"/>
    <n v="2"/>
  </r>
  <r>
    <x v="2"/>
    <s v="Active"/>
    <x v="1"/>
    <s v="Hridaypur"/>
    <s v="Injamul Rahaman "/>
    <s v="2430314512"/>
    <n v="26588"/>
    <x v="3"/>
    <n v="6"/>
    <n v="72"/>
    <n v="26"/>
    <n v="89"/>
    <n v="4"/>
    <n v="5"/>
    <n v="1"/>
    <n v="1"/>
    <m/>
    <m/>
    <m/>
    <m/>
    <m/>
    <m/>
    <n v="126"/>
    <n v="21"/>
  </r>
  <r>
    <x v="1"/>
    <s v="Active"/>
    <x v="0"/>
    <s v="Dhanyaghori"/>
    <s v="Pratik Chakraborty"/>
    <s v="3390311946"/>
    <n v="22773"/>
    <x v="0"/>
    <n v="6"/>
    <n v="72"/>
    <m/>
    <n v="1"/>
    <n v="4"/>
    <n v="4"/>
    <n v="1"/>
    <n v="1"/>
    <m/>
    <m/>
    <m/>
    <m/>
    <m/>
    <m/>
    <n v="11"/>
    <n v="1.8333333333333333"/>
  </r>
  <r>
    <x v="2"/>
    <s v="Inactive"/>
    <x v="1"/>
    <s v="Chakdaha"/>
    <s v="Kiran Biswas"/>
    <s v="2430315343"/>
    <n v="28083"/>
    <x v="6"/>
    <n v="5"/>
    <n v="60"/>
    <m/>
    <n v="3"/>
    <m/>
    <n v="2"/>
    <n v="1"/>
    <n v="1"/>
    <m/>
    <m/>
    <m/>
    <m/>
    <m/>
    <m/>
    <n v="7"/>
    <n v="1.4"/>
  </r>
  <r>
    <x v="3"/>
    <s v="Active"/>
    <x v="1"/>
    <s v="Patuli"/>
    <s v="Satyajit Kar"/>
    <s v="3390314928"/>
    <n v="27154"/>
    <x v="0"/>
    <n v="6"/>
    <n v="72"/>
    <n v="7"/>
    <n v="24"/>
    <n v="8"/>
    <n v="2"/>
    <n v="1"/>
    <n v="1"/>
    <m/>
    <m/>
    <m/>
    <m/>
    <m/>
    <m/>
    <n v="43"/>
    <n v="7.166666666666667"/>
  </r>
  <r>
    <x v="1"/>
    <s v="Active"/>
    <x v="0"/>
    <s v="Rajhati"/>
    <s v="Arnnapurna Maji"/>
    <s v="3390311610"/>
    <n v="22346"/>
    <x v="7"/>
    <n v="6"/>
    <n v="72"/>
    <n v="8"/>
    <n v="15"/>
    <m/>
    <n v="1"/>
    <n v="1"/>
    <m/>
    <m/>
    <m/>
    <m/>
    <m/>
    <m/>
    <m/>
    <n v="25"/>
    <n v="4.166666666666667"/>
  </r>
  <r>
    <x v="5"/>
    <s v="Active"/>
    <x v="2"/>
    <s v="Paikar"/>
    <s v="Saheb Sk"/>
    <s v="0140311324"/>
    <n v="21999"/>
    <x v="4"/>
    <n v="6"/>
    <n v="72"/>
    <n v="5"/>
    <n v="4"/>
    <n v="3"/>
    <m/>
    <n v="1"/>
    <m/>
    <m/>
    <m/>
    <m/>
    <m/>
    <m/>
    <m/>
    <n v="13"/>
    <n v="2.1666666666666665"/>
  </r>
  <r>
    <x v="10"/>
    <s v="Active"/>
    <x v="2"/>
    <s v="Raiganj"/>
    <s v="Joydev Das"/>
    <s v="2560315042"/>
    <n v="27372"/>
    <x v="5"/>
    <n v="6"/>
    <n v="72"/>
    <n v="2"/>
    <n v="3"/>
    <n v="2"/>
    <n v="3"/>
    <n v="1"/>
    <m/>
    <m/>
    <m/>
    <m/>
    <m/>
    <m/>
    <m/>
    <n v="11"/>
    <n v="1.8333333333333333"/>
  </r>
  <r>
    <x v="4"/>
    <s v="Active"/>
    <x v="1"/>
    <s v="Anara"/>
    <s v="Biswajit Majee"/>
    <s v="2460314961"/>
    <n v="27219"/>
    <x v="3"/>
    <n v="6"/>
    <n v="72"/>
    <n v="2"/>
    <n v="3"/>
    <n v="1"/>
    <n v="1"/>
    <n v="1"/>
    <m/>
    <m/>
    <m/>
    <m/>
    <m/>
    <m/>
    <m/>
    <n v="8"/>
    <n v="1.3333333333333333"/>
  </r>
  <r>
    <x v="11"/>
    <s v="Active"/>
    <x v="2"/>
    <s v="Sagarpara"/>
    <s v="Habibur Rahaman"/>
    <s v="2410311259"/>
    <n v="28860"/>
    <x v="5"/>
    <n v="6"/>
    <n v="72"/>
    <m/>
    <m/>
    <n v="5"/>
    <n v="2"/>
    <n v="1"/>
    <m/>
    <m/>
    <m/>
    <m/>
    <m/>
    <m/>
    <m/>
    <n v="8"/>
    <n v="1.3333333333333333"/>
  </r>
  <r>
    <x v="0"/>
    <s v="Active"/>
    <x v="0"/>
    <s v="Bhairabpur"/>
    <s v="Srabani Chatterjee"/>
    <s v="2390312437"/>
    <n v="23429"/>
    <x v="2"/>
    <n v="6"/>
    <n v="72"/>
    <m/>
    <n v="1"/>
    <m/>
    <n v="1"/>
    <n v="1"/>
    <m/>
    <m/>
    <m/>
    <m/>
    <m/>
    <m/>
    <m/>
    <n v="3"/>
    <n v="0.5"/>
  </r>
  <r>
    <x v="0"/>
    <s v="Active"/>
    <x v="0"/>
    <s v="Ghatal"/>
    <s v="Chandan Satik"/>
    <s v="2390311662"/>
    <n v="22400"/>
    <x v="6"/>
    <n v="6"/>
    <n v="72"/>
    <m/>
    <m/>
    <m/>
    <m/>
    <n v="1"/>
    <m/>
    <m/>
    <m/>
    <m/>
    <m/>
    <m/>
    <m/>
    <n v="1"/>
    <n v="0.16666666666666666"/>
  </r>
  <r>
    <x v="6"/>
    <s v="Active"/>
    <x v="2"/>
    <s v="Ethelbari"/>
    <s v="Tarif Baxla"/>
    <s v="8410316211"/>
    <n v="29798"/>
    <x v="6"/>
    <n v="2"/>
    <n v="24"/>
    <m/>
    <m/>
    <m/>
    <m/>
    <m/>
    <n v="1"/>
    <m/>
    <m/>
    <m/>
    <m/>
    <m/>
    <m/>
    <n v="1"/>
    <n v="0.5"/>
  </r>
  <r>
    <x v="0"/>
    <s v="Active"/>
    <x v="0"/>
    <s v="Khirpai"/>
    <s v="Sk Abbas Ali"/>
    <s v="2390311378"/>
    <n v="22073"/>
    <x v="4"/>
    <n v="6"/>
    <n v="72"/>
    <n v="5"/>
    <n v="15"/>
    <n v="7"/>
    <n v="6"/>
    <m/>
    <m/>
    <m/>
    <m/>
    <m/>
    <m/>
    <m/>
    <m/>
    <n v="33"/>
    <n v="5.5"/>
  </r>
  <r>
    <x v="0"/>
    <s v="Active"/>
    <x v="0"/>
    <s v="Ramjibanpur"/>
    <s v="Mahadeb Das "/>
    <s v="3390315155"/>
    <n v="27629"/>
    <x v="3"/>
    <n v="6"/>
    <n v="72"/>
    <n v="5"/>
    <n v="5"/>
    <n v="9"/>
    <n v="1"/>
    <m/>
    <m/>
    <m/>
    <m/>
    <m/>
    <m/>
    <m/>
    <m/>
    <n v="20"/>
    <n v="3.3333333333333335"/>
  </r>
  <r>
    <x v="0"/>
    <s v="Active"/>
    <x v="0"/>
    <s v="Khirpai"/>
    <s v="Reshma Khatun"/>
    <s v="2390314453"/>
    <n v="26501"/>
    <x v="0"/>
    <n v="6"/>
    <n v="72"/>
    <n v="5"/>
    <n v="6"/>
    <n v="4"/>
    <n v="4"/>
    <m/>
    <m/>
    <m/>
    <m/>
    <m/>
    <m/>
    <m/>
    <m/>
    <n v="19"/>
    <n v="3.1666666666666665"/>
  </r>
  <r>
    <x v="2"/>
    <s v="Active"/>
    <x v="1"/>
    <s v="Hridaypur"/>
    <s v="Suman Ghosh"/>
    <s v="8116659114"/>
    <n v="29525"/>
    <x v="6"/>
    <n v="4"/>
    <n v="48"/>
    <m/>
    <m/>
    <n v="2"/>
    <n v="12"/>
    <m/>
    <m/>
    <m/>
    <m/>
    <m/>
    <m/>
    <m/>
    <m/>
    <n v="14"/>
    <m/>
  </r>
  <r>
    <x v="1"/>
    <s v="Active"/>
    <x v="0"/>
    <s v="Haripal"/>
    <s v="Sk Nasim Ali"/>
    <s v="3390312613"/>
    <n v="23669"/>
    <x v="0"/>
    <n v="6"/>
    <n v="72"/>
    <n v="1"/>
    <n v="7"/>
    <n v="3"/>
    <n v="2"/>
    <m/>
    <m/>
    <m/>
    <m/>
    <m/>
    <m/>
    <m/>
    <m/>
    <n v="13"/>
    <n v="2.1666666666666665"/>
  </r>
  <r>
    <x v="0"/>
    <s v="Active"/>
    <x v="0"/>
    <s v="Kankabati"/>
    <s v="Mita Samanta"/>
    <s v="2390311663"/>
    <n v="22401"/>
    <x v="6"/>
    <n v="6"/>
    <n v="72"/>
    <m/>
    <n v="11"/>
    <n v="1"/>
    <m/>
    <m/>
    <m/>
    <m/>
    <m/>
    <m/>
    <m/>
    <m/>
    <m/>
    <n v="12"/>
    <n v="2"/>
  </r>
  <r>
    <x v="5"/>
    <s v="Active"/>
    <x v="2"/>
    <s v="Kapista"/>
    <s v="Swarup Karmakar"/>
    <s v="0140311629"/>
    <n v="22366"/>
    <x v="3"/>
    <n v="6"/>
    <n v="72"/>
    <m/>
    <m/>
    <n v="6"/>
    <n v="3"/>
    <m/>
    <m/>
    <m/>
    <m/>
    <m/>
    <m/>
    <m/>
    <m/>
    <n v="9"/>
    <n v="1.5"/>
  </r>
  <r>
    <x v="2"/>
    <s v="Inactive"/>
    <x v="1"/>
    <s v="Hridaypur"/>
    <s v="Asim Halder"/>
    <s v="2430315807"/>
    <n v="29052"/>
    <x v="6"/>
    <n v="3"/>
    <n v="36"/>
    <n v="4"/>
    <n v="4"/>
    <m/>
    <m/>
    <m/>
    <m/>
    <m/>
    <m/>
    <m/>
    <m/>
    <m/>
    <m/>
    <n v="8"/>
    <n v="2.6666666666666665"/>
  </r>
  <r>
    <x v="7"/>
    <s v="Active"/>
    <x v="2"/>
    <s v="Sagardighi Square"/>
    <s v="Rajani Roy"/>
    <s v="2200310076"/>
    <n v="20502"/>
    <x v="5"/>
    <n v="6"/>
    <n v="72"/>
    <n v="4"/>
    <m/>
    <n v="2"/>
    <n v="1"/>
    <m/>
    <m/>
    <m/>
    <m/>
    <m/>
    <m/>
    <m/>
    <m/>
    <n v="7"/>
    <n v="1.1666666666666667"/>
  </r>
  <r>
    <x v="2"/>
    <s v="Active"/>
    <x v="1"/>
    <s v="Hidaypur"/>
    <s v="Akramul Shaikh"/>
    <s v="2430315571"/>
    <n v="28485"/>
    <x v="5"/>
    <n v="6"/>
    <n v="72"/>
    <n v="2"/>
    <n v="3"/>
    <n v="1"/>
    <m/>
    <m/>
    <m/>
    <m/>
    <m/>
    <m/>
    <m/>
    <m/>
    <m/>
    <n v="6"/>
    <n v="1"/>
  </r>
  <r>
    <x v="1"/>
    <s v="Active"/>
    <x v="0"/>
    <s v="Kalipur"/>
    <s v="Satyajit Chattopadhyay"/>
    <s v="3390311422"/>
    <n v="22128"/>
    <x v="0"/>
    <n v="6"/>
    <n v="72"/>
    <n v="3"/>
    <n v="2"/>
    <n v="1"/>
    <m/>
    <m/>
    <m/>
    <m/>
    <m/>
    <m/>
    <m/>
    <m/>
    <m/>
    <n v="6"/>
    <n v="1"/>
  </r>
  <r>
    <x v="1"/>
    <s v="Active"/>
    <x v="0"/>
    <s v="Rajbalhat"/>
    <s v="Dibyendu Bhowmick"/>
    <s v="3390314186"/>
    <n v="26015"/>
    <x v="0"/>
    <n v="6"/>
    <n v="72"/>
    <m/>
    <m/>
    <n v="5"/>
    <n v="1"/>
    <m/>
    <m/>
    <m/>
    <m/>
    <m/>
    <m/>
    <m/>
    <m/>
    <n v="6"/>
    <n v="1"/>
  </r>
  <r>
    <x v="7"/>
    <s v="Active"/>
    <x v="2"/>
    <s v="Sagardighi Square"/>
    <s v="Ajit Modak"/>
    <s v="2200309916"/>
    <n v="20322"/>
    <x v="0"/>
    <n v="6"/>
    <n v="72"/>
    <n v="5"/>
    <m/>
    <m/>
    <m/>
    <m/>
    <m/>
    <m/>
    <m/>
    <m/>
    <m/>
    <m/>
    <m/>
    <n v="5"/>
    <n v="0.83333333333333337"/>
  </r>
  <r>
    <x v="0"/>
    <s v="Active"/>
    <x v="0"/>
    <s v="Chandrakona"/>
    <s v="Ananya Maity Bag"/>
    <s v="2390313181"/>
    <n v="24495"/>
    <x v="3"/>
    <n v="6"/>
    <n v="72"/>
    <n v="2"/>
    <n v="1"/>
    <n v="1"/>
    <m/>
    <m/>
    <m/>
    <m/>
    <m/>
    <m/>
    <m/>
    <m/>
    <m/>
    <n v="4"/>
    <n v="0.66666666666666663"/>
  </r>
  <r>
    <x v="12"/>
    <s v="Active"/>
    <x v="0"/>
    <s v="Kolaghat (Ktpps)"/>
    <s v="Sudipta Mandal"/>
    <s v="2380315163"/>
    <n v="27637"/>
    <x v="6"/>
    <n v="6"/>
    <n v="72"/>
    <m/>
    <n v="4"/>
    <m/>
    <m/>
    <m/>
    <m/>
    <m/>
    <m/>
    <m/>
    <m/>
    <m/>
    <m/>
    <n v="4"/>
    <n v="0.66666666666666663"/>
  </r>
  <r>
    <x v="11"/>
    <s v="Active"/>
    <x v="2"/>
    <s v="Talgachi"/>
    <s v="Giridhari Sarkar"/>
    <s v="2410310083"/>
    <n v="20509"/>
    <x v="2"/>
    <n v="6"/>
    <n v="72"/>
    <m/>
    <n v="3"/>
    <m/>
    <m/>
    <m/>
    <m/>
    <m/>
    <m/>
    <m/>
    <m/>
    <m/>
    <m/>
    <n v="3"/>
    <n v="0.5"/>
  </r>
  <r>
    <x v="6"/>
    <s v="Active"/>
    <x v="2"/>
    <s v="Barobisha"/>
    <s v="Md Akimuzzaman"/>
    <s v="2310315481"/>
    <n v="28270"/>
    <x v="5"/>
    <n v="6"/>
    <n v="72"/>
    <n v="3"/>
    <m/>
    <m/>
    <m/>
    <m/>
    <m/>
    <m/>
    <m/>
    <m/>
    <m/>
    <m/>
    <m/>
    <n v="3"/>
    <n v="0.5"/>
  </r>
  <r>
    <x v="12"/>
    <s v="Active"/>
    <x v="0"/>
    <s v="Keshapat"/>
    <s v="Subhankar Samanta"/>
    <s v="2380311664"/>
    <n v="22402"/>
    <x v="6"/>
    <n v="6"/>
    <n v="72"/>
    <n v="1"/>
    <n v="1"/>
    <m/>
    <n v="1"/>
    <m/>
    <m/>
    <m/>
    <m/>
    <m/>
    <m/>
    <m/>
    <m/>
    <n v="3"/>
    <n v="0.5"/>
  </r>
  <r>
    <x v="1"/>
    <s v="Inactive"/>
    <x v="0"/>
    <s v="Batanal"/>
    <s v="Chaitali Shit Malik"/>
    <s v="3390311948"/>
    <n v="22775"/>
    <x v="8"/>
    <n v="1"/>
    <n v="12"/>
    <m/>
    <n v="3"/>
    <m/>
    <m/>
    <m/>
    <m/>
    <m/>
    <m/>
    <m/>
    <m/>
    <m/>
    <m/>
    <n v="3"/>
    <n v="3"/>
  </r>
  <r>
    <x v="5"/>
    <s v="Active"/>
    <x v="2"/>
    <s v="Parsundi"/>
    <s v="Parimal Das"/>
    <s v="0140311628"/>
    <n v="22365"/>
    <x v="2"/>
    <n v="6"/>
    <n v="72"/>
    <m/>
    <n v="2"/>
    <m/>
    <m/>
    <m/>
    <m/>
    <m/>
    <m/>
    <m/>
    <m/>
    <m/>
    <m/>
    <n v="2"/>
    <n v="0.33333333333333331"/>
  </r>
  <r>
    <x v="5"/>
    <s v="Active"/>
    <x v="2"/>
    <s v="Jajigram"/>
    <s v="Mosaraf Sk"/>
    <s v="0140311323"/>
    <n v="21998"/>
    <x v="4"/>
    <n v="6"/>
    <n v="72"/>
    <m/>
    <m/>
    <m/>
    <n v="2"/>
    <m/>
    <m/>
    <m/>
    <m/>
    <m/>
    <m/>
    <m/>
    <m/>
    <n v="2"/>
    <n v="0.33333333333333331"/>
  </r>
  <r>
    <x v="2"/>
    <s v="Active"/>
    <x v="1"/>
    <s v="Ranaghat"/>
    <s v="Kishore Bhakta"/>
    <s v="2430315568"/>
    <n v="28482"/>
    <x v="6"/>
    <n v="6"/>
    <n v="72"/>
    <m/>
    <n v="2"/>
    <m/>
    <m/>
    <m/>
    <m/>
    <m/>
    <m/>
    <m/>
    <m/>
    <m/>
    <m/>
    <n v="2"/>
    <n v="0.33333333333333331"/>
  </r>
  <r>
    <x v="8"/>
    <s v="Active"/>
    <x v="2"/>
    <s v="Kaluari"/>
    <s v="Masidur Rahaman"/>
    <s v="2370310973"/>
    <n v="21583"/>
    <x v="4"/>
    <n v="6"/>
    <n v="72"/>
    <m/>
    <m/>
    <m/>
    <n v="1"/>
    <m/>
    <m/>
    <m/>
    <m/>
    <m/>
    <m/>
    <m/>
    <m/>
    <n v="1"/>
    <n v="0.16666666666666666"/>
  </r>
  <r>
    <x v="1"/>
    <s v="Active"/>
    <x v="0"/>
    <s v="Kamarpara"/>
    <s v="Mithu Ghosh"/>
    <s v="3390312440"/>
    <n v="23432"/>
    <x v="0"/>
    <n v="6"/>
    <n v="72"/>
    <m/>
    <m/>
    <n v="1"/>
    <m/>
    <m/>
    <m/>
    <m/>
    <m/>
    <m/>
    <m/>
    <m/>
    <m/>
    <n v="1"/>
    <n v="0.16666666666666666"/>
  </r>
  <r>
    <x v="0"/>
    <s v="Active"/>
    <x v="0"/>
    <s v="Banka"/>
    <s v="Shampa Mandal"/>
    <s v="2390312439"/>
    <n v="23431"/>
    <x v="5"/>
    <n v="6"/>
    <n v="72"/>
    <n v="1"/>
    <m/>
    <m/>
    <m/>
    <m/>
    <m/>
    <m/>
    <m/>
    <m/>
    <m/>
    <m/>
    <m/>
    <n v="1"/>
    <n v="0.16666666666666666"/>
  </r>
  <r>
    <x v="12"/>
    <s v="Active"/>
    <x v="0"/>
    <s v="Tamluk"/>
    <s v="Soumen Baichar"/>
    <s v="2390314474"/>
    <n v="26530"/>
    <x v="6"/>
    <n v="6"/>
    <n v="72"/>
    <n v="1"/>
    <m/>
    <m/>
    <m/>
    <m/>
    <m/>
    <m/>
    <m/>
    <m/>
    <m/>
    <m/>
    <m/>
    <n v="1"/>
    <n v="0.16666666666666666"/>
  </r>
  <r>
    <x v="1"/>
    <s v="Active"/>
    <x v="0"/>
    <s v="Mayapur"/>
    <s v="Ruma Rana"/>
    <s v="8410316172"/>
    <n v="29749"/>
    <x v="6"/>
    <n v="1"/>
    <n v="12"/>
    <m/>
    <m/>
    <m/>
    <m/>
    <m/>
    <m/>
    <m/>
    <m/>
    <m/>
    <m/>
    <m/>
    <m/>
    <m/>
    <n v="0"/>
  </r>
  <r>
    <x v="13"/>
    <s v="Active"/>
    <x v="3"/>
    <s v="Hingalganj"/>
    <s v="Khairulla Mistri"/>
    <s v="8410316210"/>
    <n v="29799"/>
    <x v="6"/>
    <n v="2"/>
    <n v="24"/>
    <m/>
    <m/>
    <m/>
    <m/>
    <m/>
    <m/>
    <m/>
    <m/>
    <m/>
    <m/>
    <m/>
    <m/>
    <m/>
    <n v="0"/>
  </r>
  <r>
    <x v="12"/>
    <s v="Active"/>
    <x v="0"/>
    <s v="Panskura"/>
    <s v="Kartik Maity"/>
    <s v="2380311666"/>
    <n v="22404"/>
    <x v="0"/>
    <n v="6"/>
    <n v="72"/>
    <m/>
    <m/>
    <m/>
    <m/>
    <m/>
    <m/>
    <m/>
    <m/>
    <m/>
    <m/>
    <m/>
    <m/>
    <m/>
    <n v="0"/>
  </r>
  <r>
    <x v="12"/>
    <s v="Active"/>
    <x v="0"/>
    <s v="Contai"/>
    <s v="Subhankar Sahoo"/>
    <s v="2380314983"/>
    <n v="27249"/>
    <x v="6"/>
    <n v="6"/>
    <n v="72"/>
    <m/>
    <m/>
    <m/>
    <m/>
    <m/>
    <m/>
    <m/>
    <m/>
    <m/>
    <m/>
    <m/>
    <m/>
    <m/>
    <n v="0"/>
  </r>
  <r>
    <x v="2"/>
    <s v="Inactive"/>
    <x v="1"/>
    <s v="Santipur"/>
    <s v="Dipanwita Das"/>
    <s v="2430315569"/>
    <n v="28483"/>
    <x v="6"/>
    <n v="5"/>
    <n v="60"/>
    <m/>
    <m/>
    <m/>
    <m/>
    <m/>
    <m/>
    <m/>
    <m/>
    <m/>
    <m/>
    <m/>
    <m/>
    <m/>
    <n v="0"/>
  </r>
  <r>
    <x v="6"/>
    <s v="Inactive"/>
    <x v="2"/>
    <s v="Barobisha"/>
    <s v="Virendra Narayan Nag"/>
    <s v="8967601707"/>
    <n v="29526"/>
    <x v="6"/>
    <n v="3"/>
    <n v="36"/>
    <m/>
    <m/>
    <m/>
    <m/>
    <m/>
    <m/>
    <m/>
    <m/>
    <m/>
    <m/>
    <m/>
    <m/>
    <m/>
    <m/>
  </r>
  <r>
    <x v="12"/>
    <s v="Active"/>
    <x v="0"/>
    <s v="Panskura"/>
    <s v="Prasanta Ghorai"/>
    <s v="9635383167"/>
    <n v="29527"/>
    <x v="9"/>
    <n v="4"/>
    <n v="48"/>
    <m/>
    <m/>
    <m/>
    <m/>
    <m/>
    <m/>
    <m/>
    <m/>
    <m/>
    <m/>
    <m/>
    <m/>
    <m/>
    <n v="0"/>
  </r>
  <r>
    <x v="2"/>
    <s v="Active"/>
    <x v="1"/>
    <s v="Ranaghat"/>
    <s v="Sagari Ghosh"/>
    <s v="2430314519"/>
    <n v="26595"/>
    <x v="3"/>
    <n v="6"/>
    <n v="72"/>
    <m/>
    <m/>
    <m/>
    <m/>
    <m/>
    <m/>
    <m/>
    <m/>
    <m/>
    <m/>
    <m/>
    <m/>
    <m/>
    <n v="0"/>
  </r>
  <r>
    <x v="2"/>
    <s v="Active"/>
    <x v="1"/>
    <s v="Santipur"/>
    <s v="Sahabul Mandal"/>
    <s v="2430315156"/>
    <n v="27630"/>
    <x v="2"/>
    <n v="6"/>
    <n v="72"/>
    <m/>
    <m/>
    <m/>
    <m/>
    <m/>
    <m/>
    <m/>
    <m/>
    <m/>
    <m/>
    <m/>
    <m/>
    <m/>
    <n v="0"/>
  </r>
  <r>
    <x v="1"/>
    <s v="Active"/>
    <x v="0"/>
    <s v="Khanakul"/>
    <s v="Susobhan Patra"/>
    <s v="3390312968"/>
    <n v="24153"/>
    <x v="0"/>
    <n v="6"/>
    <n v="72"/>
    <m/>
    <m/>
    <m/>
    <m/>
    <m/>
    <m/>
    <m/>
    <m/>
    <m/>
    <m/>
    <m/>
    <m/>
    <m/>
    <n v="0"/>
  </r>
  <r>
    <x v="1"/>
    <s v="Active"/>
    <x v="0"/>
    <s v="Sahapur"/>
    <s v="Bishal Maity"/>
    <s v="3390312548"/>
    <n v="23565"/>
    <x v="5"/>
    <n v="6"/>
    <n v="72"/>
    <m/>
    <m/>
    <m/>
    <m/>
    <m/>
    <m/>
    <m/>
    <m/>
    <m/>
    <m/>
    <m/>
    <m/>
    <m/>
    <n v="0"/>
  </r>
  <r>
    <x v="1"/>
    <s v="Active"/>
    <x v="0"/>
    <s v="Khanakul"/>
    <s v="Sahanaj Parvin"/>
    <s v="3390312801"/>
    <n v="23969"/>
    <x v="0"/>
    <n v="6"/>
    <n v="72"/>
    <m/>
    <m/>
    <m/>
    <m/>
    <m/>
    <m/>
    <m/>
    <m/>
    <m/>
    <m/>
    <m/>
    <m/>
    <m/>
    <n v="0"/>
  </r>
  <r>
    <x v="0"/>
    <s v="Active"/>
    <x v="0"/>
    <s v="Banka"/>
    <s v="Subhajit Chanda"/>
    <s v="2390312543"/>
    <n v="23560"/>
    <x v="3"/>
    <n v="6"/>
    <n v="72"/>
    <m/>
    <m/>
    <m/>
    <m/>
    <m/>
    <m/>
    <m/>
    <m/>
    <m/>
    <m/>
    <m/>
    <m/>
    <m/>
    <n v="0"/>
  </r>
  <r>
    <x v="5"/>
    <s v="Active"/>
    <x v="2"/>
    <s v="Dharampur"/>
    <s v="Md Zulfikar Ali"/>
    <s v="0140315201"/>
    <n v="27792"/>
    <x v="3"/>
    <n v="6"/>
    <n v="72"/>
    <m/>
    <m/>
    <m/>
    <m/>
    <m/>
    <m/>
    <m/>
    <m/>
    <m/>
    <m/>
    <m/>
    <m/>
    <m/>
    <n v="0"/>
  </r>
  <r>
    <x v="11"/>
    <s v="Active"/>
    <x v="2"/>
    <s v="Kanupur"/>
    <s v="Shobhan Majhi"/>
    <s v="2410311257"/>
    <n v="21926"/>
    <x v="5"/>
    <n v="6"/>
    <n v="72"/>
    <m/>
    <m/>
    <m/>
    <m/>
    <m/>
    <m/>
    <m/>
    <m/>
    <m/>
    <m/>
    <m/>
    <m/>
    <m/>
    <n v="0"/>
  </r>
  <r>
    <x v="0"/>
    <s v="Active"/>
    <x v="0"/>
    <s v="Chandrakona"/>
    <s v="Mani Dhara"/>
    <s v="2390313180"/>
    <n v="24494"/>
    <x v="3"/>
    <n v="6"/>
    <n v="72"/>
    <m/>
    <m/>
    <m/>
    <m/>
    <m/>
    <m/>
    <m/>
    <m/>
    <m/>
    <m/>
    <m/>
    <m/>
    <m/>
    <n v="0"/>
  </r>
  <r>
    <x v="9"/>
    <s v="Active"/>
    <x v="2"/>
    <s v="Nabagram"/>
    <s v="Sahabuddin Ahmed"/>
    <s v="2410312329"/>
    <n v="23270"/>
    <x v="5"/>
    <n v="6"/>
    <n v="72"/>
    <m/>
    <m/>
    <m/>
    <m/>
    <m/>
    <m/>
    <m/>
    <m/>
    <m/>
    <m/>
    <m/>
    <m/>
    <m/>
    <n v="0"/>
  </r>
  <r>
    <x v="2"/>
    <s v="Active"/>
    <x v="1"/>
    <s v="Badkulla"/>
    <s v="Swapan Kumar Biswas"/>
    <s v="2430315186"/>
    <n v="27732"/>
    <x v="5"/>
    <n v="6"/>
    <n v="72"/>
    <m/>
    <m/>
    <m/>
    <m/>
    <m/>
    <m/>
    <m/>
    <m/>
    <m/>
    <m/>
    <m/>
    <m/>
    <m/>
    <n v="0"/>
  </r>
  <r>
    <x v="0"/>
    <s v="Active"/>
    <x v="0"/>
    <s v="Kharar"/>
    <s v="Pinki Ghosh"/>
    <s v="2390311944"/>
    <n v="29368"/>
    <x v="3"/>
    <n v="6"/>
    <n v="72"/>
    <m/>
    <m/>
    <m/>
    <m/>
    <m/>
    <m/>
    <m/>
    <m/>
    <m/>
    <m/>
    <m/>
    <m/>
    <m/>
    <n v="0"/>
  </r>
  <r>
    <x v="2"/>
    <s v="Active"/>
    <x v="1"/>
    <s v="Santipur"/>
    <s v="Najmira Khatun"/>
    <s v="2430315335"/>
    <n v="28075"/>
    <x v="6"/>
    <n v="6"/>
    <n v="72"/>
    <m/>
    <m/>
    <m/>
    <m/>
    <m/>
    <m/>
    <m/>
    <m/>
    <m/>
    <m/>
    <m/>
    <m/>
    <m/>
    <n v="0"/>
  </r>
  <r>
    <x v="1"/>
    <s v="Active"/>
    <x v="0"/>
    <s v="Dasghara"/>
    <s v="Sabir Amed"/>
    <s v="3390312282"/>
    <n v="23214"/>
    <x v="6"/>
    <n v="6"/>
    <n v="72"/>
    <m/>
    <m/>
    <m/>
    <m/>
    <m/>
    <m/>
    <m/>
    <m/>
    <m/>
    <m/>
    <m/>
    <m/>
    <m/>
    <n v="0"/>
  </r>
  <r>
    <x v="1"/>
    <s v="Active"/>
    <x v="0"/>
    <s v="Saidpur"/>
    <s v="Puja Manna"/>
    <s v="3390311696"/>
    <n v="22453"/>
    <x v="6"/>
    <n v="6"/>
    <n v="72"/>
    <m/>
    <m/>
    <m/>
    <m/>
    <m/>
    <m/>
    <m/>
    <m/>
    <m/>
    <m/>
    <m/>
    <m/>
    <m/>
    <n v="0"/>
  </r>
  <r>
    <x v="2"/>
    <s v="Active"/>
    <x v="1"/>
    <s v="Santipur"/>
    <s v="Partha Dey"/>
    <s v="2430315570"/>
    <n v="29089"/>
    <x v="6"/>
    <n v="6"/>
    <n v="72"/>
    <m/>
    <m/>
    <m/>
    <m/>
    <m/>
    <m/>
    <m/>
    <m/>
    <m/>
    <m/>
    <m/>
    <m/>
    <m/>
    <n v="0"/>
  </r>
  <r>
    <x v="6"/>
    <s v="Inactive"/>
    <x v="2"/>
    <s v="Buxa Forest Craja"/>
    <s v="Pankaj Tiwari"/>
    <s v="9490310077"/>
    <n v="20503"/>
    <x v="6"/>
    <n v="4"/>
    <n v="48"/>
    <m/>
    <m/>
    <m/>
    <m/>
    <m/>
    <m/>
    <m/>
    <m/>
    <m/>
    <m/>
    <m/>
    <m/>
    <m/>
    <n v="0"/>
  </r>
  <r>
    <x v="6"/>
    <s v="Inactive"/>
    <x v="2"/>
    <s v="Buxa Forest Craja"/>
    <s v="Md Khalique Ansari "/>
    <s v="9490315684"/>
    <n v="28825"/>
    <x v="6"/>
    <n v="5"/>
    <n v="60"/>
    <m/>
    <m/>
    <m/>
    <m/>
    <m/>
    <m/>
    <m/>
    <m/>
    <m/>
    <m/>
    <m/>
    <m/>
    <m/>
    <n v="0"/>
  </r>
  <r>
    <x v="4"/>
    <s v="Inactive"/>
    <x v="1"/>
    <s v="Patrasayer"/>
    <s v="Manorama Chakraborty Roy "/>
    <s v="2160315496"/>
    <n v="28305"/>
    <x v="6"/>
    <n v="4"/>
    <n v="48"/>
    <m/>
    <m/>
    <m/>
    <m/>
    <m/>
    <m/>
    <m/>
    <m/>
    <m/>
    <m/>
    <m/>
    <m/>
    <m/>
    <n v="0"/>
  </r>
  <r>
    <x v="5"/>
    <s v="Inactive"/>
    <x v="2"/>
    <s v="Lohapur"/>
    <s v="Suraj Fulmali"/>
    <s v="0140311327"/>
    <n v="27437"/>
    <x v="6"/>
    <n v="2"/>
    <n v="24"/>
    <m/>
    <m/>
    <m/>
    <m/>
    <m/>
    <m/>
    <m/>
    <m/>
    <m/>
    <m/>
    <m/>
    <m/>
    <m/>
    <n v="0"/>
  </r>
  <r>
    <x v="2"/>
    <s v="Inactive"/>
    <x v="1"/>
    <s v="Hridaypur"/>
    <s v="Nitish Mondal"/>
    <s v="8942919438"/>
    <n v="29524"/>
    <x v="6"/>
    <n v="1"/>
    <n v="12"/>
    <m/>
    <m/>
    <m/>
    <m/>
    <m/>
    <m/>
    <m/>
    <m/>
    <m/>
    <m/>
    <m/>
    <m/>
    <m/>
    <m/>
  </r>
  <r>
    <x v="1"/>
    <s v="Inactive"/>
    <x v="0"/>
    <s v="Mangrul"/>
    <s v="Prasenjit Ghosh"/>
    <s v="2390311944"/>
    <n v="22771"/>
    <x v="10"/>
    <n v="0"/>
    <n v="0"/>
    <m/>
    <m/>
    <m/>
    <m/>
    <m/>
    <m/>
    <m/>
    <m/>
    <m/>
    <m/>
    <m/>
    <m/>
    <m/>
    <e v="#DIV/0!"/>
  </r>
  <r>
    <x v="5"/>
    <s v="Inactive"/>
    <x v="2"/>
    <s v="Mangaldihi"/>
    <s v="Swarup Sadhu"/>
    <s v="0140311670"/>
    <n v="22424"/>
    <x v="10"/>
    <n v="0"/>
    <n v="0"/>
    <m/>
    <m/>
    <m/>
    <m/>
    <m/>
    <m/>
    <m/>
    <m/>
    <m/>
    <m/>
    <m/>
    <m/>
    <m/>
    <e v="#DIV/0!"/>
  </r>
  <r>
    <x v="12"/>
    <s v="Inactive"/>
    <x v="0"/>
    <s v="Contai"/>
    <s v="Sulekha Das"/>
    <s v="2380314986"/>
    <n v="27252"/>
    <x v="8"/>
    <n v="0"/>
    <n v="0"/>
    <m/>
    <m/>
    <m/>
    <m/>
    <m/>
    <m/>
    <m/>
    <m/>
    <m/>
    <m/>
    <m/>
    <m/>
    <m/>
    <e v="#DIV/0!"/>
  </r>
  <r>
    <x v="1"/>
    <s v="Inactive"/>
    <x v="0"/>
    <s v="Mayapur"/>
    <s v="Falguni Samanta"/>
    <s v="3390311256"/>
    <n v="21925"/>
    <x v="8"/>
    <n v="0"/>
    <n v="0"/>
    <m/>
    <m/>
    <m/>
    <m/>
    <m/>
    <m/>
    <m/>
    <m/>
    <m/>
    <m/>
    <m/>
    <m/>
    <m/>
    <e v="#DIV/0!"/>
  </r>
  <r>
    <x v="4"/>
    <s v="Inactive"/>
    <x v="1"/>
    <s v="Layekbandh"/>
    <s v="Debasis Dey"/>
    <s v="2160315158"/>
    <n v="27632"/>
    <x v="8"/>
    <n v="0"/>
    <n v="0"/>
    <m/>
    <m/>
    <m/>
    <m/>
    <m/>
    <m/>
    <m/>
    <m/>
    <m/>
    <m/>
    <m/>
    <m/>
    <m/>
    <e v="#DIV/0!"/>
  </r>
  <r>
    <x v="6"/>
    <s v="Inactive"/>
    <x v="2"/>
    <s v="Maynaguri"/>
    <s v="Biswajit Roy"/>
    <s v="2310311260"/>
    <n v="21929"/>
    <x v="8"/>
    <n v="0"/>
    <n v="0"/>
    <m/>
    <m/>
    <m/>
    <m/>
    <m/>
    <m/>
    <m/>
    <m/>
    <m/>
    <m/>
    <m/>
    <m/>
    <m/>
    <e v="#DIV/0!"/>
  </r>
  <r>
    <x v="12"/>
    <s v="Inactive"/>
    <x v="0"/>
    <s v="Contai"/>
    <s v="Narayan Ojha"/>
    <s v="2380314459"/>
    <n v="26507"/>
    <x v="8"/>
    <n v="0"/>
    <n v="0"/>
    <m/>
    <m/>
    <m/>
    <m/>
    <m/>
    <m/>
    <m/>
    <m/>
    <m/>
    <m/>
    <m/>
    <m/>
    <m/>
    <e v="#DIV/0!"/>
  </r>
  <r>
    <x v="1"/>
    <s v="Inactive"/>
    <x v="0"/>
    <s v="Arambagh"/>
    <s v="Sk Momin Uddin"/>
    <s v="3390313207"/>
    <n v="24527"/>
    <x v="8"/>
    <n v="0"/>
    <n v="0"/>
    <m/>
    <m/>
    <m/>
    <m/>
    <m/>
    <m/>
    <m/>
    <m/>
    <m/>
    <m/>
    <m/>
    <m/>
    <m/>
    <e v="#DIV/0!"/>
  </r>
  <r>
    <x v="5"/>
    <s v="Inactive"/>
    <x v="2"/>
    <s v="Koytha"/>
    <s v="Tamarul Sk"/>
    <s v="0140311624"/>
    <n v="22361"/>
    <x v="8"/>
    <n v="0"/>
    <n v="0"/>
    <m/>
    <m/>
    <m/>
    <m/>
    <m/>
    <m/>
    <m/>
    <m/>
    <m/>
    <m/>
    <m/>
    <m/>
    <m/>
    <e v="#DIV/0!"/>
  </r>
  <r>
    <x v="5"/>
    <s v="Inactive"/>
    <x v="2"/>
    <s v="Mangaldihi"/>
    <s v="Sk Khairul Hossain"/>
    <s v="0140310490"/>
    <n v="20983"/>
    <x v="8"/>
    <n v="0"/>
    <n v="0"/>
    <m/>
    <m/>
    <m/>
    <m/>
    <m/>
    <m/>
    <m/>
    <m/>
    <m/>
    <m/>
    <m/>
    <m/>
    <m/>
    <e v="#DIV/0!"/>
  </r>
  <r>
    <x v="2"/>
    <s v="Inactive"/>
    <x v="1"/>
    <s v="Hridaypur"/>
    <s v="Saiful Sekh"/>
    <s v="2430314735"/>
    <n v="26881"/>
    <x v="8"/>
    <n v="0"/>
    <n v="0"/>
    <m/>
    <m/>
    <m/>
    <m/>
    <m/>
    <m/>
    <m/>
    <m/>
    <m/>
    <m/>
    <m/>
    <m/>
    <m/>
    <e v="#DIV/0!"/>
  </r>
  <r>
    <x v="2"/>
    <s v="Inactive"/>
    <x v="1"/>
    <s v="Badkulla"/>
    <s v="Amit Sikder"/>
    <s v="2430315185"/>
    <n v="27731"/>
    <x v="6"/>
    <n v="2"/>
    <n v="24"/>
    <m/>
    <m/>
    <m/>
    <m/>
    <m/>
    <m/>
    <m/>
    <m/>
    <m/>
    <m/>
    <m/>
    <m/>
    <m/>
    <n v="0"/>
  </r>
  <r>
    <x v="4"/>
    <s v="Inactive"/>
    <x v="1"/>
    <s v="Kotulpur"/>
    <s v="Sayan Dutta"/>
    <s v="2160315608"/>
    <n v="28601"/>
    <x v="6"/>
    <n v="1"/>
    <n v="12"/>
    <m/>
    <m/>
    <m/>
    <m/>
    <m/>
    <m/>
    <m/>
    <m/>
    <m/>
    <m/>
    <m/>
    <m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Active"/>
    <s v="Durgapur"/>
    <s v="Kushodanga"/>
    <s v="Priti Das"/>
    <s v="3390315408"/>
    <n v="28176"/>
    <x v="0"/>
    <n v="6"/>
    <n v="10425.5"/>
    <n v="9881.5"/>
    <n v="16285.25"/>
    <n v="27613.5"/>
    <n v="49753"/>
    <m/>
    <m/>
    <m/>
    <m/>
    <m/>
    <m/>
    <m/>
    <n v="113958.75"/>
    <n v="18993.125"/>
  </r>
  <r>
    <x v="1"/>
    <s v="Active"/>
    <s v="Hooghly"/>
    <s v="Palaschabrighat"/>
    <s v="Asima Bhunia"/>
    <s v="2390311420"/>
    <n v="22126"/>
    <x v="1"/>
    <n v="6"/>
    <n v="23358.5"/>
    <n v="19975"/>
    <n v="24224.5"/>
    <n v="26355.75"/>
    <n v="35917"/>
    <m/>
    <m/>
    <m/>
    <m/>
    <m/>
    <m/>
    <m/>
    <n v="129830.75"/>
    <n v="21638.458333333332"/>
  </r>
  <r>
    <x v="1"/>
    <s v="Active"/>
    <s v="Hooghly"/>
    <s v="Binpur"/>
    <s v="Debika Singha Patra"/>
    <s v="2390311962"/>
    <n v="22789"/>
    <x v="1"/>
    <n v="6"/>
    <n v="33172"/>
    <n v="37083"/>
    <n v="31899.75"/>
    <n v="34082.25"/>
    <n v="34026.5"/>
    <m/>
    <m/>
    <m/>
    <m/>
    <m/>
    <m/>
    <m/>
    <n v="170263.5"/>
    <n v="28377.25"/>
  </r>
  <r>
    <x v="1"/>
    <s v="Active"/>
    <s v="Hooghly"/>
    <s v="Khirpai"/>
    <s v="Sk Abbas Ali"/>
    <s v="2390311378"/>
    <n v="22073"/>
    <x v="0"/>
    <n v="6"/>
    <n v="24752.5"/>
    <n v="24741.5"/>
    <n v="23878.75"/>
    <n v="27476"/>
    <n v="27801"/>
    <m/>
    <m/>
    <m/>
    <m/>
    <m/>
    <m/>
    <m/>
    <n v="128649.75"/>
    <n v="21441.625"/>
  </r>
  <r>
    <x v="2"/>
    <s v="Active"/>
    <s v="Hooghly"/>
    <s v="Rajhati"/>
    <s v="Arnnapurna Maji"/>
    <s v="3390311610"/>
    <n v="22346"/>
    <x v="2"/>
    <n v="6"/>
    <n v="20843.25"/>
    <n v="20225.75"/>
    <n v="15774.75"/>
    <n v="19754.5"/>
    <n v="21353.75"/>
    <m/>
    <m/>
    <m/>
    <m/>
    <m/>
    <m/>
    <m/>
    <n v="97952"/>
    <n v="16325.333333333334"/>
  </r>
  <r>
    <x v="1"/>
    <s v="Active"/>
    <s v="Hooghly"/>
    <s v="Ramjibanpur"/>
    <s v="Abhijit Modak"/>
    <s v="3390311425"/>
    <n v="22131"/>
    <x v="2"/>
    <n v="6"/>
    <n v="22716.5"/>
    <n v="22787.5"/>
    <n v="17543.5"/>
    <n v="19429.75"/>
    <n v="20244.25"/>
    <m/>
    <m/>
    <m/>
    <m/>
    <m/>
    <m/>
    <m/>
    <n v="102721.5"/>
    <n v="17120.25"/>
  </r>
  <r>
    <x v="3"/>
    <s v="Active"/>
    <s v="Siliguri"/>
    <s v="Jajigram"/>
    <s v="Mosaraf Sk"/>
    <s v="0140311323"/>
    <n v="21998"/>
    <x v="0"/>
    <n v="6"/>
    <n v="12892"/>
    <n v="13435"/>
    <n v="14045"/>
    <n v="17355.5"/>
    <n v="18163"/>
    <m/>
    <m/>
    <m/>
    <m/>
    <m/>
    <m/>
    <m/>
    <n v="75890.5"/>
    <n v="12648.416666666666"/>
  </r>
  <r>
    <x v="3"/>
    <s v="Active"/>
    <s v="Siliguri"/>
    <s v="Paikar"/>
    <s v="Saheb Sk"/>
    <s v="0140311324"/>
    <n v="21999"/>
    <x v="0"/>
    <n v="6"/>
    <n v="20519.25"/>
    <n v="18974"/>
    <n v="16085.75"/>
    <n v="17235.25"/>
    <n v="17796.25"/>
    <m/>
    <m/>
    <m/>
    <m/>
    <m/>
    <m/>
    <m/>
    <n v="90610.5"/>
    <n v="15101.75"/>
  </r>
  <r>
    <x v="1"/>
    <s v="Active"/>
    <s v="Hooghly"/>
    <s v="Kharar"/>
    <s v="Pinki Ghosh"/>
    <s v="2390311944"/>
    <n v="29368"/>
    <x v="3"/>
    <n v="6"/>
    <n v="1782"/>
    <n v="9855"/>
    <n v="8681"/>
    <n v="8132"/>
    <n v="13270"/>
    <m/>
    <m/>
    <m/>
    <m/>
    <m/>
    <m/>
    <m/>
    <n v="41720"/>
    <n v="6953.333333333333"/>
  </r>
  <r>
    <x v="1"/>
    <s v="Active"/>
    <s v="Hooghly"/>
    <s v="Guiadaha"/>
    <s v="Munmun Chakraborty"/>
    <s v="2390312218"/>
    <n v="23142"/>
    <x v="4"/>
    <n v="6"/>
    <n v="5756.25"/>
    <n v="5512.5"/>
    <n v="7078"/>
    <n v="8823"/>
    <n v="11995.75"/>
    <m/>
    <m/>
    <m/>
    <m/>
    <m/>
    <m/>
    <m/>
    <n v="39165.5"/>
    <n v="6527.583333333333"/>
  </r>
  <r>
    <x v="1"/>
    <s v="Active"/>
    <s v="Hooghly"/>
    <s v="Khirpai"/>
    <s v="Reshma Khatun"/>
    <s v="2390314453"/>
    <n v="26501"/>
    <x v="4"/>
    <n v="6"/>
    <n v="10551.5"/>
    <n v="11424"/>
    <n v="10113.75"/>
    <n v="9831"/>
    <n v="11903"/>
    <m/>
    <m/>
    <m/>
    <m/>
    <m/>
    <m/>
    <m/>
    <n v="53823.25"/>
    <n v="8970.5416666666661"/>
  </r>
  <r>
    <x v="4"/>
    <s v="Active"/>
    <s v="Siliguri"/>
    <s v="Kaluari"/>
    <s v="Masidur Rahaman"/>
    <s v="2370310973"/>
    <n v="21583"/>
    <x v="0"/>
    <n v="6"/>
    <n v="13621"/>
    <n v="12210"/>
    <n v="15242.25"/>
    <n v="12195.75"/>
    <n v="11772.5"/>
    <m/>
    <m/>
    <m/>
    <m/>
    <m/>
    <m/>
    <m/>
    <n v="65041.5"/>
    <n v="10840.25"/>
  </r>
  <r>
    <x v="1"/>
    <s v="Active"/>
    <s v="Hooghly"/>
    <s v="Bhairabpur"/>
    <s v="Srabani Chatterjee"/>
    <s v="2390312437"/>
    <n v="23429"/>
    <x v="5"/>
    <n v="6"/>
    <n v="8283"/>
    <n v="6398.5"/>
    <n v="7930"/>
    <n v="9949"/>
    <n v="11717.5"/>
    <m/>
    <m/>
    <m/>
    <m/>
    <m/>
    <m/>
    <m/>
    <n v="44278"/>
    <n v="7379.666666666667"/>
  </r>
  <r>
    <x v="5"/>
    <s v="Active"/>
    <s v="Siliguri"/>
    <s v="Talgachi"/>
    <s v="Giridhari Sarkar"/>
    <s v="2410310083"/>
    <n v="20509"/>
    <x v="5"/>
    <n v="6"/>
    <n v="11499.75"/>
    <n v="11397.5"/>
    <n v="10138.5"/>
    <n v="11705.25"/>
    <n v="11256.75"/>
    <m/>
    <m/>
    <m/>
    <m/>
    <m/>
    <m/>
    <m/>
    <n v="55997.75"/>
    <n v="9332.9583333333339"/>
  </r>
  <r>
    <x v="2"/>
    <s v="Active"/>
    <s v="Hooghly"/>
    <s v="Rajhati"/>
    <s v="Santanu Ghosh"/>
    <s v="3390314383"/>
    <n v="26399"/>
    <x v="5"/>
    <n v="6"/>
    <n v="9975.75"/>
    <n v="10069.25"/>
    <n v="7285.25"/>
    <n v="11704.75"/>
    <n v="11232.25"/>
    <m/>
    <m/>
    <m/>
    <m/>
    <m/>
    <m/>
    <m/>
    <n v="50267.25"/>
    <n v="8377.875"/>
  </r>
  <r>
    <x v="2"/>
    <s v="Active"/>
    <s v="Hooghly"/>
    <s v="Jirat"/>
    <s v="Sahadeb Chakraborty"/>
    <s v="3390314204"/>
    <n v="26084"/>
    <x v="5"/>
    <n v="6"/>
    <n v="8939.25"/>
    <n v="12096"/>
    <n v="11165.5"/>
    <n v="13827.25"/>
    <n v="10955.75"/>
    <m/>
    <m/>
    <m/>
    <m/>
    <m/>
    <m/>
    <m/>
    <n v="56983.75"/>
    <n v="9497.2916666666661"/>
  </r>
  <r>
    <x v="0"/>
    <s v="Active"/>
    <s v="Durgapur"/>
    <s v="Patuli"/>
    <s v="Satyajit Kar"/>
    <s v="3390314928"/>
    <n v="27154"/>
    <x v="4"/>
    <n v="6"/>
    <n v="8492"/>
    <n v="9099"/>
    <n v="7996.25"/>
    <n v="8076.5"/>
    <n v="10802"/>
    <m/>
    <m/>
    <m/>
    <m/>
    <m/>
    <m/>
    <m/>
    <n v="44465.75"/>
    <n v="7410.958333333333"/>
  </r>
  <r>
    <x v="2"/>
    <s v="Active"/>
    <s v="Hooghly"/>
    <s v="Khanakul"/>
    <s v="Susobhan Patra"/>
    <s v="3390312968"/>
    <n v="24153"/>
    <x v="4"/>
    <n v="6"/>
    <n v="7504"/>
    <n v="6622"/>
    <n v="5669"/>
    <n v="7755.75"/>
    <n v="10196.5"/>
    <m/>
    <m/>
    <m/>
    <m/>
    <m/>
    <m/>
    <m/>
    <n v="37747.25"/>
    <n v="6291.208333333333"/>
  </r>
  <r>
    <x v="1"/>
    <s v="Active"/>
    <s v="Hooghly"/>
    <s v="Nayabasat"/>
    <s v="Mousumi Chanda Dey"/>
    <s v="2390315855"/>
    <n v="29123"/>
    <x v="4"/>
    <n v="6"/>
    <n v="3844.25"/>
    <n v="9008.75"/>
    <n v="3907.75"/>
    <n v="9610.25"/>
    <n v="9023"/>
    <m/>
    <m/>
    <m/>
    <m/>
    <m/>
    <m/>
    <m/>
    <n v="35394"/>
    <n v="5899"/>
  </r>
  <r>
    <x v="2"/>
    <s v="Active"/>
    <s v="Hooghly"/>
    <s v="Dhanyaghori"/>
    <s v="Pratik Chakraborty"/>
    <s v="3390311946"/>
    <n v="22773"/>
    <x v="4"/>
    <n v="6"/>
    <n v="7118"/>
    <n v="7268.5"/>
    <n v="7071.5"/>
    <n v="7193.25"/>
    <n v="8555.5"/>
    <m/>
    <m/>
    <m/>
    <m/>
    <m/>
    <m/>
    <m/>
    <n v="37206.75"/>
    <n v="6201.125"/>
  </r>
  <r>
    <x v="6"/>
    <s v="Active"/>
    <s v="Durgapur"/>
    <s v="Santipur"/>
    <s v="Sahabul Mandal"/>
    <s v="2430315156"/>
    <n v="27630"/>
    <x v="5"/>
    <n v="6"/>
    <n v="8325"/>
    <n v="8985"/>
    <n v="7814"/>
    <n v="9148"/>
    <n v="8291.5"/>
    <m/>
    <m/>
    <m/>
    <m/>
    <m/>
    <m/>
    <m/>
    <n v="42563.5"/>
    <n v="7093.916666666667"/>
  </r>
  <r>
    <x v="3"/>
    <s v="Active"/>
    <s v="Siliguri"/>
    <s v="Parsundi"/>
    <s v="Parimal Das"/>
    <s v="0140311628"/>
    <n v="22365"/>
    <x v="5"/>
    <n v="6"/>
    <n v="6535"/>
    <n v="8141.5"/>
    <n v="7041.75"/>
    <n v="8550.5"/>
    <n v="8147"/>
    <m/>
    <m/>
    <m/>
    <m/>
    <m/>
    <m/>
    <m/>
    <n v="38415.75"/>
    <n v="6402.625"/>
  </r>
  <r>
    <x v="7"/>
    <s v="Active"/>
    <s v="Siliguri"/>
    <s v="Sagardighi Square"/>
    <s v="Ajit Modak"/>
    <s v="2200309916"/>
    <n v="20322"/>
    <x v="4"/>
    <n v="6"/>
    <n v="6816.5"/>
    <n v="6311.5"/>
    <n v="6247"/>
    <n v="6672.75"/>
    <n v="8141.25"/>
    <m/>
    <m/>
    <m/>
    <m/>
    <m/>
    <m/>
    <m/>
    <n v="34189"/>
    <n v="5698.166666666667"/>
  </r>
  <r>
    <x v="1"/>
    <s v="Active"/>
    <s v="Hooghly"/>
    <s v="Nayabasat"/>
    <s v="Soumya Ghosh"/>
    <s v="2390314387"/>
    <n v="26403"/>
    <x v="6"/>
    <n v="6"/>
    <n v="5403"/>
    <n v="5497.5"/>
    <n v="4609"/>
    <n v="5841"/>
    <n v="7648.5"/>
    <m/>
    <m/>
    <m/>
    <m/>
    <m/>
    <m/>
    <m/>
    <n v="28999"/>
    <n v="4833.166666666667"/>
  </r>
  <r>
    <x v="2"/>
    <s v="Active"/>
    <s v="Hooghly"/>
    <s v="Haripal"/>
    <s v="Sk Nasim Ali"/>
    <s v="3390312613"/>
    <n v="23669"/>
    <x v="4"/>
    <n v="6"/>
    <n v="6448.5"/>
    <n v="6378.25"/>
    <n v="5400"/>
    <n v="6216"/>
    <n v="7187"/>
    <m/>
    <m/>
    <m/>
    <m/>
    <m/>
    <m/>
    <m/>
    <n v="31629.75"/>
    <n v="5271.625"/>
  </r>
  <r>
    <x v="2"/>
    <s v="Active"/>
    <s v="Hooghly"/>
    <s v="Khanakul"/>
    <s v="Sahanaj Parvin"/>
    <s v="3390312801"/>
    <n v="23969"/>
    <x v="4"/>
    <n v="6"/>
    <n v="6287"/>
    <n v="5876.5"/>
    <n v="3947.75"/>
    <n v="6185.5"/>
    <n v="7110"/>
    <m/>
    <m/>
    <m/>
    <m/>
    <m/>
    <m/>
    <m/>
    <n v="29406.75"/>
    <n v="4901.125"/>
  </r>
  <r>
    <x v="1"/>
    <s v="Active"/>
    <s v="Hooghly"/>
    <s v="Jara"/>
    <s v="Priyanka Biswas"/>
    <s v="2390311424"/>
    <n v="22130"/>
    <x v="3"/>
    <n v="6"/>
    <n v="7811"/>
    <n v="6236.5"/>
    <n v="5714"/>
    <n v="9306.5"/>
    <n v="7013.75"/>
    <m/>
    <m/>
    <m/>
    <m/>
    <m/>
    <m/>
    <m/>
    <n v="36081.75"/>
    <n v="6013.625"/>
  </r>
  <r>
    <x v="8"/>
    <s v="Active"/>
    <s v="Durgapur"/>
    <s v="Jhantipahari"/>
    <s v="Asish Kumar Mandal"/>
    <s v="2160314962"/>
    <n v="27220"/>
    <x v="3"/>
    <n v="6"/>
    <n v="6825"/>
    <n v="7527.25"/>
    <n v="7114"/>
    <n v="6949.75"/>
    <n v="6685.5"/>
    <m/>
    <m/>
    <m/>
    <m/>
    <m/>
    <m/>
    <m/>
    <n v="35101.5"/>
    <n v="5850.25"/>
  </r>
  <r>
    <x v="3"/>
    <s v="Active"/>
    <s v="Siliguri"/>
    <s v="Mangaldihi"/>
    <s v="Ruma Bagdi"/>
    <s v="0140311670"/>
    <n v="27028"/>
    <x v="4"/>
    <n v="6"/>
    <n v="5822"/>
    <n v="5556"/>
    <n v="4255"/>
    <n v="6895.5"/>
    <n v="6491"/>
    <m/>
    <m/>
    <m/>
    <m/>
    <m/>
    <m/>
    <m/>
    <n v="29019.5"/>
    <n v="4836.583333333333"/>
  </r>
  <r>
    <x v="4"/>
    <s v="Active"/>
    <s v="Siliguri"/>
    <s v="Inyathpur"/>
    <s v="Tumpa Poddar"/>
    <s v="2370312246"/>
    <n v="23178"/>
    <x v="4"/>
    <n v="6"/>
    <n v="6581.5"/>
    <n v="5453"/>
    <n v="6403.75"/>
    <n v="7440"/>
    <n v="6412"/>
    <m/>
    <m/>
    <m/>
    <m/>
    <m/>
    <m/>
    <m/>
    <n v="32290.25"/>
    <n v="5381.708333333333"/>
  </r>
  <r>
    <x v="1"/>
    <s v="Active"/>
    <s v="Hooghly"/>
    <s v="Ramjibanpur"/>
    <s v="Mahadeb Das "/>
    <s v="3390315155"/>
    <n v="27629"/>
    <x v="3"/>
    <n v="6"/>
    <n v="6745.5"/>
    <n v="6771"/>
    <n v="6650"/>
    <n v="5332.5"/>
    <n v="6161.75"/>
    <m/>
    <m/>
    <m/>
    <m/>
    <m/>
    <m/>
    <m/>
    <n v="31660.75"/>
    <n v="5276.791666666667"/>
  </r>
  <r>
    <x v="2"/>
    <s v="Active"/>
    <s v="Hooghly"/>
    <s v="Rajbalhat"/>
    <s v="Dibyendu Bhowmick"/>
    <s v="3390314186"/>
    <n v="26015"/>
    <x v="4"/>
    <n v="6"/>
    <n v="4970"/>
    <n v="4667"/>
    <n v="6460"/>
    <n v="6049.75"/>
    <n v="6019"/>
    <m/>
    <m/>
    <m/>
    <m/>
    <m/>
    <m/>
    <m/>
    <n v="28165.75"/>
    <n v="4694.291666666667"/>
  </r>
  <r>
    <x v="6"/>
    <s v="Active"/>
    <s v="Durgapur"/>
    <s v="Hridaypur"/>
    <s v="Injamul Rahaman "/>
    <s v="2430314512"/>
    <n v="26588"/>
    <x v="3"/>
    <n v="6"/>
    <n v="5195.75"/>
    <n v="9214.5"/>
    <n v="5806.75"/>
    <n v="5831.75"/>
    <n v="5994.5"/>
    <m/>
    <m/>
    <m/>
    <m/>
    <m/>
    <m/>
    <m/>
    <n v="32043.25"/>
    <n v="5340.541666666667"/>
  </r>
  <r>
    <x v="2"/>
    <s v="Active"/>
    <s v="Hooghly"/>
    <s v="Kalipur"/>
    <s v="Satyajit Chattopadhyay"/>
    <s v="3390311422"/>
    <n v="22128"/>
    <x v="4"/>
    <n v="6"/>
    <n v="7965.5"/>
    <n v="7551"/>
    <n v="4747.75"/>
    <n v="5583.75"/>
    <n v="5964.75"/>
    <m/>
    <m/>
    <m/>
    <m/>
    <m/>
    <m/>
    <m/>
    <n v="31812.75"/>
    <n v="5302.125"/>
  </r>
  <r>
    <x v="2"/>
    <s v="Active"/>
    <s v="Hooghly"/>
    <s v="Kamarpara"/>
    <s v="Mithu Ghosh"/>
    <s v="3390312440"/>
    <n v="23432"/>
    <x v="4"/>
    <n v="6"/>
    <n v="5197"/>
    <n v="3724"/>
    <n v="5089.5"/>
    <n v="4845"/>
    <n v="5882"/>
    <m/>
    <m/>
    <m/>
    <m/>
    <m/>
    <m/>
    <m/>
    <n v="24737.5"/>
    <n v="4122.916666666667"/>
  </r>
  <r>
    <x v="2"/>
    <s v="Active"/>
    <s v="Hooghly"/>
    <s v="Kamarpara"/>
    <s v="Md Mustakim"/>
    <s v="3390312441"/>
    <n v="23433"/>
    <x v="3"/>
    <n v="6"/>
    <n v="8208"/>
    <n v="7113"/>
    <n v="2905"/>
    <n v="3140"/>
    <n v="5552.75"/>
    <m/>
    <m/>
    <m/>
    <m/>
    <m/>
    <m/>
    <m/>
    <n v="26918.75"/>
    <n v="4486.458333333333"/>
  </r>
  <r>
    <x v="1"/>
    <s v="Active"/>
    <s v="Hooghly"/>
    <s v="Chandrakona"/>
    <s v="Ananya Maity Bag"/>
    <s v="2390313181"/>
    <n v="24495"/>
    <x v="3"/>
    <n v="6"/>
    <n v="4611"/>
    <n v="3713.5"/>
    <n v="4278.75"/>
    <n v="4419.75"/>
    <n v="5523.5"/>
    <m/>
    <m/>
    <m/>
    <m/>
    <m/>
    <m/>
    <m/>
    <n v="22546.5"/>
    <n v="3757.75"/>
  </r>
  <r>
    <x v="9"/>
    <s v="Active"/>
    <s v="Hooghly"/>
    <s v="Panskura"/>
    <s v="Kartik Maity"/>
    <s v="2380311666"/>
    <n v="22404"/>
    <x v="4"/>
    <n v="6"/>
    <n v="5356"/>
    <n v="6070"/>
    <n v="4033"/>
    <n v="6731.5"/>
    <n v="5439.25"/>
    <m/>
    <m/>
    <m/>
    <m/>
    <m/>
    <m/>
    <m/>
    <n v="27629.75"/>
    <n v="4604.958333333333"/>
  </r>
  <r>
    <x v="3"/>
    <s v="Active"/>
    <s v="Siliguri"/>
    <s v="Dharampur"/>
    <s v="Md Zulfikar Ali"/>
    <s v="0140315201"/>
    <n v="27792"/>
    <x v="3"/>
    <n v="6"/>
    <n v="4829"/>
    <n v="4196"/>
    <n v="4501"/>
    <n v="5812"/>
    <n v="5102"/>
    <m/>
    <m/>
    <m/>
    <m/>
    <m/>
    <m/>
    <m/>
    <n v="24440"/>
    <n v="4073.3333333333335"/>
  </r>
  <r>
    <x v="1"/>
    <s v="Active"/>
    <s v="Hooghly"/>
    <s v="Chandrakona"/>
    <s v="Mani Dhara"/>
    <s v="2390313180"/>
    <n v="24494"/>
    <x v="3"/>
    <n v="6"/>
    <n v="3859"/>
    <n v="2864"/>
    <n v="3428"/>
    <n v="3849"/>
    <n v="5026.5"/>
    <m/>
    <m/>
    <m/>
    <m/>
    <m/>
    <m/>
    <m/>
    <n v="19026.5"/>
    <n v="3171.0833333333335"/>
  </r>
  <r>
    <x v="8"/>
    <s v="Active"/>
    <s v="Durgapur"/>
    <s v="Anara"/>
    <s v="Biswajit Majee"/>
    <s v="2460314961"/>
    <n v="27219"/>
    <x v="3"/>
    <n v="6"/>
    <n v="4247"/>
    <n v="7078.5"/>
    <n v="3735.5"/>
    <n v="3881.75"/>
    <n v="4836.25"/>
    <m/>
    <m/>
    <m/>
    <m/>
    <m/>
    <m/>
    <m/>
    <n v="23779"/>
    <n v="3963.1666666666665"/>
  </r>
  <r>
    <x v="0"/>
    <s v="Active"/>
    <s v="Durgapur"/>
    <s v="Kushodanga"/>
    <s v="Rumpa Pal Mondal"/>
    <s v="3390315402"/>
    <n v="28170"/>
    <x v="3"/>
    <n v="6"/>
    <n v="4880.5"/>
    <n v="3858.5"/>
    <n v="3494.25"/>
    <n v="4161.5"/>
    <n v="4558.5"/>
    <m/>
    <m/>
    <m/>
    <m/>
    <m/>
    <m/>
    <m/>
    <n v="20953.25"/>
    <n v="3492.2083333333335"/>
  </r>
  <r>
    <x v="1"/>
    <s v="Active"/>
    <s v="Hooghly"/>
    <s v="Banka"/>
    <s v="Subhajit Chanda"/>
    <s v="2390312543"/>
    <n v="23560"/>
    <x v="3"/>
    <n v="6"/>
    <n v="5207"/>
    <n v="4997"/>
    <n v="4292"/>
    <n v="4160"/>
    <n v="4381"/>
    <m/>
    <m/>
    <m/>
    <m/>
    <m/>
    <m/>
    <m/>
    <n v="23037"/>
    <n v="3839.5"/>
  </r>
  <r>
    <x v="6"/>
    <s v="Active"/>
    <s v="Durgapur"/>
    <s v="Haringhata"/>
    <s v="Eyakub Mondal"/>
    <s v="2430315345"/>
    <n v="28085"/>
    <x v="3"/>
    <n v="6"/>
    <n v="3530.5"/>
    <n v="6714.5"/>
    <n v="3471"/>
    <n v="6391"/>
    <n v="4328"/>
    <m/>
    <m/>
    <m/>
    <m/>
    <m/>
    <m/>
    <m/>
    <n v="24435"/>
    <n v="4072.5"/>
  </r>
  <r>
    <x v="10"/>
    <s v="Active"/>
    <s v="Siliguri"/>
    <s v="Barobisha"/>
    <s v="Md Akimuzzaman"/>
    <s v="2310315481"/>
    <n v="28270"/>
    <x v="6"/>
    <n v="6"/>
    <n v="1758.5"/>
    <n v="1461"/>
    <n v="2362"/>
    <n v="3000.5"/>
    <n v="4267.75"/>
    <m/>
    <m/>
    <m/>
    <m/>
    <m/>
    <m/>
    <m/>
    <n v="12849.75"/>
    <n v="2141.625"/>
  </r>
  <r>
    <x v="2"/>
    <s v="Active"/>
    <s v="Hooghly"/>
    <s v="Polba"/>
    <s v="Arindam Sadhukhan"/>
    <s v="3390315433"/>
    <n v="28201"/>
    <x v="6"/>
    <n v="6"/>
    <n v="8957"/>
    <n v="7444.5"/>
    <n v="2711"/>
    <n v="2279"/>
    <n v="4198"/>
    <m/>
    <m/>
    <m/>
    <m/>
    <m/>
    <m/>
    <m/>
    <n v="25589.5"/>
    <n v="4264.916666666667"/>
  </r>
  <r>
    <x v="3"/>
    <s v="Active"/>
    <s v="Siliguri"/>
    <s v="Kapista"/>
    <s v="Swarup Karmakar"/>
    <s v="0140311629"/>
    <n v="22366"/>
    <x v="3"/>
    <n v="6"/>
    <n v="3033.25"/>
    <n v="3387"/>
    <n v="3078.75"/>
    <n v="3578.75"/>
    <n v="4136"/>
    <m/>
    <m/>
    <m/>
    <m/>
    <m/>
    <m/>
    <m/>
    <n v="17213.75"/>
    <n v="2868.9583333333335"/>
  </r>
  <r>
    <x v="2"/>
    <s v="Active"/>
    <s v="Hooghly"/>
    <s v="Sahapur"/>
    <s v="Bishal Maity"/>
    <s v="3390312548"/>
    <n v="23565"/>
    <x v="6"/>
    <n v="6"/>
    <n v="6375"/>
    <n v="6210"/>
    <n v="3785"/>
    <n v="3902"/>
    <n v="4082"/>
    <m/>
    <m/>
    <m/>
    <m/>
    <m/>
    <m/>
    <m/>
    <n v="24354"/>
    <n v="4059"/>
  </r>
  <r>
    <x v="7"/>
    <s v="Active"/>
    <s v="Siliguri"/>
    <s v="Sagardighi Square"/>
    <s v="Rajani Roy"/>
    <s v="2200310076"/>
    <n v="20502"/>
    <x v="6"/>
    <n v="6"/>
    <n v="2368"/>
    <n v="2326.75"/>
    <n v="2844"/>
    <n v="4899.25"/>
    <n v="3932.5"/>
    <m/>
    <m/>
    <m/>
    <m/>
    <m/>
    <m/>
    <m/>
    <n v="16370.5"/>
    <n v="2728.4166666666665"/>
  </r>
  <r>
    <x v="6"/>
    <s v="Active"/>
    <s v="Durgapur"/>
    <s v="Hidaypur"/>
    <s v="Akramul Shaikh"/>
    <s v="2430315571"/>
    <n v="28485"/>
    <x v="6"/>
    <n v="6"/>
    <n v="2601"/>
    <n v="2744.5"/>
    <n v="3046.25"/>
    <n v="3710.75"/>
    <n v="3903"/>
    <m/>
    <m/>
    <m/>
    <m/>
    <m/>
    <m/>
    <m/>
    <n v="16005.5"/>
    <n v="2667.5833333333335"/>
  </r>
  <r>
    <x v="8"/>
    <s v="Active"/>
    <s v="Durgapur"/>
    <s v="Patrasayer"/>
    <s v="Satish Ankure"/>
    <s v="2160314679"/>
    <n v="26810"/>
    <x v="3"/>
    <n v="6"/>
    <n v="4068.5"/>
    <n v="3147"/>
    <n v="2200"/>
    <n v="3446.75"/>
    <n v="3736"/>
    <m/>
    <m/>
    <m/>
    <m/>
    <m/>
    <m/>
    <m/>
    <n v="16598.25"/>
    <n v="2766.375"/>
  </r>
  <r>
    <x v="1"/>
    <s v="Active"/>
    <s v="Hooghly"/>
    <s v="Jhargram"/>
    <s v="Sk Imran"/>
    <s v="2390311695"/>
    <n v="22452"/>
    <x v="6"/>
    <n v="6"/>
    <n v="2897.5"/>
    <n v="2355.5"/>
    <n v="2931.5"/>
    <n v="3862"/>
    <n v="3417"/>
    <m/>
    <m/>
    <m/>
    <m/>
    <m/>
    <m/>
    <m/>
    <n v="15463.5"/>
    <n v="2577.25"/>
  </r>
  <r>
    <x v="5"/>
    <s v="Active"/>
    <s v="Siliguri"/>
    <s v="Kanupur"/>
    <s v="Shobhan Majhi"/>
    <s v="2410311257"/>
    <n v="21926"/>
    <x v="6"/>
    <n v="6"/>
    <n v="4147"/>
    <n v="3907"/>
    <n v="3985"/>
    <n v="3326"/>
    <n v="3386"/>
    <m/>
    <m/>
    <m/>
    <m/>
    <m/>
    <m/>
    <m/>
    <n v="18751"/>
    <n v="3125.1666666666665"/>
  </r>
  <r>
    <x v="5"/>
    <s v="Active"/>
    <s v="Siliguri"/>
    <s v="Sagarpara"/>
    <s v="Habibur Rahaman"/>
    <s v="2410311259"/>
    <n v="28860"/>
    <x v="6"/>
    <n v="6"/>
    <n v="3345"/>
    <n v="3551"/>
    <n v="3034"/>
    <n v="2538"/>
    <n v="3226"/>
    <m/>
    <m/>
    <m/>
    <m/>
    <m/>
    <m/>
    <m/>
    <n v="15694"/>
    <n v="2615.6666666666665"/>
  </r>
  <r>
    <x v="11"/>
    <s v="Active"/>
    <s v="Siliguri"/>
    <s v="Raiganj"/>
    <s v="Joydev Das"/>
    <s v="2560315042"/>
    <n v="27372"/>
    <x v="6"/>
    <n v="6"/>
    <n v="3713.75"/>
    <n v="2330.5"/>
    <n v="1675.75"/>
    <n v="2404.5"/>
    <n v="2696.75"/>
    <m/>
    <m/>
    <m/>
    <m/>
    <m/>
    <m/>
    <m/>
    <n v="12821.25"/>
    <n v="2136.875"/>
  </r>
  <r>
    <x v="10"/>
    <s v="Active"/>
    <s v="Siliguri"/>
    <s v="Damanpur"/>
    <s v="Biplab Barman"/>
    <s v="9490310566"/>
    <n v="21091"/>
    <x v="6"/>
    <n v="6"/>
    <n v="2539.25"/>
    <n v="3544.75"/>
    <n v="2498.5"/>
    <n v="3355.25"/>
    <n v="2631"/>
    <m/>
    <m/>
    <m/>
    <m/>
    <m/>
    <m/>
    <m/>
    <n v="14568.75"/>
    <n v="2428.125"/>
  </r>
  <r>
    <x v="12"/>
    <s v="Active"/>
    <s v="Siliguri"/>
    <s v="Nabagram"/>
    <s v="Sahabuddin Ahmed"/>
    <s v="2410312329"/>
    <n v="23270"/>
    <x v="6"/>
    <n v="6"/>
    <n v="2625"/>
    <n v="2438"/>
    <n v="2111"/>
    <n v="2636"/>
    <n v="2353"/>
    <m/>
    <m/>
    <m/>
    <m/>
    <m/>
    <m/>
    <m/>
    <n v="12163"/>
    <n v="2027.1666666666667"/>
  </r>
  <r>
    <x v="9"/>
    <s v="Active"/>
    <s v="Hooghly"/>
    <s v="Kolaghat (Ktpps)"/>
    <s v="Sudipta Mandal"/>
    <s v="2380315163"/>
    <n v="27637"/>
    <x v="7"/>
    <n v="6"/>
    <n v="1776"/>
    <n v="1268"/>
    <n v="919"/>
    <n v="877"/>
    <n v="2339"/>
    <m/>
    <m/>
    <m/>
    <m/>
    <m/>
    <m/>
    <m/>
    <n v="7179"/>
    <n v="1196.5"/>
  </r>
  <r>
    <x v="6"/>
    <s v="Active"/>
    <s v="Durgapur"/>
    <s v="Badkulla"/>
    <s v="Swapan Kumar Biswas"/>
    <s v="2430315186"/>
    <n v="27732"/>
    <x v="6"/>
    <n v="6"/>
    <n v="2180.5"/>
    <n v="2134.75"/>
    <n v="2283"/>
    <n v="2063"/>
    <n v="2006"/>
    <m/>
    <m/>
    <m/>
    <m/>
    <m/>
    <m/>
    <m/>
    <n v="10667.25"/>
    <n v="1777.875"/>
  </r>
  <r>
    <x v="6"/>
    <s v="Active"/>
    <s v="Durgapur"/>
    <s v="Ranaghat"/>
    <s v="Sagari Ghosh"/>
    <s v="2430314519"/>
    <n v="26595"/>
    <x v="3"/>
    <n v="6"/>
    <n v="10993"/>
    <n v="8491"/>
    <n v="6645"/>
    <n v="2647"/>
    <n v="1651"/>
    <m/>
    <m/>
    <m/>
    <m/>
    <m/>
    <m/>
    <m/>
    <n v="30427"/>
    <n v="5071.166666666667"/>
  </r>
  <r>
    <x v="1"/>
    <s v="Active"/>
    <s v="Hooghly"/>
    <s v="Banka"/>
    <s v="Shampa Mandal"/>
    <s v="2390312439"/>
    <n v="23431"/>
    <x v="6"/>
    <n v="6"/>
    <n v="1745.5"/>
    <n v="777"/>
    <n v="1807.75"/>
    <n v="1898"/>
    <n v="1435"/>
    <m/>
    <m/>
    <m/>
    <m/>
    <m/>
    <m/>
    <m/>
    <n v="7663.25"/>
    <n v="1277.2083333333333"/>
  </r>
  <r>
    <x v="7"/>
    <s v="Active"/>
    <s v="Siliguri"/>
    <s v="Sagardighi Square"/>
    <s v="Khurshid Alom "/>
    <s v="2200311941"/>
    <n v="22768"/>
    <x v="7"/>
    <n v="6"/>
    <n v="1220"/>
    <n v="767.5"/>
    <n v="815"/>
    <n v="840.75"/>
    <n v="1235.5"/>
    <m/>
    <m/>
    <m/>
    <m/>
    <m/>
    <m/>
    <m/>
    <n v="4878.75"/>
    <n v="813.125"/>
  </r>
  <r>
    <x v="13"/>
    <s v="Active"/>
    <s v="Saltlake"/>
    <s v="Hingalganj"/>
    <s v="Khairulla Mistri"/>
    <s v="8410316210"/>
    <n v="29799"/>
    <x v="7"/>
    <n v="2"/>
    <m/>
    <m/>
    <m/>
    <m/>
    <n v="1221"/>
    <m/>
    <m/>
    <m/>
    <m/>
    <m/>
    <m/>
    <m/>
    <m/>
    <n v="0"/>
  </r>
  <r>
    <x v="6"/>
    <s v="Active"/>
    <s v="Durgapur"/>
    <s v="Santipur"/>
    <s v="Najmira Khatun"/>
    <s v="2430315335"/>
    <n v="28075"/>
    <x v="7"/>
    <n v="6"/>
    <n v="1085"/>
    <n v="938"/>
    <n v="653"/>
    <n v="1659"/>
    <n v="1130"/>
    <m/>
    <m/>
    <m/>
    <m/>
    <m/>
    <m/>
    <m/>
    <n v="5465"/>
    <n v="910.83333333333337"/>
  </r>
  <r>
    <x v="1"/>
    <s v="Active"/>
    <s v="Hooghly"/>
    <s v="Kankabati"/>
    <s v="Mita Samanta"/>
    <s v="2390311663"/>
    <n v="22401"/>
    <x v="7"/>
    <n v="6"/>
    <n v="1484"/>
    <n v="4871"/>
    <n v="1429.25"/>
    <n v="1015"/>
    <n v="1007.5"/>
    <m/>
    <m/>
    <m/>
    <m/>
    <m/>
    <m/>
    <m/>
    <n v="9806.75"/>
    <n v="1634.4583333333333"/>
  </r>
  <r>
    <x v="10"/>
    <s v="Active"/>
    <s v="Siliguri"/>
    <s v="Barobisha"/>
    <s v="Sankar Arya"/>
    <s v="2200315639"/>
    <n v="28692"/>
    <x v="7"/>
    <n v="6"/>
    <n v="753.25"/>
    <n v="462"/>
    <n v="797"/>
    <n v="443"/>
    <n v="964"/>
    <m/>
    <m/>
    <m/>
    <m/>
    <m/>
    <m/>
    <m/>
    <n v="3419.25"/>
    <n v="569.875"/>
  </r>
  <r>
    <x v="1"/>
    <s v="Active"/>
    <s v="Hooghly"/>
    <s v="Ghatal"/>
    <s v="Chandan Satik"/>
    <s v="2390311662"/>
    <n v="22400"/>
    <x v="7"/>
    <n v="6"/>
    <n v="1406"/>
    <n v="763"/>
    <n v="555"/>
    <n v="918.75"/>
    <n v="852"/>
    <m/>
    <m/>
    <m/>
    <m/>
    <m/>
    <m/>
    <m/>
    <n v="4494.75"/>
    <n v="749.125"/>
  </r>
  <r>
    <x v="8"/>
    <s v="Inactive"/>
    <s v="Durgapur"/>
    <s v="Patrasayer"/>
    <s v="Bula Karmakar"/>
    <s v="2160315824"/>
    <n v="29069"/>
    <x v="7"/>
    <n v="5"/>
    <n v="203.5"/>
    <n v="891.25"/>
    <n v="2656"/>
    <n v="812"/>
    <n v="835"/>
    <m/>
    <m/>
    <m/>
    <m/>
    <m/>
    <m/>
    <m/>
    <n v="5397.75"/>
    <n v="1079.55"/>
  </r>
  <r>
    <x v="12"/>
    <s v="Active"/>
    <s v="Siliguri"/>
    <s v="Dhuliyan"/>
    <s v="Md Asraful Hoque"/>
    <s v="2410313985"/>
    <n v="25557"/>
    <x v="7"/>
    <n v="6"/>
    <n v="501"/>
    <n v="897"/>
    <n v="566"/>
    <n v="1934.75"/>
    <n v="719"/>
    <m/>
    <m/>
    <m/>
    <m/>
    <m/>
    <m/>
    <m/>
    <n v="4617.75"/>
    <n v="769.625"/>
  </r>
  <r>
    <x v="6"/>
    <s v="Active"/>
    <s v="Durgapur"/>
    <s v="Hridaypur"/>
    <s v="Suman Ghosh"/>
    <s v="8116659114"/>
    <n v="29525"/>
    <x v="7"/>
    <n v="4"/>
    <m/>
    <m/>
    <n v="696"/>
    <n v="1990"/>
    <n v="708"/>
    <m/>
    <m/>
    <m/>
    <m/>
    <m/>
    <m/>
    <m/>
    <n v="3394"/>
    <m/>
  </r>
  <r>
    <x v="2"/>
    <s v="Active"/>
    <s v="Hooghly"/>
    <s v="Saidpur"/>
    <s v="Puja Manna"/>
    <s v="3390311696"/>
    <n v="22453"/>
    <x v="7"/>
    <n v="6"/>
    <n v="127"/>
    <n v="250"/>
    <n v="225"/>
    <n v="464"/>
    <n v="540"/>
    <m/>
    <m/>
    <m/>
    <m/>
    <m/>
    <m/>
    <m/>
    <n v="1606"/>
    <n v="267.66666666666669"/>
  </r>
  <r>
    <x v="6"/>
    <s v="Active"/>
    <s v="Durgapur"/>
    <s v="Ranaghat"/>
    <s v="Kishore Bhakta"/>
    <s v="2430315568"/>
    <n v="28482"/>
    <x v="7"/>
    <n v="6"/>
    <n v="235"/>
    <n v="601"/>
    <n v="268"/>
    <n v="330"/>
    <n v="416"/>
    <m/>
    <m/>
    <m/>
    <m/>
    <m/>
    <m/>
    <m/>
    <n v="1850"/>
    <n v="308.33333333333331"/>
  </r>
  <r>
    <x v="6"/>
    <s v="Active"/>
    <s v="Durgapur"/>
    <s v="Santipur"/>
    <s v="Partha Dey"/>
    <s v="2430315570"/>
    <n v="29089"/>
    <x v="7"/>
    <n v="6"/>
    <n v="60"/>
    <n v="221"/>
    <n v="296"/>
    <n v="623"/>
    <n v="386"/>
    <m/>
    <m/>
    <m/>
    <m/>
    <m/>
    <m/>
    <m/>
    <n v="1586"/>
    <n v="264.33333333333331"/>
  </r>
  <r>
    <x v="10"/>
    <s v="Inactive"/>
    <s v="Siliguri"/>
    <s v="Barobisha"/>
    <s v="Virendra Narayan Nag"/>
    <s v="8967601707"/>
    <n v="29526"/>
    <x v="7"/>
    <n v="3"/>
    <m/>
    <m/>
    <n v="34"/>
    <n v="143"/>
    <n v="382"/>
    <m/>
    <m/>
    <m/>
    <m/>
    <m/>
    <m/>
    <m/>
    <n v="559"/>
    <m/>
  </r>
  <r>
    <x v="9"/>
    <s v="Active"/>
    <s v="Hooghly"/>
    <s v="Keshapat"/>
    <s v="Subhankar Samanta"/>
    <s v="2380311664"/>
    <n v="22402"/>
    <x v="7"/>
    <n v="6"/>
    <n v="557.5"/>
    <n v="491.5"/>
    <n v="497"/>
    <n v="751"/>
    <n v="355"/>
    <m/>
    <m/>
    <m/>
    <m/>
    <m/>
    <m/>
    <m/>
    <n v="2652"/>
    <n v="442"/>
  </r>
  <r>
    <x v="10"/>
    <s v="Inactive"/>
    <s v="Siliguri"/>
    <s v="Buxa Forest Craja"/>
    <s v="Md Khalique Ansari "/>
    <s v="9490315684"/>
    <n v="28825"/>
    <x v="7"/>
    <n v="5"/>
    <n v="239"/>
    <n v="125"/>
    <n v="8"/>
    <n v="39"/>
    <n v="345"/>
    <m/>
    <m/>
    <m/>
    <m/>
    <m/>
    <m/>
    <m/>
    <n v="756"/>
    <n v="151.19999999999999"/>
  </r>
  <r>
    <x v="2"/>
    <s v="Active"/>
    <s v="Hooghly"/>
    <s v="Dasghara"/>
    <s v="Sabir Amed"/>
    <s v="3390312282"/>
    <n v="23214"/>
    <x v="7"/>
    <n v="6"/>
    <n v="278"/>
    <n v="240"/>
    <n v="128"/>
    <n v="309"/>
    <n v="332"/>
    <m/>
    <m/>
    <m/>
    <m/>
    <m/>
    <m/>
    <m/>
    <n v="1287"/>
    <n v="214.5"/>
  </r>
  <r>
    <x v="6"/>
    <s v="Inactive"/>
    <s v="Durgapur"/>
    <s v="Santipur"/>
    <s v="Dipanwita Das"/>
    <s v="2430315569"/>
    <n v="28483"/>
    <x v="7"/>
    <n v="5"/>
    <n v="65"/>
    <n v="18"/>
    <n v="830.5"/>
    <n v="265.75"/>
    <n v="301"/>
    <m/>
    <m/>
    <m/>
    <m/>
    <m/>
    <m/>
    <m/>
    <n v="1480.25"/>
    <n v="296.05"/>
  </r>
  <r>
    <x v="2"/>
    <s v="Inactive"/>
    <s v="Hooghly"/>
    <s v="Batanal"/>
    <s v="Chaitali Shit Malik"/>
    <s v="3390311948"/>
    <n v="22775"/>
    <x v="8"/>
    <n v="1"/>
    <n v="60"/>
    <n v="83.5"/>
    <n v="45"/>
    <n v="97.5"/>
    <n v="292.5"/>
    <m/>
    <m/>
    <m/>
    <m/>
    <m/>
    <m/>
    <m/>
    <n v="578.5"/>
    <n v="578.5"/>
  </r>
  <r>
    <x v="10"/>
    <s v="Inactive"/>
    <s v="Siliguri"/>
    <s v="Buxa Forest Craja"/>
    <s v="Pankaj Tiwari"/>
    <s v="9490310077"/>
    <n v="20503"/>
    <x v="7"/>
    <n v="4"/>
    <m/>
    <n v="44"/>
    <n v="93"/>
    <n v="196"/>
    <n v="274.5"/>
    <m/>
    <m/>
    <m/>
    <m/>
    <m/>
    <m/>
    <m/>
    <n v="607.5"/>
    <n v="151.875"/>
  </r>
  <r>
    <x v="6"/>
    <s v="Inactive"/>
    <s v="Durgapur"/>
    <s v="Chakdaha"/>
    <s v="Kiran Biswas"/>
    <s v="2430315343"/>
    <n v="28083"/>
    <x v="7"/>
    <n v="5"/>
    <n v="617"/>
    <n v="378.5"/>
    <n v="304"/>
    <n v="600"/>
    <n v="253"/>
    <m/>
    <m/>
    <m/>
    <m/>
    <m/>
    <m/>
    <m/>
    <n v="2152.5"/>
    <n v="430.5"/>
  </r>
  <r>
    <x v="9"/>
    <s v="Active"/>
    <s v="Hooghly"/>
    <s v="Contai"/>
    <s v="Subhankar Sahoo"/>
    <s v="2380314983"/>
    <n v="27249"/>
    <x v="7"/>
    <n v="6"/>
    <n v="436"/>
    <n v="367"/>
    <n v="103"/>
    <n v="265.75"/>
    <n v="252"/>
    <m/>
    <m/>
    <m/>
    <m/>
    <m/>
    <m/>
    <m/>
    <n v="1423.75"/>
    <n v="237.29166666666666"/>
  </r>
  <r>
    <x v="9"/>
    <s v="Active"/>
    <s v="Hooghly"/>
    <s v="Tamluk"/>
    <s v="Soumen Baichar"/>
    <s v="2390314474"/>
    <n v="26530"/>
    <x v="7"/>
    <n v="6"/>
    <n v="253.5"/>
    <n v="352"/>
    <n v="154"/>
    <n v="332"/>
    <n v="158"/>
    <m/>
    <m/>
    <m/>
    <m/>
    <m/>
    <m/>
    <m/>
    <n v="1249.5"/>
    <n v="208.25"/>
  </r>
  <r>
    <x v="9"/>
    <s v="Active"/>
    <s v="Hooghly"/>
    <s v="Panskura"/>
    <s v="Prasanta Ghorai"/>
    <s v="9635383167"/>
    <n v="29527"/>
    <x v="9"/>
    <n v="4"/>
    <m/>
    <m/>
    <n v="202"/>
    <n v="183"/>
    <n v="145"/>
    <m/>
    <m/>
    <m/>
    <m/>
    <m/>
    <m/>
    <m/>
    <n v="530"/>
    <n v="132.5"/>
  </r>
  <r>
    <x v="10"/>
    <s v="Active"/>
    <s v="Siliguri"/>
    <s v="Ethelbari"/>
    <s v="Tarif Baxla"/>
    <s v="8410316211"/>
    <n v="29798"/>
    <x v="7"/>
    <n v="2"/>
    <m/>
    <m/>
    <m/>
    <m/>
    <n v="75"/>
    <m/>
    <m/>
    <m/>
    <m/>
    <m/>
    <m/>
    <m/>
    <m/>
    <n v="0"/>
  </r>
  <r>
    <x v="8"/>
    <s v="Inactive"/>
    <s v="Durgapur"/>
    <s v="Patrasayer"/>
    <s v="Manorama Chakraborty Roy "/>
    <s v="2160315496"/>
    <n v="28305"/>
    <x v="7"/>
    <n v="4"/>
    <n v="97"/>
    <n v="207"/>
    <m/>
    <n v="61"/>
    <n v="38"/>
    <m/>
    <m/>
    <m/>
    <m/>
    <m/>
    <m/>
    <m/>
    <n v="403"/>
    <n v="100.75"/>
  </r>
  <r>
    <x v="3"/>
    <s v="Inactive"/>
    <s v="Siliguri"/>
    <s v="Lohapur"/>
    <s v="Suraj Fulmali"/>
    <s v="0140311327"/>
    <n v="27437"/>
    <x v="7"/>
    <n v="2"/>
    <n v="176"/>
    <m/>
    <m/>
    <m/>
    <n v="30"/>
    <m/>
    <m/>
    <m/>
    <m/>
    <m/>
    <m/>
    <m/>
    <n v="206"/>
    <n v="103"/>
  </r>
  <r>
    <x v="6"/>
    <s v="Inactive"/>
    <s v="Durgapur"/>
    <s v="Badkulla"/>
    <s v="Amit Sikder"/>
    <s v="2430315185"/>
    <n v="27731"/>
    <x v="7"/>
    <n v="2"/>
    <n v="667"/>
    <n v="634"/>
    <m/>
    <m/>
    <m/>
    <m/>
    <m/>
    <m/>
    <m/>
    <m/>
    <m/>
    <m/>
    <n v="1301"/>
    <n v="650.5"/>
  </r>
  <r>
    <x v="6"/>
    <s v="Inactive"/>
    <s v="Durgapur"/>
    <s v="Hridaypur"/>
    <s v="Asim Halder"/>
    <s v="2430315807"/>
    <n v="29052"/>
    <x v="7"/>
    <n v="3"/>
    <n v="137"/>
    <n v="141"/>
    <n v="15"/>
    <m/>
    <m/>
    <m/>
    <m/>
    <m/>
    <m/>
    <m/>
    <m/>
    <m/>
    <n v="293"/>
    <n v="97.666666666666671"/>
  </r>
  <r>
    <x v="6"/>
    <s v="Inactive"/>
    <s v="Durgapur"/>
    <s v="Hridaypur"/>
    <s v="Nitish Mondal"/>
    <s v="8942919438"/>
    <n v="29524"/>
    <x v="7"/>
    <n v="1"/>
    <m/>
    <m/>
    <m/>
    <n v="46"/>
    <m/>
    <m/>
    <m/>
    <m/>
    <m/>
    <m/>
    <m/>
    <m/>
    <n v="46"/>
    <n v="46"/>
  </r>
  <r>
    <x v="2"/>
    <s v="Active"/>
    <s v="Hooghly"/>
    <s v="Mayapur"/>
    <s v="Ruma Rana"/>
    <s v="8410316172"/>
    <n v="29749"/>
    <x v="7"/>
    <n v="1"/>
    <m/>
    <m/>
    <m/>
    <m/>
    <m/>
    <m/>
    <m/>
    <m/>
    <m/>
    <m/>
    <m/>
    <m/>
    <m/>
    <n v="0"/>
  </r>
  <r>
    <x v="8"/>
    <s v="Inactive"/>
    <s v="Durgapur"/>
    <s v="Layekbandh"/>
    <s v="Debasis Dey"/>
    <s v="2160315158"/>
    <n v="27632"/>
    <x v="8"/>
    <n v="0"/>
    <m/>
    <m/>
    <m/>
    <m/>
    <m/>
    <m/>
    <m/>
    <m/>
    <m/>
    <m/>
    <m/>
    <m/>
    <m/>
    <e v="#DIV/0!"/>
  </r>
  <r>
    <x v="6"/>
    <s v="Inactive"/>
    <s v="Durgapur"/>
    <s v="Hridaypur"/>
    <s v="Saiful Sekh"/>
    <s v="2430314735"/>
    <n v="26881"/>
    <x v="8"/>
    <n v="0"/>
    <m/>
    <m/>
    <m/>
    <m/>
    <m/>
    <m/>
    <m/>
    <m/>
    <m/>
    <m/>
    <m/>
    <m/>
    <m/>
    <e v="#DIV/0!"/>
  </r>
  <r>
    <x v="8"/>
    <s v="Inactive"/>
    <s v="Durgapur"/>
    <s v="Kotulpur"/>
    <s v="Sayan Dutta"/>
    <s v="2160315608"/>
    <n v="28601"/>
    <x v="7"/>
    <n v="1"/>
    <m/>
    <m/>
    <m/>
    <m/>
    <m/>
    <m/>
    <m/>
    <m/>
    <m/>
    <m/>
    <m/>
    <m/>
    <m/>
    <n v="0"/>
  </r>
  <r>
    <x v="9"/>
    <s v="Inactive"/>
    <s v="Hooghly"/>
    <s v="Contai"/>
    <s v="Sulekha Das"/>
    <s v="2380314986"/>
    <n v="27252"/>
    <x v="8"/>
    <n v="0"/>
    <m/>
    <m/>
    <m/>
    <m/>
    <m/>
    <m/>
    <m/>
    <m/>
    <m/>
    <m/>
    <m/>
    <m/>
    <m/>
    <e v="#DIV/0!"/>
  </r>
  <r>
    <x v="2"/>
    <s v="Inactive"/>
    <s v="Hooghly"/>
    <s v="Mayapur"/>
    <s v="Falguni Samanta"/>
    <s v="3390311256"/>
    <n v="21925"/>
    <x v="8"/>
    <n v="0"/>
    <m/>
    <m/>
    <m/>
    <m/>
    <m/>
    <m/>
    <m/>
    <m/>
    <m/>
    <m/>
    <m/>
    <m/>
    <m/>
    <e v="#DIV/0!"/>
  </r>
  <r>
    <x v="9"/>
    <s v="Inactive"/>
    <s v="Hooghly"/>
    <s v="Contai"/>
    <s v="Narayan Ojha"/>
    <s v="2380314459"/>
    <n v="26507"/>
    <x v="8"/>
    <n v="0"/>
    <m/>
    <m/>
    <m/>
    <m/>
    <m/>
    <m/>
    <m/>
    <m/>
    <m/>
    <m/>
    <m/>
    <m/>
    <m/>
    <e v="#DIV/0!"/>
  </r>
  <r>
    <x v="2"/>
    <s v="Inactive"/>
    <s v="Hooghly"/>
    <s v="Arambagh"/>
    <s v="Sk Momin Uddin"/>
    <s v="3390313207"/>
    <n v="24527"/>
    <x v="8"/>
    <n v="0"/>
    <m/>
    <m/>
    <m/>
    <m/>
    <m/>
    <m/>
    <m/>
    <m/>
    <m/>
    <m/>
    <m/>
    <m/>
    <m/>
    <e v="#DIV/0!"/>
  </r>
  <r>
    <x v="2"/>
    <s v="Inactive"/>
    <s v="Hooghly"/>
    <s v="Mangrul"/>
    <s v="Prasenjit Ghosh"/>
    <s v="2390311944"/>
    <n v="22771"/>
    <x v="10"/>
    <n v="0"/>
    <m/>
    <m/>
    <m/>
    <m/>
    <m/>
    <m/>
    <m/>
    <m/>
    <m/>
    <m/>
    <m/>
    <m/>
    <m/>
    <e v="#DIV/0!"/>
  </r>
  <r>
    <x v="3"/>
    <s v="Inactive"/>
    <s v="Siliguri"/>
    <s v="Mangaldihi"/>
    <s v="Swarup Sadhu"/>
    <s v="0140311670"/>
    <n v="22424"/>
    <x v="10"/>
    <n v="0"/>
    <m/>
    <m/>
    <m/>
    <m/>
    <m/>
    <m/>
    <m/>
    <m/>
    <m/>
    <m/>
    <m/>
    <m/>
    <m/>
    <e v="#DIV/0!"/>
  </r>
  <r>
    <x v="10"/>
    <s v="Inactive"/>
    <s v="Siliguri"/>
    <s v="Maynaguri"/>
    <s v="Biswajit Roy"/>
    <s v="2310311260"/>
    <n v="21929"/>
    <x v="8"/>
    <n v="0"/>
    <m/>
    <m/>
    <m/>
    <m/>
    <m/>
    <m/>
    <m/>
    <m/>
    <m/>
    <m/>
    <m/>
    <m/>
    <m/>
    <e v="#DIV/0!"/>
  </r>
  <r>
    <x v="3"/>
    <s v="Inactive"/>
    <s v="Siliguri"/>
    <s v="Mangaldihi"/>
    <s v="Sk Khairul Hossain"/>
    <s v="0140310490"/>
    <n v="20983"/>
    <x v="8"/>
    <n v="0"/>
    <m/>
    <m/>
    <m/>
    <m/>
    <m/>
    <m/>
    <m/>
    <m/>
    <m/>
    <m/>
    <m/>
    <m/>
    <m/>
    <e v="#DIV/0!"/>
  </r>
  <r>
    <x v="3"/>
    <s v="Inactive"/>
    <s v="Siliguri"/>
    <s v="Koytha"/>
    <s v="Tamarul Sk"/>
    <s v="0140311624"/>
    <n v="22361"/>
    <x v="8"/>
    <n v="0"/>
    <m/>
    <m/>
    <m/>
    <m/>
    <m/>
    <m/>
    <m/>
    <m/>
    <m/>
    <m/>
    <m/>
    <m/>
    <m/>
    <e v="#DIV/0!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s v="Active"/>
    <s v="Durgapur"/>
    <s v="Kushodanga"/>
    <s v="Priti Das"/>
    <s v="3390315408"/>
    <n v="28176"/>
    <n v="6"/>
    <n v="1800"/>
    <n v="449"/>
    <n v="466"/>
    <n v="852"/>
    <n v="1482"/>
    <n v="2681"/>
    <n v="570"/>
    <m/>
    <m/>
    <m/>
    <m/>
    <m/>
    <m/>
    <n v="6500"/>
    <n v="1083.3333333333333"/>
    <x v="0"/>
  </r>
  <r>
    <x v="1"/>
    <s v="Active"/>
    <s v="Hooghly"/>
    <s v="Palaschabrighat"/>
    <s v="Asima Bhunia"/>
    <s v="2390311420"/>
    <n v="22126"/>
    <n v="6"/>
    <n v="1800"/>
    <n v="2249"/>
    <n v="2030"/>
    <n v="2244"/>
    <n v="2531"/>
    <n v="3160"/>
    <n v="587"/>
    <m/>
    <m/>
    <m/>
    <m/>
    <m/>
    <m/>
    <n v="12801"/>
    <n v="2133.5"/>
    <x v="1"/>
  </r>
  <r>
    <x v="1"/>
    <s v="Active"/>
    <s v="Hooghly"/>
    <s v="Binpur"/>
    <s v="Debika Singha Patra"/>
    <s v="2390311962"/>
    <n v="22789"/>
    <n v="6"/>
    <n v="1800"/>
    <n v="2626"/>
    <n v="2814"/>
    <n v="2318"/>
    <n v="2492"/>
    <n v="2518"/>
    <n v="540"/>
    <m/>
    <m/>
    <m/>
    <m/>
    <m/>
    <m/>
    <n v="13308"/>
    <n v="2218"/>
    <x v="1"/>
  </r>
  <r>
    <x v="2"/>
    <s v="Active"/>
    <s v="Hooghly"/>
    <s v="Rajhati"/>
    <s v="Arnnapurna Maji"/>
    <s v="3390311610"/>
    <n v="22346"/>
    <n v="6"/>
    <n v="1800"/>
    <n v="2060"/>
    <n v="1741"/>
    <n v="1555"/>
    <n v="1870"/>
    <n v="2085"/>
    <n v="407"/>
    <m/>
    <m/>
    <m/>
    <m/>
    <m/>
    <m/>
    <n v="9718"/>
    <n v="1619.6666666666667"/>
    <x v="2"/>
  </r>
  <r>
    <x v="1"/>
    <s v="Active"/>
    <s v="Hooghly"/>
    <s v="Ramjibanpur"/>
    <s v="Abhijit Modak"/>
    <s v="3390311425"/>
    <n v="22131"/>
    <n v="6"/>
    <n v="1800"/>
    <n v="1952"/>
    <n v="2034"/>
    <n v="1525"/>
    <n v="1701"/>
    <n v="1800"/>
    <n v="399"/>
    <m/>
    <m/>
    <m/>
    <m/>
    <m/>
    <m/>
    <n v="9411"/>
    <n v="1568.5"/>
    <x v="2"/>
  </r>
  <r>
    <x v="1"/>
    <s v="Active"/>
    <s v="Hooghly"/>
    <s v="Khirpai"/>
    <s v="Sk Abbas Ali"/>
    <s v="2390311378"/>
    <n v="22073"/>
    <n v="6"/>
    <n v="1800"/>
    <n v="1124"/>
    <n v="1231"/>
    <n v="1242"/>
    <n v="1470"/>
    <n v="1622"/>
    <n v="339"/>
    <m/>
    <m/>
    <m/>
    <m/>
    <m/>
    <m/>
    <n v="7028"/>
    <n v="1171.3333333333333"/>
    <x v="0"/>
  </r>
  <r>
    <x v="3"/>
    <s v="Active"/>
    <s v="Siliguri"/>
    <s v="Jajigram"/>
    <s v="Mosaraf Sk"/>
    <s v="0140311323"/>
    <n v="21998"/>
    <n v="6"/>
    <n v="1800"/>
    <n v="1132"/>
    <n v="1153"/>
    <n v="1213"/>
    <n v="1448"/>
    <n v="1580"/>
    <n v="341"/>
    <m/>
    <m/>
    <m/>
    <m/>
    <m/>
    <m/>
    <n v="6867"/>
    <n v="1144.5"/>
    <x v="0"/>
  </r>
  <r>
    <x v="3"/>
    <s v="Active"/>
    <s v="Siliguri"/>
    <s v="Paikar"/>
    <s v="Saheb Sk"/>
    <s v="0140311324"/>
    <n v="21999"/>
    <n v="6"/>
    <n v="1800"/>
    <n v="1759"/>
    <n v="1665"/>
    <n v="1333"/>
    <n v="1502"/>
    <n v="1552"/>
    <n v="296"/>
    <m/>
    <m/>
    <m/>
    <m/>
    <m/>
    <m/>
    <n v="8107"/>
    <n v="1351.1666666666667"/>
    <x v="0"/>
  </r>
  <r>
    <x v="1"/>
    <s v="Active"/>
    <s v="Hooghly"/>
    <s v="Bhairabpur"/>
    <s v="Srabani Chatterjee"/>
    <s v="2390312437"/>
    <n v="23429"/>
    <n v="6"/>
    <n v="1800"/>
    <n v="1108"/>
    <n v="848"/>
    <n v="793"/>
    <n v="985"/>
    <n v="1119"/>
    <n v="136"/>
    <m/>
    <m/>
    <m/>
    <m/>
    <m/>
    <m/>
    <n v="4989"/>
    <n v="831.5"/>
    <x v="3"/>
  </r>
  <r>
    <x v="2"/>
    <s v="Active"/>
    <s v="Hooghly"/>
    <s v="Rajhati"/>
    <s v="Santanu Ghosh"/>
    <s v="3390314383"/>
    <n v="26399"/>
    <n v="6"/>
    <n v="1800"/>
    <n v="1112"/>
    <n v="886"/>
    <n v="621"/>
    <n v="1042"/>
    <n v="1056"/>
    <n v="161"/>
    <m/>
    <m/>
    <m/>
    <m/>
    <m/>
    <m/>
    <n v="4878"/>
    <n v="813"/>
    <x v="3"/>
  </r>
  <r>
    <x v="4"/>
    <s v="Active"/>
    <s v="Siliguri"/>
    <s v="Kaluari"/>
    <s v="Masidur Rahaman"/>
    <s v="2370310973"/>
    <n v="21583"/>
    <n v="6"/>
    <n v="1800"/>
    <n v="1235"/>
    <n v="971"/>
    <n v="1059"/>
    <n v="994"/>
    <n v="953"/>
    <n v="204"/>
    <m/>
    <m/>
    <m/>
    <m/>
    <m/>
    <m/>
    <n v="5416"/>
    <n v="902.66666666666663"/>
    <x v="0"/>
  </r>
  <r>
    <x v="0"/>
    <s v="Active"/>
    <s v="Durgapur"/>
    <s v="Patuli"/>
    <s v="Satyajit Kar"/>
    <s v="3390314928"/>
    <n v="27154"/>
    <n v="6"/>
    <n v="1800"/>
    <n v="696"/>
    <n v="681"/>
    <n v="631"/>
    <n v="590"/>
    <n v="814"/>
    <n v="146"/>
    <m/>
    <m/>
    <m/>
    <m/>
    <m/>
    <m/>
    <n v="3558"/>
    <n v="593"/>
    <x v="4"/>
  </r>
  <r>
    <x v="5"/>
    <s v="Active"/>
    <s v="Siliguri"/>
    <s v="Talgachi"/>
    <s v="Giridhari Sarkar"/>
    <s v="2410310083"/>
    <n v="20509"/>
    <n v="6"/>
    <n v="1800"/>
    <n v="803"/>
    <n v="743"/>
    <n v="777"/>
    <n v="876"/>
    <n v="884"/>
    <n v="195"/>
    <m/>
    <m/>
    <m/>
    <m/>
    <m/>
    <m/>
    <n v="4278"/>
    <n v="713"/>
    <x v="3"/>
  </r>
  <r>
    <x v="2"/>
    <s v="Active"/>
    <s v="Hooghly"/>
    <s v="Khanakul"/>
    <s v="Susobhan Patra"/>
    <s v="3390312968"/>
    <n v="24153"/>
    <n v="6"/>
    <n v="1800"/>
    <n v="779"/>
    <n v="615"/>
    <n v="518"/>
    <n v="686"/>
    <n v="877"/>
    <n v="98"/>
    <m/>
    <m/>
    <m/>
    <m/>
    <m/>
    <m/>
    <n v="3573"/>
    <n v="595.5"/>
    <x v="4"/>
  </r>
  <r>
    <x v="1"/>
    <s v="Active"/>
    <s v="Hooghly"/>
    <s v="Nayabasat"/>
    <s v="Mousumi Chanda Dey"/>
    <s v="2390315855"/>
    <n v="29123"/>
    <n v="6"/>
    <n v="1800"/>
    <n v="432"/>
    <n v="850"/>
    <n v="467"/>
    <n v="659"/>
    <n v="876"/>
    <n v="198"/>
    <m/>
    <m/>
    <m/>
    <m/>
    <m/>
    <m/>
    <n v="3482"/>
    <n v="580.33333333333337"/>
    <x v="4"/>
  </r>
  <r>
    <x v="2"/>
    <s v="Active"/>
    <s v="Hooghly"/>
    <s v="Jirat"/>
    <s v="Sahadeb Chakraborty"/>
    <s v="3390314204"/>
    <n v="26084"/>
    <n v="6"/>
    <n v="1800"/>
    <n v="831"/>
    <n v="914"/>
    <n v="738"/>
    <n v="927"/>
    <n v="861"/>
    <n v="213"/>
    <m/>
    <m/>
    <m/>
    <m/>
    <m/>
    <m/>
    <n v="4484"/>
    <n v="747.33333333333337"/>
    <x v="3"/>
  </r>
  <r>
    <x v="1"/>
    <s v="Active"/>
    <s v="Hooghly"/>
    <s v="Guiadaha"/>
    <s v="Munmun Chakraborty"/>
    <s v="2390312218"/>
    <n v="23142"/>
    <n v="6"/>
    <n v="1800"/>
    <n v="573"/>
    <n v="554"/>
    <n v="626"/>
    <n v="682"/>
    <n v="846"/>
    <n v="154"/>
    <m/>
    <m/>
    <m/>
    <m/>
    <m/>
    <m/>
    <n v="3435"/>
    <n v="572.5"/>
    <x v="4"/>
  </r>
  <r>
    <x v="3"/>
    <s v="Active"/>
    <s v="Siliguri"/>
    <s v="Parsundi"/>
    <s v="Parimal Das"/>
    <s v="0140311628"/>
    <n v="22365"/>
    <n v="6"/>
    <n v="1800"/>
    <n v="713"/>
    <n v="863"/>
    <n v="755"/>
    <n v="881"/>
    <n v="827"/>
    <n v="148"/>
    <m/>
    <m/>
    <m/>
    <m/>
    <m/>
    <m/>
    <n v="4187"/>
    <n v="697.83333333333337"/>
    <x v="3"/>
  </r>
  <r>
    <x v="2"/>
    <s v="Active"/>
    <s v="Hooghly"/>
    <s v="Haripal"/>
    <s v="Sk Nasim Ali"/>
    <s v="3390312613"/>
    <n v="23669"/>
    <n v="6"/>
    <n v="1800"/>
    <n v="728"/>
    <n v="589"/>
    <n v="525"/>
    <n v="640"/>
    <n v="756"/>
    <n v="113"/>
    <m/>
    <m/>
    <m/>
    <m/>
    <m/>
    <m/>
    <n v="3351"/>
    <n v="558.5"/>
    <x v="4"/>
  </r>
  <r>
    <x v="1"/>
    <s v="Active"/>
    <s v="Hooghly"/>
    <s v="Kharar"/>
    <s v="Pinki Ghosh"/>
    <s v="2390311944"/>
    <n v="29368"/>
    <n v="6"/>
    <n v="1800"/>
    <n v="71"/>
    <n v="534"/>
    <n v="422"/>
    <n v="400"/>
    <n v="696"/>
    <n v="136"/>
    <m/>
    <m/>
    <m/>
    <m/>
    <m/>
    <m/>
    <n v="2259"/>
    <n v="376.5"/>
    <x v="5"/>
  </r>
  <r>
    <x v="6"/>
    <s v="Active"/>
    <s v="Siliguri"/>
    <s v="Sagardighi Square"/>
    <s v="Ajit Modak"/>
    <s v="2200309916"/>
    <n v="20322"/>
    <n v="6"/>
    <n v="1800"/>
    <n v="614"/>
    <n v="539"/>
    <n v="567"/>
    <n v="606"/>
    <n v="729"/>
    <n v="143"/>
    <m/>
    <m/>
    <m/>
    <m/>
    <m/>
    <m/>
    <n v="3198"/>
    <n v="533"/>
    <x v="4"/>
  </r>
  <r>
    <x v="7"/>
    <s v="Active"/>
    <s v="Durgapur"/>
    <s v="Santipur"/>
    <s v="Sahabul Mandal"/>
    <s v="2430315156"/>
    <n v="27630"/>
    <n v="6"/>
    <n v="1800"/>
    <n v="748"/>
    <n v="751"/>
    <n v="719"/>
    <n v="847"/>
    <n v="709"/>
    <n v="161"/>
    <m/>
    <m/>
    <m/>
    <m/>
    <m/>
    <m/>
    <n v="3935"/>
    <n v="655.83333333333337"/>
    <x v="3"/>
  </r>
  <r>
    <x v="1"/>
    <s v="Active"/>
    <s v="Hooghly"/>
    <s v="Khirpai"/>
    <s v="Reshma Khatun"/>
    <s v="2390314453"/>
    <n v="26501"/>
    <n v="6"/>
    <n v="1800"/>
    <n v="513"/>
    <n v="563"/>
    <n v="528"/>
    <n v="549"/>
    <n v="678"/>
    <n v="69"/>
    <m/>
    <m/>
    <m/>
    <m/>
    <m/>
    <m/>
    <n v="2900"/>
    <n v="483.33333333333331"/>
    <x v="4"/>
  </r>
  <r>
    <x v="4"/>
    <s v="Active"/>
    <s v="Siliguri"/>
    <s v="Inyathpur"/>
    <s v="Tumpa Poddar"/>
    <s v="2370312246"/>
    <n v="23178"/>
    <n v="6"/>
    <n v="1800"/>
    <n v="650"/>
    <n v="519"/>
    <n v="583"/>
    <n v="686"/>
    <n v="664"/>
    <n v="88"/>
    <m/>
    <m/>
    <m/>
    <m/>
    <m/>
    <m/>
    <n v="3190"/>
    <n v="531.66666666666663"/>
    <x v="4"/>
  </r>
  <r>
    <x v="3"/>
    <s v="Active"/>
    <s v="Siliguri"/>
    <s v="Mangaldihi"/>
    <s v="Ruma Bagdi"/>
    <s v="0140311670"/>
    <n v="27028"/>
    <n v="6"/>
    <n v="1800"/>
    <n v="684"/>
    <n v="605"/>
    <n v="504"/>
    <n v="675"/>
    <n v="659"/>
    <n v="134"/>
    <m/>
    <m/>
    <m/>
    <m/>
    <m/>
    <m/>
    <n v="3261"/>
    <n v="543.5"/>
    <x v="4"/>
  </r>
  <r>
    <x v="2"/>
    <s v="Active"/>
    <s v="Hooghly"/>
    <s v="Khanakul"/>
    <s v="Sahanaj Parvin"/>
    <s v="3390312801"/>
    <n v="23969"/>
    <n v="6"/>
    <n v="1800"/>
    <n v="613"/>
    <n v="505"/>
    <n v="399"/>
    <n v="602"/>
    <n v="643"/>
    <n v="98"/>
    <m/>
    <m/>
    <m/>
    <m/>
    <m/>
    <m/>
    <n v="2860"/>
    <n v="476.66666666666669"/>
    <x v="4"/>
  </r>
  <r>
    <x v="8"/>
    <s v="Active"/>
    <s v="Hooghly"/>
    <s v="Panskura"/>
    <s v="Kartik Maity"/>
    <s v="2380311666"/>
    <n v="22404"/>
    <n v="6"/>
    <n v="1800"/>
    <n v="643"/>
    <n v="688"/>
    <n v="489"/>
    <n v="786"/>
    <n v="654"/>
    <n v="97"/>
    <m/>
    <m/>
    <m/>
    <m/>
    <m/>
    <m/>
    <n v="3357"/>
    <n v="559.5"/>
    <x v="4"/>
  </r>
  <r>
    <x v="2"/>
    <s v="Active"/>
    <s v="Hooghly"/>
    <s v="Dhanyaghori"/>
    <s v="Pratik Chakraborty"/>
    <s v="3390311946"/>
    <n v="22773"/>
    <n v="6"/>
    <n v="1800"/>
    <n v="613"/>
    <n v="641"/>
    <n v="551"/>
    <n v="606"/>
    <n v="639"/>
    <n v="132"/>
    <m/>
    <m/>
    <m/>
    <m/>
    <m/>
    <m/>
    <n v="3182"/>
    <n v="530.33333333333337"/>
    <x v="4"/>
  </r>
  <r>
    <x v="2"/>
    <s v="Active"/>
    <s v="Hooghly"/>
    <s v="Kamarpara"/>
    <s v="Mithu Ghosh"/>
    <s v="3390312440"/>
    <n v="23432"/>
    <n v="6"/>
    <n v="1800"/>
    <n v="661"/>
    <n v="414"/>
    <n v="584"/>
    <n v="581"/>
    <n v="607"/>
    <n v="119"/>
    <m/>
    <m/>
    <m/>
    <m/>
    <m/>
    <m/>
    <n v="2966"/>
    <n v="494.33333333333331"/>
    <x v="4"/>
  </r>
  <r>
    <x v="2"/>
    <s v="Active"/>
    <s v="Hooghly"/>
    <s v="Rajbalhat"/>
    <s v="Dibyendu Bhowmick"/>
    <s v="3390314186"/>
    <n v="26015"/>
    <n v="6"/>
    <n v="1800"/>
    <n v="495"/>
    <n v="445"/>
    <n v="559"/>
    <n v="560"/>
    <n v="598"/>
    <n v="97"/>
    <m/>
    <m/>
    <m/>
    <m/>
    <m/>
    <m/>
    <n v="2754"/>
    <n v="459"/>
    <x v="4"/>
  </r>
  <r>
    <x v="1"/>
    <s v="Active"/>
    <s v="Hooghly"/>
    <s v="Ramjibanpur"/>
    <s v="Mahadeb Das "/>
    <s v="3390315155"/>
    <n v="27629"/>
    <n v="6"/>
    <n v="1800"/>
    <n v="532"/>
    <n v="562"/>
    <n v="487"/>
    <n v="434"/>
    <n v="488"/>
    <n v="87"/>
    <m/>
    <m/>
    <m/>
    <m/>
    <m/>
    <m/>
    <n v="2590"/>
    <n v="431.66666666666669"/>
    <x v="5"/>
  </r>
  <r>
    <x v="1"/>
    <s v="Active"/>
    <s v="Hooghly"/>
    <s v="Chandrakona"/>
    <s v="Ananya Maity Bag"/>
    <s v="2390313181"/>
    <n v="24495"/>
    <n v="6"/>
    <n v="1800"/>
    <n v="414"/>
    <n v="321"/>
    <n v="365"/>
    <n v="380"/>
    <n v="500"/>
    <n v="72"/>
    <m/>
    <m/>
    <m/>
    <m/>
    <m/>
    <m/>
    <n v="2052"/>
    <n v="342"/>
    <x v="5"/>
  </r>
  <r>
    <x v="2"/>
    <s v="Active"/>
    <s v="Hooghly"/>
    <s v="Kalipur"/>
    <s v="Satyajit Chattopadhyay"/>
    <s v="3390311422"/>
    <n v="22128"/>
    <n v="6"/>
    <n v="1800"/>
    <n v="686"/>
    <n v="655"/>
    <n v="460"/>
    <n v="533"/>
    <n v="521"/>
    <n v="75"/>
    <m/>
    <m/>
    <m/>
    <m/>
    <m/>
    <m/>
    <n v="2930"/>
    <n v="488.33333333333331"/>
    <x v="4"/>
  </r>
  <r>
    <x v="9"/>
    <s v="Active"/>
    <s v="Durgapur"/>
    <s v="Jhantipahari"/>
    <s v="Asish Kumar Mandal"/>
    <s v="2160314962"/>
    <n v="27220"/>
    <n v="6"/>
    <n v="1800"/>
    <n v="485"/>
    <n v="539"/>
    <n v="488"/>
    <n v="525"/>
    <n v="498"/>
    <n v="131"/>
    <m/>
    <m/>
    <m/>
    <m/>
    <m/>
    <m/>
    <n v="2666"/>
    <n v="444.33333333333331"/>
    <x v="5"/>
  </r>
  <r>
    <x v="1"/>
    <s v="Active"/>
    <s v="Hooghly"/>
    <s v="Chandrakona"/>
    <s v="Mani Dhara"/>
    <s v="2390313180"/>
    <n v="24494"/>
    <n v="6"/>
    <n v="1800"/>
    <n v="427"/>
    <n v="323"/>
    <n v="353"/>
    <n v="370"/>
    <n v="463"/>
    <n v="76"/>
    <m/>
    <m/>
    <m/>
    <m/>
    <m/>
    <m/>
    <n v="2012"/>
    <n v="335.33333333333331"/>
    <x v="5"/>
  </r>
  <r>
    <x v="9"/>
    <s v="Active"/>
    <s v="Durgapur"/>
    <s v="Anara"/>
    <s v="Biswajit Majee"/>
    <s v="2460314961"/>
    <n v="27219"/>
    <n v="6"/>
    <n v="1800"/>
    <n v="444"/>
    <n v="700"/>
    <n v="415"/>
    <n v="451"/>
    <n v="525"/>
    <n v="99"/>
    <m/>
    <m/>
    <m/>
    <m/>
    <m/>
    <m/>
    <n v="2634"/>
    <n v="439"/>
    <x v="5"/>
  </r>
  <r>
    <x v="10"/>
    <s v="Active"/>
    <s v="Siliguri"/>
    <s v="Barobisha"/>
    <s v="Md Akimuzzaman"/>
    <s v="2310315481"/>
    <n v="28270"/>
    <n v="6"/>
    <n v="1800"/>
    <n v="213"/>
    <n v="157"/>
    <n v="269"/>
    <n v="340"/>
    <n v="493"/>
    <n v="66"/>
    <m/>
    <m/>
    <m/>
    <m/>
    <m/>
    <m/>
    <n v="1538"/>
    <n v="256.33333333333331"/>
    <x v="6"/>
  </r>
  <r>
    <x v="0"/>
    <s v="Active"/>
    <s v="Durgapur"/>
    <s v="Kushodanga"/>
    <s v="Rumpa Pal Mondal"/>
    <s v="3390315402"/>
    <n v="28170"/>
    <n v="6"/>
    <n v="1800"/>
    <n v="412"/>
    <n v="353"/>
    <n v="329"/>
    <n v="378"/>
    <n v="432"/>
    <n v="58"/>
    <m/>
    <m/>
    <m/>
    <m/>
    <m/>
    <m/>
    <n v="1962"/>
    <n v="327"/>
    <x v="5"/>
  </r>
  <r>
    <x v="3"/>
    <s v="Active"/>
    <s v="Siliguri"/>
    <s v="Dharampur"/>
    <s v="Md Zulfikar Ali"/>
    <s v="0140315201"/>
    <n v="27792"/>
    <n v="6"/>
    <n v="1800"/>
    <n v="485"/>
    <n v="359"/>
    <n v="423"/>
    <n v="465"/>
    <n v="448"/>
    <n v="31"/>
    <m/>
    <m/>
    <m/>
    <m/>
    <m/>
    <m/>
    <n v="2211"/>
    <n v="368.5"/>
    <x v="5"/>
  </r>
  <r>
    <x v="3"/>
    <s v="Active"/>
    <s v="Siliguri"/>
    <s v="Kapista"/>
    <s v="Swarup Karmakar"/>
    <s v="0140311629"/>
    <n v="22366"/>
    <n v="6"/>
    <n v="1800"/>
    <n v="338"/>
    <n v="371"/>
    <n v="313"/>
    <n v="330"/>
    <n v="444"/>
    <n v="77"/>
    <m/>
    <m/>
    <m/>
    <m/>
    <m/>
    <m/>
    <n v="1873"/>
    <n v="312.16666666666669"/>
    <x v="5"/>
  </r>
  <r>
    <x v="1"/>
    <s v="Active"/>
    <s v="Hooghly"/>
    <s v="Banka"/>
    <s v="Subhajit Chanda"/>
    <s v="2390312543"/>
    <n v="23560"/>
    <n v="6"/>
    <n v="1800"/>
    <n v="467"/>
    <n v="414"/>
    <n v="378"/>
    <n v="373"/>
    <n v="391"/>
    <n v="31"/>
    <m/>
    <m/>
    <m/>
    <m/>
    <m/>
    <m/>
    <n v="2054"/>
    <n v="342.33333333333331"/>
    <x v="5"/>
  </r>
  <r>
    <x v="2"/>
    <s v="Active"/>
    <s v="Hooghly"/>
    <s v="Kamarpara"/>
    <s v="Md Mustakim"/>
    <s v="3390312441"/>
    <n v="23433"/>
    <n v="6"/>
    <n v="1800"/>
    <n v="713"/>
    <n v="586"/>
    <n v="174"/>
    <n v="210"/>
    <n v="385"/>
    <n v="84"/>
    <m/>
    <m/>
    <m/>
    <m/>
    <m/>
    <m/>
    <n v="2152"/>
    <n v="358.66666666666669"/>
    <x v="5"/>
  </r>
  <r>
    <x v="1"/>
    <s v="Active"/>
    <s v="Hooghly"/>
    <s v="Jara"/>
    <s v="Priyanka Biswas"/>
    <s v="2390311424"/>
    <n v="22130"/>
    <n v="6"/>
    <n v="1800"/>
    <n v="390"/>
    <n v="336"/>
    <n v="305"/>
    <n v="500"/>
    <n v="362"/>
    <n v="36"/>
    <m/>
    <m/>
    <m/>
    <m/>
    <m/>
    <m/>
    <n v="1929"/>
    <n v="321.5"/>
    <x v="5"/>
  </r>
  <r>
    <x v="7"/>
    <s v="Active"/>
    <s v="Durgapur"/>
    <s v="Hridaypur"/>
    <s v="Injamul Rahaman "/>
    <s v="2430314512"/>
    <n v="26588"/>
    <n v="6"/>
    <n v="1800"/>
    <n v="352"/>
    <n v="425"/>
    <n v="400"/>
    <n v="398"/>
    <n v="382"/>
    <n v="60"/>
    <m/>
    <m/>
    <m/>
    <m/>
    <m/>
    <m/>
    <n v="2017"/>
    <n v="336.16666666666669"/>
    <x v="5"/>
  </r>
  <r>
    <x v="9"/>
    <s v="Active"/>
    <s v="Durgapur"/>
    <s v="Patrasayer"/>
    <s v="Satish Ankure"/>
    <s v="2160314679"/>
    <n v="26810"/>
    <n v="6"/>
    <n v="1800"/>
    <n v="473"/>
    <n v="362"/>
    <n v="238"/>
    <n v="347"/>
    <n v="368"/>
    <n v="66"/>
    <m/>
    <m/>
    <m/>
    <m/>
    <m/>
    <m/>
    <n v="1854"/>
    <n v="309"/>
    <x v="5"/>
  </r>
  <r>
    <x v="1"/>
    <s v="Active"/>
    <s v="Hooghly"/>
    <s v="Jhargram"/>
    <s v="Sk Imran"/>
    <s v="2390311695"/>
    <n v="22452"/>
    <n v="6"/>
    <n v="1800"/>
    <n v="328"/>
    <n v="224"/>
    <n v="286"/>
    <n v="402"/>
    <n v="371"/>
    <n v="59"/>
    <m/>
    <m/>
    <m/>
    <m/>
    <m/>
    <m/>
    <n v="1670"/>
    <n v="278.33333333333331"/>
    <x v="6"/>
  </r>
  <r>
    <x v="1"/>
    <s v="Active"/>
    <s v="Hooghly"/>
    <s v="Nayabasat"/>
    <s v="Soumya Ghosh"/>
    <s v="2390314387"/>
    <n v="26403"/>
    <n v="6"/>
    <n v="1800"/>
    <n v="345"/>
    <n v="262"/>
    <n v="230"/>
    <n v="289"/>
    <n v="350"/>
    <n v="54"/>
    <m/>
    <m/>
    <m/>
    <m/>
    <m/>
    <m/>
    <n v="1530"/>
    <n v="255"/>
    <x v="6"/>
  </r>
  <r>
    <x v="7"/>
    <s v="Active"/>
    <s v="Durgapur"/>
    <s v="Haringhata"/>
    <s v="Eyakub Mondal"/>
    <s v="2430315345"/>
    <n v="28085"/>
    <n v="6"/>
    <n v="1800"/>
    <n v="368"/>
    <n v="500"/>
    <n v="309"/>
    <n v="472"/>
    <n v="342"/>
    <n v="56"/>
    <m/>
    <m/>
    <m/>
    <m/>
    <m/>
    <m/>
    <n v="2047"/>
    <n v="341.16666666666669"/>
    <x v="5"/>
  </r>
  <r>
    <x v="7"/>
    <s v="Active"/>
    <s v="Durgapur"/>
    <s v="Hidaypur"/>
    <s v="Akramul Shaikh"/>
    <s v="2430315571"/>
    <n v="28485"/>
    <n v="6"/>
    <n v="1800"/>
    <n v="249"/>
    <n v="240"/>
    <n v="247"/>
    <n v="313"/>
    <n v="314"/>
    <n v="59"/>
    <m/>
    <m/>
    <m/>
    <m/>
    <m/>
    <m/>
    <n v="1422"/>
    <n v="237"/>
    <x v="6"/>
  </r>
  <r>
    <x v="2"/>
    <s v="Active"/>
    <s v="Hooghly"/>
    <s v="Polba"/>
    <s v="Arindam Sadhukhan"/>
    <s v="3390315433"/>
    <n v="28201"/>
    <n v="6"/>
    <n v="1800"/>
    <n v="580"/>
    <n v="426"/>
    <n v="193"/>
    <n v="161"/>
    <n v="312"/>
    <n v="78"/>
    <m/>
    <m/>
    <m/>
    <m/>
    <m/>
    <m/>
    <n v="1750"/>
    <n v="291.66666666666669"/>
    <x v="6"/>
  </r>
  <r>
    <x v="6"/>
    <s v="Active"/>
    <s v="Siliguri"/>
    <s v="Sagardighi Square"/>
    <s v="Rajani Roy"/>
    <s v="2200310076"/>
    <n v="20502"/>
    <n v="6"/>
    <n v="1800"/>
    <n v="223"/>
    <n v="217"/>
    <n v="267"/>
    <n v="423"/>
    <n v="334"/>
    <n v="51"/>
    <m/>
    <m/>
    <m/>
    <m/>
    <m/>
    <m/>
    <n v="1515"/>
    <n v="252.5"/>
    <x v="6"/>
  </r>
  <r>
    <x v="11"/>
    <s v="Active"/>
    <s v="Siliguri"/>
    <s v="Raiganj"/>
    <s v="Joydev Das"/>
    <s v="2560315042"/>
    <n v="27372"/>
    <n v="6"/>
    <n v="1800"/>
    <n v="408"/>
    <n v="288"/>
    <n v="169"/>
    <n v="240"/>
    <n v="296"/>
    <n v="27"/>
    <m/>
    <m/>
    <m/>
    <m/>
    <m/>
    <m/>
    <n v="1428"/>
    <n v="238"/>
    <x v="6"/>
  </r>
  <r>
    <x v="5"/>
    <s v="Active"/>
    <s v="Siliguri"/>
    <s v="Sagarpara"/>
    <s v="Habibur Rahaman"/>
    <s v="2410311259"/>
    <n v="28860"/>
    <n v="6"/>
    <n v="1800"/>
    <n v="318"/>
    <n v="324"/>
    <n v="264"/>
    <n v="227"/>
    <n v="279"/>
    <n v="49"/>
    <m/>
    <m/>
    <m/>
    <m/>
    <m/>
    <m/>
    <n v="1461"/>
    <n v="243.5"/>
    <x v="6"/>
  </r>
  <r>
    <x v="7"/>
    <s v="Active"/>
    <s v="Durgapur"/>
    <s v="Badkulla"/>
    <s v="Swapan Kumar Biswas"/>
    <s v="2430315186"/>
    <n v="27732"/>
    <n v="6"/>
    <n v="1800"/>
    <n v="266"/>
    <n v="259"/>
    <n v="315"/>
    <n v="271"/>
    <n v="258"/>
    <n v="70"/>
    <m/>
    <m/>
    <m/>
    <m/>
    <m/>
    <m/>
    <n v="1439"/>
    <n v="239.83333333333334"/>
    <x v="6"/>
  </r>
  <r>
    <x v="8"/>
    <s v="Active"/>
    <s v="Hooghly"/>
    <s v="Kolaghat (Ktpps)"/>
    <s v="Sudipta Mandal"/>
    <s v="2380315163"/>
    <n v="27637"/>
    <n v="6"/>
    <n v="1800"/>
    <n v="188"/>
    <n v="119"/>
    <n v="86"/>
    <n v="58"/>
    <n v="251"/>
    <n v="59"/>
    <m/>
    <m/>
    <m/>
    <m/>
    <m/>
    <m/>
    <n v="761"/>
    <n v="126.83333333333333"/>
    <x v="7"/>
  </r>
  <r>
    <x v="5"/>
    <s v="Active"/>
    <s v="Siliguri"/>
    <s v="Kanupur"/>
    <s v="Shobhan Majhi"/>
    <s v="2410311257"/>
    <n v="21926"/>
    <n v="6"/>
    <n v="1800"/>
    <n v="284"/>
    <n v="225"/>
    <n v="245"/>
    <n v="214"/>
    <n v="212"/>
    <n v="43"/>
    <m/>
    <m/>
    <m/>
    <m/>
    <m/>
    <m/>
    <n v="1223"/>
    <n v="203.83333333333334"/>
    <x v="6"/>
  </r>
  <r>
    <x v="1"/>
    <s v="Active"/>
    <s v="Hooghly"/>
    <s v="Banka"/>
    <s v="Shampa Mandal"/>
    <s v="2390312439"/>
    <n v="23431"/>
    <n v="6"/>
    <n v="1800"/>
    <n v="212"/>
    <n v="135"/>
    <n v="220"/>
    <n v="219"/>
    <n v="193"/>
    <n v="28"/>
    <m/>
    <m/>
    <m/>
    <m/>
    <m/>
    <m/>
    <n v="1007"/>
    <n v="167.83333333333334"/>
    <x v="6"/>
  </r>
  <r>
    <x v="12"/>
    <s v="Active"/>
    <s v="Siliguri"/>
    <s v="Nabagram"/>
    <s v="Sahabuddin Ahmed"/>
    <s v="2410312329"/>
    <n v="23270"/>
    <n v="6"/>
    <n v="1800"/>
    <n v="204"/>
    <n v="189"/>
    <n v="169"/>
    <n v="189"/>
    <n v="185"/>
    <n v="32"/>
    <m/>
    <m/>
    <m/>
    <m/>
    <m/>
    <m/>
    <n v="968"/>
    <n v="161.33333333333334"/>
    <x v="6"/>
  </r>
  <r>
    <x v="2"/>
    <s v="Active"/>
    <s v="Hooghly"/>
    <s v="Sahapur"/>
    <s v="Bishal Maity"/>
    <s v="3390312548"/>
    <n v="23565"/>
    <n v="6"/>
    <n v="1800"/>
    <n v="360"/>
    <n v="279"/>
    <n v="183"/>
    <n v="183"/>
    <n v="185"/>
    <n v="46"/>
    <m/>
    <m/>
    <m/>
    <m/>
    <m/>
    <m/>
    <n v="1236"/>
    <n v="206"/>
    <x v="6"/>
  </r>
  <r>
    <x v="7"/>
    <s v="Active"/>
    <s v="Durgapur"/>
    <s v="Ranaghat"/>
    <s v="Sagari Ghosh"/>
    <s v="2430314519"/>
    <n v="26595"/>
    <n v="6"/>
    <n v="1800"/>
    <n v="894"/>
    <n v="724"/>
    <n v="564"/>
    <n v="220"/>
    <n v="139"/>
    <n v="15"/>
    <m/>
    <m/>
    <m/>
    <m/>
    <m/>
    <m/>
    <n v="2556"/>
    <n v="426"/>
    <x v="5"/>
  </r>
  <r>
    <x v="13"/>
    <s v="Active"/>
    <s v="Saltlake"/>
    <s v="Hingalganj"/>
    <s v="Khairulla Mistri"/>
    <s v="8410316210"/>
    <n v="29799"/>
    <n v="2"/>
    <n v="600"/>
    <m/>
    <m/>
    <m/>
    <m/>
    <n v="128"/>
    <n v="69"/>
    <m/>
    <m/>
    <m/>
    <m/>
    <m/>
    <m/>
    <m/>
    <n v="0"/>
    <x v="7"/>
  </r>
  <r>
    <x v="10"/>
    <s v="Active"/>
    <s v="Siliguri"/>
    <s v="Damanpur"/>
    <s v="Biplab Barman"/>
    <s v="9490310566"/>
    <n v="21091"/>
    <n v="6"/>
    <n v="1800"/>
    <n v="171"/>
    <n v="243"/>
    <n v="167"/>
    <n v="191"/>
    <n v="158"/>
    <n v="27"/>
    <m/>
    <m/>
    <m/>
    <m/>
    <m/>
    <m/>
    <n v="957"/>
    <n v="159.5"/>
    <x v="6"/>
  </r>
  <r>
    <x v="7"/>
    <s v="Active"/>
    <s v="Durgapur"/>
    <s v="Santipur"/>
    <s v="Najmira Khatun"/>
    <s v="2430315335"/>
    <n v="28075"/>
    <n v="6"/>
    <n v="1800"/>
    <n v="125"/>
    <n v="93"/>
    <n v="80"/>
    <n v="179"/>
    <n v="123"/>
    <n v="27"/>
    <m/>
    <m/>
    <m/>
    <m/>
    <m/>
    <m/>
    <n v="627"/>
    <n v="104.5"/>
    <x v="7"/>
  </r>
  <r>
    <x v="1"/>
    <s v="Active"/>
    <s v="Hooghly"/>
    <s v="Kankabati"/>
    <s v="Mita Samanta"/>
    <s v="2390311663"/>
    <n v="22401"/>
    <n v="6"/>
    <n v="1800"/>
    <n v="136"/>
    <n v="194"/>
    <n v="100"/>
    <n v="98"/>
    <n v="83"/>
    <n v="31"/>
    <m/>
    <m/>
    <m/>
    <m/>
    <m/>
    <m/>
    <n v="642"/>
    <n v="107"/>
    <x v="7"/>
  </r>
  <r>
    <x v="6"/>
    <s v="Active"/>
    <s v="Siliguri"/>
    <s v="Sagardighi Square"/>
    <s v="Khurshid Alom "/>
    <s v="2200311941"/>
    <n v="22768"/>
    <n v="6"/>
    <n v="1800"/>
    <n v="124"/>
    <n v="88"/>
    <n v="74"/>
    <n v="72"/>
    <n v="84"/>
    <n v="8"/>
    <m/>
    <m/>
    <m/>
    <m/>
    <m/>
    <m/>
    <n v="450"/>
    <n v="75"/>
    <x v="7"/>
  </r>
  <r>
    <x v="9"/>
    <s v="Inactive"/>
    <s v="Durgapur"/>
    <s v="Patrasayer"/>
    <s v="Bula Karmakar"/>
    <s v="2160315824"/>
    <n v="29069"/>
    <n v="5"/>
    <n v="1500"/>
    <n v="15"/>
    <n v="59"/>
    <n v="203"/>
    <n v="63"/>
    <n v="63"/>
    <m/>
    <m/>
    <m/>
    <m/>
    <m/>
    <m/>
    <m/>
    <n v="403"/>
    <n v="80.599999999999994"/>
    <x v="7"/>
  </r>
  <r>
    <x v="10"/>
    <s v="Active"/>
    <s v="Siliguri"/>
    <s v="Barobisha"/>
    <s v="Sankar Arya"/>
    <s v="2200315639"/>
    <n v="28692"/>
    <n v="6"/>
    <n v="1800"/>
    <n v="64"/>
    <n v="41"/>
    <n v="49"/>
    <n v="25"/>
    <n v="66"/>
    <n v="10"/>
    <m/>
    <m/>
    <m/>
    <m/>
    <m/>
    <m/>
    <n v="255"/>
    <n v="42.5"/>
    <x v="7"/>
  </r>
  <r>
    <x v="2"/>
    <s v="Active"/>
    <s v="Hooghly"/>
    <s v="Saidpur"/>
    <s v="Puja Manna"/>
    <s v="3390311696"/>
    <n v="22453"/>
    <n v="6"/>
    <n v="1800"/>
    <n v="8"/>
    <n v="25"/>
    <n v="28"/>
    <n v="44"/>
    <n v="54"/>
    <n v="1"/>
    <m/>
    <m/>
    <m/>
    <m/>
    <m/>
    <m/>
    <n v="160"/>
    <n v="26.666666666666668"/>
    <x v="7"/>
  </r>
  <r>
    <x v="7"/>
    <s v="Active"/>
    <s v="Durgapur"/>
    <s v="Hridaypur"/>
    <s v="Suman Ghosh"/>
    <s v="8116659114"/>
    <n v="29525"/>
    <n v="4"/>
    <n v="1200"/>
    <m/>
    <m/>
    <n v="46"/>
    <n v="114"/>
    <n v="62"/>
    <n v="13"/>
    <m/>
    <m/>
    <m/>
    <m/>
    <m/>
    <m/>
    <n v="235"/>
    <n v="58.75"/>
    <x v="7"/>
  </r>
  <r>
    <x v="7"/>
    <s v="Active"/>
    <s v="Durgapur"/>
    <s v="Santipur"/>
    <s v="Partha Dey"/>
    <s v="2430315570"/>
    <n v="29089"/>
    <n v="6"/>
    <n v="1800"/>
    <n v="11"/>
    <n v="27"/>
    <n v="39"/>
    <n v="72"/>
    <n v="47"/>
    <n v="4"/>
    <m/>
    <m/>
    <m/>
    <m/>
    <m/>
    <m/>
    <n v="200"/>
    <n v="33.333333333333336"/>
    <x v="7"/>
  </r>
  <r>
    <x v="1"/>
    <s v="Active"/>
    <s v="Hooghly"/>
    <s v="Ghatal"/>
    <s v="Chandan Satik"/>
    <s v="2390311662"/>
    <n v="22400"/>
    <n v="6"/>
    <n v="1800"/>
    <n v="99"/>
    <n v="63"/>
    <n v="35"/>
    <n v="50"/>
    <n v="54"/>
    <n v="17"/>
    <m/>
    <m/>
    <m/>
    <m/>
    <m/>
    <m/>
    <n v="318"/>
    <n v="53"/>
    <x v="7"/>
  </r>
  <r>
    <x v="8"/>
    <s v="Active"/>
    <s v="Hooghly"/>
    <s v="Keshapat"/>
    <s v="Subhankar Samanta"/>
    <s v="2380311664"/>
    <n v="22402"/>
    <n v="6"/>
    <n v="1800"/>
    <n v="39"/>
    <n v="39"/>
    <n v="39"/>
    <n v="53"/>
    <n v="36"/>
    <n v="4"/>
    <m/>
    <m/>
    <m/>
    <m/>
    <m/>
    <m/>
    <n v="210"/>
    <n v="35"/>
    <x v="7"/>
  </r>
  <r>
    <x v="7"/>
    <s v="Active"/>
    <s v="Durgapur"/>
    <s v="Ranaghat"/>
    <s v="Kishore Bhakta"/>
    <s v="2430315568"/>
    <n v="28482"/>
    <n v="6"/>
    <n v="1800"/>
    <n v="26"/>
    <n v="51"/>
    <n v="29"/>
    <n v="38"/>
    <n v="39"/>
    <n v="8"/>
    <m/>
    <m/>
    <m/>
    <m/>
    <m/>
    <m/>
    <n v="191"/>
    <n v="31.833333333333332"/>
    <x v="7"/>
  </r>
  <r>
    <x v="10"/>
    <s v="Inactive"/>
    <s v="Siliguri"/>
    <s v="Buxa Forest Craja"/>
    <s v="Md Khalique Ansari "/>
    <s v="9490315684"/>
    <n v="28825"/>
    <n v="5"/>
    <n v="1500"/>
    <n v="27"/>
    <n v="13"/>
    <n v="3"/>
    <n v="8"/>
    <n v="37"/>
    <m/>
    <m/>
    <m/>
    <m/>
    <m/>
    <m/>
    <m/>
    <n v="88"/>
    <n v="17.600000000000001"/>
    <x v="7"/>
  </r>
  <r>
    <x v="7"/>
    <s v="Inactive"/>
    <s v="Durgapur"/>
    <s v="Chakdaha"/>
    <s v="Kiran Biswas"/>
    <s v="2430315343"/>
    <n v="28083"/>
    <n v="5"/>
    <n v="1500"/>
    <n v="105"/>
    <n v="59"/>
    <n v="57"/>
    <n v="68"/>
    <n v="30"/>
    <m/>
    <m/>
    <m/>
    <m/>
    <m/>
    <m/>
    <m/>
    <n v="319"/>
    <n v="63.8"/>
    <x v="7"/>
  </r>
  <r>
    <x v="10"/>
    <s v="Inactive"/>
    <s v="Siliguri"/>
    <s v="Barobisha"/>
    <s v="Virendra Narayan Nag"/>
    <s v="8967601707"/>
    <n v="29526"/>
    <n v="3"/>
    <n v="900"/>
    <m/>
    <m/>
    <n v="3"/>
    <n v="11"/>
    <n v="37"/>
    <m/>
    <m/>
    <m/>
    <m/>
    <m/>
    <m/>
    <m/>
    <n v="51"/>
    <n v="17"/>
    <x v="7"/>
  </r>
  <r>
    <x v="12"/>
    <s v="Active"/>
    <s v="Siliguri"/>
    <s v="Dhuliyan"/>
    <s v="Md Asraful Hoque"/>
    <s v="2410313985"/>
    <n v="25557"/>
    <n v="6"/>
    <n v="1800"/>
    <n v="34"/>
    <n v="65"/>
    <n v="38"/>
    <n v="137"/>
    <n v="49"/>
    <n v="46"/>
    <m/>
    <m/>
    <m/>
    <m/>
    <m/>
    <m/>
    <n v="369"/>
    <n v="61.5"/>
    <x v="7"/>
  </r>
  <r>
    <x v="8"/>
    <s v="Active"/>
    <s v="Hooghly"/>
    <s v="Contai"/>
    <s v="Subhankar Sahoo"/>
    <s v="2380314983"/>
    <n v="27249"/>
    <n v="6"/>
    <n v="1800"/>
    <n v="30"/>
    <n v="14"/>
    <n v="6"/>
    <n v="22"/>
    <n v="21"/>
    <n v="13"/>
    <m/>
    <m/>
    <m/>
    <m/>
    <m/>
    <m/>
    <n v="106"/>
    <n v="17.666666666666668"/>
    <x v="7"/>
  </r>
  <r>
    <x v="2"/>
    <s v="Active"/>
    <s v="Hooghly"/>
    <s v="Dasghara"/>
    <s v="Sabir Amed"/>
    <s v="3390312282"/>
    <n v="23214"/>
    <n v="6"/>
    <n v="1800"/>
    <n v="21"/>
    <n v="18"/>
    <n v="13"/>
    <n v="28"/>
    <n v="26"/>
    <n v="6"/>
    <m/>
    <m/>
    <m/>
    <m/>
    <m/>
    <m/>
    <n v="112"/>
    <n v="18.666666666666668"/>
    <x v="7"/>
  </r>
  <r>
    <x v="8"/>
    <s v="Active"/>
    <s v="Hooghly"/>
    <s v="Tamluk"/>
    <s v="Soumen Baichar"/>
    <s v="2390314474"/>
    <n v="26530"/>
    <n v="6"/>
    <n v="1800"/>
    <n v="40"/>
    <n v="45"/>
    <n v="35"/>
    <n v="38"/>
    <n v="17"/>
    <n v="8"/>
    <m/>
    <m/>
    <m/>
    <m/>
    <m/>
    <m/>
    <n v="183"/>
    <n v="30.5"/>
    <x v="7"/>
  </r>
  <r>
    <x v="7"/>
    <s v="Inactive"/>
    <s v="Durgapur"/>
    <s v="Santipur"/>
    <s v="Dipanwita Das"/>
    <s v="2430315569"/>
    <n v="28483"/>
    <n v="5"/>
    <n v="1500"/>
    <n v="5"/>
    <n v="3"/>
    <n v="28"/>
    <n v="21"/>
    <n v="23"/>
    <m/>
    <m/>
    <m/>
    <m/>
    <m/>
    <m/>
    <m/>
    <n v="80"/>
    <n v="16"/>
    <x v="7"/>
  </r>
  <r>
    <x v="10"/>
    <s v="Active"/>
    <s v="Siliguri"/>
    <s v="Ethelbari"/>
    <s v="Tarif Baxla"/>
    <s v="8410316211"/>
    <n v="29798"/>
    <n v="2"/>
    <n v="600"/>
    <m/>
    <m/>
    <m/>
    <m/>
    <n v="10"/>
    <n v="1"/>
    <m/>
    <m/>
    <m/>
    <m/>
    <m/>
    <m/>
    <m/>
    <n v="0"/>
    <x v="7"/>
  </r>
  <r>
    <x v="8"/>
    <s v="Active"/>
    <s v="Hooghly"/>
    <s v="Panskura"/>
    <s v="Prasanta Ghorai"/>
    <s v="9635383167"/>
    <n v="29527"/>
    <n v="4"/>
    <n v="1200"/>
    <m/>
    <m/>
    <n v="11"/>
    <n v="9"/>
    <n v="7"/>
    <n v="3"/>
    <m/>
    <m/>
    <m/>
    <m/>
    <m/>
    <m/>
    <n v="30"/>
    <m/>
    <x v="8"/>
  </r>
  <r>
    <x v="2"/>
    <s v="Active"/>
    <s v="Hooghly"/>
    <s v="Mayapur"/>
    <s v="Ruma Rana"/>
    <s v="8410316172"/>
    <n v="29749"/>
    <n v="1"/>
    <n v="300"/>
    <m/>
    <m/>
    <m/>
    <m/>
    <m/>
    <n v="2"/>
    <m/>
    <m/>
    <m/>
    <m/>
    <m/>
    <m/>
    <m/>
    <n v="0"/>
    <x v="7"/>
  </r>
  <r>
    <x v="10"/>
    <s v="Inactive"/>
    <s v="Siliguri"/>
    <s v="Buxa Forest Craja"/>
    <s v="Pankaj Tiwari"/>
    <s v="9490310077"/>
    <n v="20503"/>
    <n v="4"/>
    <n v="1200"/>
    <m/>
    <n v="4"/>
    <n v="5"/>
    <n v="11"/>
    <n v="11"/>
    <m/>
    <m/>
    <m/>
    <m/>
    <m/>
    <m/>
    <m/>
    <n v="31"/>
    <n v="7.75"/>
    <x v="7"/>
  </r>
  <r>
    <x v="3"/>
    <s v="Inactive"/>
    <s v="Siliguri"/>
    <s v="Lohapur"/>
    <s v="Suraj Fulmali"/>
    <s v="0140311327"/>
    <n v="27437"/>
    <n v="2"/>
    <n v="600"/>
    <n v="12"/>
    <m/>
    <m/>
    <m/>
    <n v="5"/>
    <m/>
    <m/>
    <m/>
    <m/>
    <m/>
    <m/>
    <m/>
    <n v="17"/>
    <n v="8.5"/>
    <x v="7"/>
  </r>
  <r>
    <x v="9"/>
    <s v="Inactive"/>
    <s v="Durgapur"/>
    <s v="Patrasayer"/>
    <s v="Manorama Chakraborty Roy "/>
    <s v="2160315496"/>
    <n v="28305"/>
    <n v="4"/>
    <n v="1200"/>
    <n v="11"/>
    <n v="9"/>
    <m/>
    <n v="8"/>
    <n v="4"/>
    <m/>
    <m/>
    <m/>
    <m/>
    <m/>
    <m/>
    <m/>
    <n v="32"/>
    <n v="8"/>
    <x v="7"/>
  </r>
  <r>
    <x v="7"/>
    <s v="Inactive"/>
    <s v="Durgapur"/>
    <s v="Badkulla"/>
    <s v="Amit Sikder"/>
    <s v="2430315185"/>
    <n v="27731"/>
    <n v="2"/>
    <n v="600"/>
    <n v="78"/>
    <n v="71"/>
    <m/>
    <m/>
    <m/>
    <m/>
    <m/>
    <m/>
    <m/>
    <m/>
    <m/>
    <m/>
    <n v="149"/>
    <n v="74.5"/>
    <x v="7"/>
  </r>
  <r>
    <x v="7"/>
    <s v="Inactive"/>
    <s v="Durgapur"/>
    <s v="Hridaypur"/>
    <s v="Asim Halder"/>
    <s v="2430315807"/>
    <n v="29052"/>
    <n v="3"/>
    <n v="900"/>
    <n v="7"/>
    <n v="6"/>
    <n v="1"/>
    <m/>
    <m/>
    <m/>
    <m/>
    <m/>
    <m/>
    <m/>
    <m/>
    <m/>
    <n v="14"/>
    <n v="4.666666666666667"/>
    <x v="7"/>
  </r>
  <r>
    <x v="7"/>
    <s v="Inactive"/>
    <s v="Durgapur"/>
    <s v="Hridaypur"/>
    <s v="Nitish Mondal"/>
    <s v="8942919438"/>
    <n v="29524"/>
    <n v="1"/>
    <n v="300"/>
    <m/>
    <m/>
    <m/>
    <n v="4"/>
    <m/>
    <m/>
    <m/>
    <m/>
    <m/>
    <m/>
    <m/>
    <m/>
    <n v="4"/>
    <n v="4"/>
    <x v="7"/>
  </r>
  <r>
    <x v="9"/>
    <s v="Inactive"/>
    <s v="Durgapur"/>
    <s v="Kotulpur"/>
    <s v="Sayan Dutta"/>
    <s v="2160315608"/>
    <n v="28601"/>
    <n v="1"/>
    <n v="300"/>
    <m/>
    <n v="4"/>
    <m/>
    <m/>
    <m/>
    <m/>
    <m/>
    <m/>
    <m/>
    <m/>
    <m/>
    <m/>
    <n v="4"/>
    <n v="4"/>
    <x v="7"/>
  </r>
  <r>
    <x v="2"/>
    <s v="Active"/>
    <s v="Hooghly"/>
    <s v="Batanal"/>
    <s v="Chaitali Shit Malik"/>
    <s v="3390311948"/>
    <n v="22775"/>
    <n v="1"/>
    <n v="300"/>
    <m/>
    <m/>
    <n v="2"/>
    <m/>
    <m/>
    <m/>
    <m/>
    <m/>
    <m/>
    <m/>
    <m/>
    <m/>
    <n v="2"/>
    <n v="0"/>
    <x v="9"/>
  </r>
  <r>
    <x v="9"/>
    <s v="Inactive"/>
    <s v="Durgapur"/>
    <s v="Layekbandh"/>
    <s v="Debasis Dey"/>
    <s v="2160315158"/>
    <n v="27632"/>
    <n v="0"/>
    <n v="0"/>
    <m/>
    <m/>
    <m/>
    <m/>
    <m/>
    <m/>
    <m/>
    <m/>
    <m/>
    <m/>
    <m/>
    <m/>
    <m/>
    <n v="0"/>
    <x v="9"/>
  </r>
  <r>
    <x v="8"/>
    <s v="Inactive"/>
    <s v="Hooghly"/>
    <s v="Contai"/>
    <s v="Sulekha Das"/>
    <s v="2380314986"/>
    <n v="27252"/>
    <n v="0"/>
    <n v="0"/>
    <m/>
    <m/>
    <m/>
    <m/>
    <m/>
    <m/>
    <m/>
    <m/>
    <m/>
    <m/>
    <m/>
    <m/>
    <m/>
    <n v="0"/>
    <x v="9"/>
  </r>
  <r>
    <x v="7"/>
    <s v="Inactive"/>
    <s v="Durgapur"/>
    <s v="Hridaypur"/>
    <s v="Saiful Sekh"/>
    <s v="2430314735"/>
    <n v="26881"/>
    <n v="0"/>
    <n v="0"/>
    <m/>
    <m/>
    <m/>
    <m/>
    <m/>
    <m/>
    <m/>
    <m/>
    <m/>
    <m/>
    <m/>
    <m/>
    <m/>
    <n v="0"/>
    <x v="9"/>
  </r>
  <r>
    <x v="8"/>
    <s v="Inactive"/>
    <s v="Hooghly"/>
    <s v="Contai"/>
    <s v="Narayan Ojha"/>
    <s v="2380314459"/>
    <n v="26507"/>
    <n v="0"/>
    <n v="0"/>
    <m/>
    <m/>
    <m/>
    <m/>
    <m/>
    <m/>
    <m/>
    <m/>
    <m/>
    <m/>
    <m/>
    <m/>
    <m/>
    <n v="0"/>
    <x v="9"/>
  </r>
  <r>
    <x v="2"/>
    <s v="Inactive"/>
    <s v="Hooghly"/>
    <s v="Arambagh"/>
    <s v="Sk Momin Uddin"/>
    <s v="3390313207"/>
    <n v="24527"/>
    <n v="0"/>
    <n v="0"/>
    <m/>
    <m/>
    <m/>
    <m/>
    <m/>
    <m/>
    <m/>
    <m/>
    <m/>
    <m/>
    <m/>
    <m/>
    <m/>
    <n v="0"/>
    <x v="9"/>
  </r>
  <r>
    <x v="2"/>
    <s v="Inactive"/>
    <s v="Hooghly"/>
    <s v="Mangrul"/>
    <s v="Prasenjit Ghosh"/>
    <s v="2390311944"/>
    <n v="22771"/>
    <n v="0"/>
    <n v="0"/>
    <m/>
    <m/>
    <m/>
    <m/>
    <m/>
    <m/>
    <m/>
    <m/>
    <m/>
    <m/>
    <m/>
    <m/>
    <m/>
    <e v="#DIV/0!"/>
    <x v="10"/>
  </r>
  <r>
    <x v="3"/>
    <s v="Inactive"/>
    <s v="Siliguri"/>
    <s v="Mangaldihi"/>
    <s v="Swarup Sadhu"/>
    <s v="0140311670"/>
    <n v="22424"/>
    <n v="0"/>
    <n v="0"/>
    <m/>
    <m/>
    <m/>
    <m/>
    <m/>
    <m/>
    <m/>
    <m/>
    <m/>
    <m/>
    <m/>
    <m/>
    <m/>
    <e v="#DIV/0!"/>
    <x v="10"/>
  </r>
  <r>
    <x v="3"/>
    <s v="Inactive"/>
    <s v="Siliguri"/>
    <s v="Koytha"/>
    <s v="Tamarul Sk"/>
    <s v="0140311624"/>
    <n v="22361"/>
    <n v="0"/>
    <n v="0"/>
    <m/>
    <m/>
    <m/>
    <m/>
    <m/>
    <m/>
    <m/>
    <m/>
    <m/>
    <m/>
    <m/>
    <m/>
    <m/>
    <n v="0"/>
    <x v="9"/>
  </r>
  <r>
    <x v="10"/>
    <s v="Inactive"/>
    <s v="Siliguri"/>
    <s v="Maynaguri"/>
    <s v="Biswajit Roy"/>
    <s v="2310311260"/>
    <n v="21929"/>
    <n v="0"/>
    <n v="0"/>
    <m/>
    <m/>
    <m/>
    <m/>
    <m/>
    <m/>
    <m/>
    <m/>
    <m/>
    <m/>
    <m/>
    <m/>
    <m/>
    <n v="0"/>
    <x v="9"/>
  </r>
  <r>
    <x v="2"/>
    <s v="Inactive"/>
    <s v="Hooghly"/>
    <s v="Mayapur"/>
    <s v="Falguni Samanta"/>
    <s v="3390311256"/>
    <n v="21925"/>
    <n v="0"/>
    <n v="0"/>
    <m/>
    <m/>
    <m/>
    <m/>
    <m/>
    <m/>
    <m/>
    <m/>
    <m/>
    <m/>
    <m/>
    <m/>
    <m/>
    <n v="0"/>
    <x v="9"/>
  </r>
  <r>
    <x v="3"/>
    <s v="Inactive"/>
    <s v="Siliguri"/>
    <s v="Mangaldihi"/>
    <s v="Sk Khairul Hossain"/>
    <s v="0140310490"/>
    <n v="20983"/>
    <n v="0"/>
    <n v="0"/>
    <m/>
    <m/>
    <m/>
    <m/>
    <m/>
    <m/>
    <m/>
    <m/>
    <m/>
    <m/>
    <m/>
    <m/>
    <m/>
    <n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3672C-7792-45C1-86AC-ACA43BF0B42A}" name="PivotTable3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AD18" firstHeaderRow="0" firstDataRow="1" firstDataCol="1"/>
  <pivotFields count="23">
    <pivotField axis="axisRow" showAll="0">
      <items count="17">
        <item x="12"/>
        <item x="1"/>
        <item x="3"/>
        <item x="5"/>
        <item x="8"/>
        <item x="9"/>
        <item x="10"/>
        <item x="11"/>
        <item x="2"/>
        <item m="1" x="14"/>
        <item m="1" x="15"/>
        <item x="0"/>
        <item x="7"/>
        <item x="13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Count of Apr-26" fld="9" subtotal="count" baseField="0" baseItem="0"/>
    <dataField name="Count of May-26" fld="10" subtotal="count" baseField="0" baseItem="0"/>
    <dataField name="Count of Jun-26" fld="11" subtotal="count" baseField="0" baseItem="0"/>
    <dataField name="Count of Jul-26" fld="12" subtotal="count" baseField="0" baseItem="0"/>
    <dataField name="Count of Aug-26" fld="13" subtotal="count" baseField="0" baseItem="0"/>
    <dataField name="Count of Sep-26" fld="14" subtotal="count" baseField="0" baseItem="0"/>
    <dataField name="Count of Oct-26" fld="15" subtotal="count" baseField="0" baseItem="0"/>
    <dataField name="Count of Nov-26" fld="16" subtotal="count" baseField="0" baseItem="0"/>
    <dataField name="Count of Dec-26" fld="17" subtotal="count" baseField="0" baseItem="0"/>
    <dataField name="Count of Jan-27" fld="18" subtotal="count" baseField="0" baseItem="0"/>
    <dataField name="Count of Feb-27" fld="19" subtotal="count" baseField="0" baseItem="0"/>
    <dataField name="Count of Mar-27" fld="20" subtotal="count" baseField="0" baseItem="0"/>
    <dataField name="Count of Total AC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6A0C3-8960-4E00-9706-8C4E0A6110F7}" name="PivotTable2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18" firstHeaderRow="0" firstDataRow="1" firstDataCol="1"/>
  <pivotFields count="23">
    <pivotField axis="axisRow" showAll="0">
      <items count="17">
        <item x="12"/>
        <item x="1"/>
        <item x="3"/>
        <item x="5"/>
        <item x="8"/>
        <item x="9"/>
        <item x="10"/>
        <item x="11"/>
        <item x="2"/>
        <item m="1" x="14"/>
        <item m="1" x="15"/>
        <item x="0"/>
        <item x="7"/>
        <item x="13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Sum of Target" fld="8" baseField="0" baseItem="0" numFmtId="164"/>
    <dataField name="Sum of Apr-26" fld="9" baseField="0" baseItem="0"/>
    <dataField name="Sum of May-26" fld="10" baseField="0" baseItem="0"/>
    <dataField name="Sum of Jun-26" fld="11" baseField="0" baseItem="0"/>
    <dataField name="Sum of Jul-26" fld="12" baseField="0" baseItem="0"/>
    <dataField name="Sum of Aug-26" fld="13" baseField="0" baseItem="0"/>
    <dataField name="Sum of Sep-26" fld="14" baseField="0" baseItem="0"/>
    <dataField name="Sum of Oct-26" fld="15" baseField="0" baseItem="0"/>
    <dataField name="Sum of Nov-26" fld="16" baseField="0" baseItem="0"/>
    <dataField name="Sum of Dec-26" fld="17" baseField="0" baseItem="0"/>
    <dataField name="Sum of Jan-27" fld="18" baseField="0" baseItem="0"/>
    <dataField name="Sum of Feb-27" fld="19" baseField="0" baseItem="0"/>
    <dataField name="Sum of Mar-27" fld="20" baseField="0" baseItem="0"/>
    <dataField name="Sum of Total AC" fld="2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98B1D-1E79-42F4-A70E-FA349C59066A}" name="PivotTable2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8" firstHeaderRow="0" firstDataRow="1" firstDataCol="1"/>
  <pivotFields count="23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Apr-26" fld="9" baseField="0" baseItem="0"/>
    <dataField name="Sum of May-26" fld="10" baseField="0" baseItem="0"/>
    <dataField name="Sum of Jun-26" fld="11" baseField="0" baseItem="0"/>
    <dataField name="Sum of Jul-26" fld="12" baseField="0" baseItem="0"/>
    <dataField name="Sum of Aug-26" fld="13" baseField="0" baseItem="0"/>
    <dataField name="Sum of Sep-26" fld="14" baseField="0" baseItem="0"/>
    <dataField name="Sum of Oct-26" fld="15" baseField="0" baseItem="0"/>
    <dataField name="Sum of Nov-26" fld="16" baseField="0" baseItem="0"/>
    <dataField name="Sum of Dec-26" fld="17" baseField="0" baseItem="0"/>
    <dataField name="Sum of Jan-27" fld="18" baseField="0" baseItem="0"/>
    <dataField name="Sum of Feb-27" fld="19" baseField="0" baseItem="0"/>
    <dataField name="Sum of Mar-27" fld="20" baseField="0" baseItem="0"/>
    <dataField name="Sum of Total AC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43A40-3BF8-476C-A269-40273F5813A6}" name="PivotTable5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AD18" firstHeaderRow="0" firstDataRow="1" firstDataCol="1"/>
  <pivotFields count="24">
    <pivotField axis="axisRow" showAll="0">
      <items count="17">
        <item x="11"/>
        <item x="10"/>
        <item x="7"/>
        <item x="12"/>
        <item x="2"/>
        <item x="5"/>
        <item x="8"/>
        <item x="6"/>
        <item x="3"/>
        <item m="1" x="14"/>
        <item m="1" x="15"/>
        <item x="1"/>
        <item x="9"/>
        <item x="1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Count of Apr-26" fld="10" subtotal="count" baseField="0" baseItem="0"/>
    <dataField name="Count of May-26" fld="11" subtotal="count" baseField="0" baseItem="0"/>
    <dataField name="Count of Jun-26" fld="12" subtotal="count" baseField="0" baseItem="0"/>
    <dataField name="Count of Jul-26" fld="13" subtotal="count" baseField="0" baseItem="0"/>
    <dataField name="Count of Aug-26" fld="14" subtotal="count" baseField="0" baseItem="0"/>
    <dataField name="Count of Sep-26" fld="15" subtotal="count" baseField="0" baseItem="0"/>
    <dataField name="Count of Oct-26" fld="16" subtotal="count" baseField="0" baseItem="0"/>
    <dataField name="Count of Nov-26" fld="17" subtotal="count" baseField="0" baseItem="0"/>
    <dataField name="Count of Dec-26" fld="18" subtotal="count" baseField="0" baseItem="0"/>
    <dataField name="Count of Jan-27" fld="19" subtotal="count" baseField="0" baseItem="0"/>
    <dataField name="Count of Feb-27" fld="20" subtotal="count" baseField="0" baseItem="0"/>
    <dataField name="Count of Mar-27" fld="21" subtotal="count" baseField="0" baseItem="0"/>
    <dataField name="Count of Total APY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BAE1B-6CBF-4094-BCE4-F676F991687C}" name="PivotTable4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18" firstHeaderRow="0" firstDataRow="1" firstDataCol="1"/>
  <pivotFields count="24">
    <pivotField axis="axisRow" showAll="0">
      <items count="17">
        <item x="11"/>
        <item x="10"/>
        <item x="7"/>
        <item x="12"/>
        <item x="2"/>
        <item x="5"/>
        <item x="8"/>
        <item x="6"/>
        <item x="3"/>
        <item m="1" x="14"/>
        <item m="1" x="15"/>
        <item x="1"/>
        <item x="9"/>
        <item x="1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Sum of Target" fld="9" baseField="0" baseItem="0" numFmtId="164"/>
    <dataField name="Sum of Apr-26" fld="10" baseField="0" baseItem="0"/>
    <dataField name="Sum of May-26" fld="11" baseField="0" baseItem="0"/>
    <dataField name="Sum of Jun-26" fld="12" baseField="0" baseItem="0"/>
    <dataField name="Sum of Jul-26" fld="13" baseField="0" baseItem="0"/>
    <dataField name="Sum of Aug-26" fld="14" baseField="0" baseItem="0"/>
    <dataField name="Sum of Sep-26" fld="15" baseField="0" baseItem="0"/>
    <dataField name="Sum of Oct-26" fld="16" baseField="0" baseItem="0"/>
    <dataField name="Sum of Nov-26" fld="17" baseField="0" baseItem="0"/>
    <dataField name="Sum of Dec-26" fld="18" baseField="0" baseItem="0"/>
    <dataField name="Sum of Jan-27" fld="19" baseField="0" baseItem="0"/>
    <dataField name="Sum of Feb-27" fld="20" baseField="0" baseItem="0"/>
    <dataField name="Sum of Mar-27" fld="21" baseField="0" baseItem="0"/>
    <dataField name="Sum of Total APY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AAB30-B220-4DFA-8FAF-D7BEFA2925C5}" name="PivotTable7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9" firstHeaderRow="1" firstDataRow="2" firstDataCol="1"/>
  <pivotFields count="24">
    <pivotField axis="axisRow" showAll="0">
      <items count="17">
        <item x="11"/>
        <item x="10"/>
        <item x="7"/>
        <item x="12"/>
        <item x="2"/>
        <item x="5"/>
        <item x="8"/>
        <item x="6"/>
        <item x="3"/>
        <item m="1" x="14"/>
        <item m="1" x="15"/>
        <item x="1"/>
        <item x="9"/>
        <item x="1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2">
        <item x="4"/>
        <item x="5"/>
        <item x="7"/>
        <item x="0"/>
        <item x="6"/>
        <item x="3"/>
        <item x="1"/>
        <item x="2"/>
        <item x="8"/>
        <item x="9"/>
        <item x="1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 AP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FD6B3-3CF2-4DB3-93B1-19E7C16D59E9}" name="PivotTable4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8" firstHeaderRow="0" firstDataRow="1" firstDataCol="1"/>
  <pivotFields count="24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Apr-26" fld="10" baseField="0" baseItem="0"/>
    <dataField name="Sum of May-26" fld="11" baseField="0" baseItem="0"/>
    <dataField name="Sum of Jun-26" fld="12" baseField="0" baseItem="0"/>
    <dataField name="Sum of Jul-26" fld="13" baseField="0" baseItem="0"/>
    <dataField name="Sum of Aug-26" fld="14" baseField="0" baseItem="0"/>
    <dataField name="Sum of Sep-26" fld="15" baseField="0" baseItem="0"/>
    <dataField name="Sum of Oct-26" fld="16" baseField="0" baseItem="0"/>
    <dataField name="Sum of Nov-26" fld="17" baseField="0" baseItem="0"/>
    <dataField name="Sum of Dec-26" fld="18" baseField="0" baseItem="0"/>
    <dataField name="Sum of Jan-27" fld="19" baseField="0" baseItem="0"/>
    <dataField name="Sum of Feb-27" fld="20" baseField="0" baseItem="0"/>
    <dataField name="Sum of Mar-27" fld="21" baseField="0" baseItem="0"/>
    <dataField name="Sum of Total AP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90E49-09A4-4254-8FEC-6EF87899E28F}" name="PivotTable7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AD18" firstHeaderRow="0" firstDataRow="1" firstDataCol="1"/>
  <pivotFields count="24">
    <pivotField axis="axisRow" showAll="0">
      <items count="17">
        <item x="11"/>
        <item x="4"/>
        <item x="6"/>
        <item x="9"/>
        <item x="3"/>
        <item x="8"/>
        <item x="10"/>
        <item x="12"/>
        <item x="7"/>
        <item m="1" x="14"/>
        <item m="1" x="15"/>
        <item x="2"/>
        <item x="5"/>
        <item x="1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Count of Apr-26" fld="10" subtotal="count" baseField="0" baseItem="0"/>
    <dataField name="Count of May-26" fld="11" subtotal="count" baseField="0" baseItem="0"/>
    <dataField name="Count of Jun-26" fld="12" subtotal="count" baseField="0" baseItem="0"/>
    <dataField name="Count of Jul-26" fld="13" subtotal="count" baseField="0" baseItem="0"/>
    <dataField name="Count of Aug-26" fld="14" subtotal="count" baseField="0" baseItem="0"/>
    <dataField name="Count of Sep-26" fld="15" subtotal="count" baseField="0" baseItem="0"/>
    <dataField name="Count of Oct-26" fld="16" subtotal="count" baseField="0" baseItem="0"/>
    <dataField name="Count of Nov-26" fld="17" subtotal="count" baseField="0" baseItem="0"/>
    <dataField name="Count of Dec-26" fld="18" subtotal="count" baseField="0" baseItem="0"/>
    <dataField name="Count of Jan-27" fld="19" subtotal="count" baseField="0" baseItem="0"/>
    <dataField name="Count of Feb-27" fld="20" subtotal="count" baseField="0" baseItem="0"/>
    <dataField name="Count of Mar-27" fld="21" subtotal="count" baseField="0" baseItem="0"/>
    <dataField name="Count of Total JJBY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A9A68-503D-46EC-BCCC-CCDF3EB83486}" name="PivotTable6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18" firstHeaderRow="0" firstDataRow="1" firstDataCol="1"/>
  <pivotFields count="24">
    <pivotField axis="axisRow" showAll="0">
      <items count="17">
        <item x="11"/>
        <item x="4"/>
        <item x="6"/>
        <item x="9"/>
        <item x="3"/>
        <item x="8"/>
        <item x="10"/>
        <item x="12"/>
        <item x="7"/>
        <item m="1" x="14"/>
        <item m="1" x="15"/>
        <item x="2"/>
        <item x="5"/>
        <item x="1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Sum of Target" fld="9" baseField="0" baseItem="0" numFmtId="164"/>
    <dataField name="Sum of Apr-26" fld="10" baseField="0" baseItem="0"/>
    <dataField name="Sum of May-26" fld="11" baseField="0" baseItem="0"/>
    <dataField name="Sum of Jun-26" fld="12" baseField="0" baseItem="0"/>
    <dataField name="Sum of Jul-26" fld="13" baseField="0" baseItem="0"/>
    <dataField name="Sum of Aug-26" fld="14" baseField="0" baseItem="0"/>
    <dataField name="Sum of Sep-26" fld="15" baseField="0" baseItem="0"/>
    <dataField name="Sum of Oct-26" fld="16" baseField="0" baseItem="0"/>
    <dataField name="Sum of Nov-26" fld="17" baseField="0" baseItem="0"/>
    <dataField name="Sum of Dec-26" fld="18" baseField="0" baseItem="0"/>
    <dataField name="Sum of Jan-27" fld="19" baseField="0" baseItem="0"/>
    <dataField name="Sum of Feb-27" fld="20" baseField="0" baseItem="0"/>
    <dataField name="Sum of Mar-27" fld="21" baseField="0" baseItem="0"/>
    <dataField name="Sum of Total JJBY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16678-BAA5-45B0-8FBD-073690C39A30}" name="PivotTable8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9" firstHeaderRow="1" firstDataRow="2" firstDataCol="1"/>
  <pivotFields count="24">
    <pivotField axis="axisRow" showAll="0">
      <items count="17">
        <item x="11"/>
        <item x="4"/>
        <item x="6"/>
        <item x="9"/>
        <item x="3"/>
        <item x="8"/>
        <item x="10"/>
        <item x="12"/>
        <item x="7"/>
        <item m="1" x="14"/>
        <item m="1" x="15"/>
        <item x="2"/>
        <item x="5"/>
        <item x="1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2">
        <item x="6"/>
        <item x="5"/>
        <item x="7"/>
        <item x="1"/>
        <item x="3"/>
        <item x="0"/>
        <item x="2"/>
        <item x="4"/>
        <item x="8"/>
        <item x="9"/>
        <item x="1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 JJB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287D7-239F-4F5C-BB3C-001A0744A61C}" name="PivotTable6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8" firstHeaderRow="0" firstDataRow="1" firstDataCol="1"/>
  <pivotFields count="24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Apr-26" fld="10" baseField="0" baseItem="0"/>
    <dataField name="Sum of May-26" fld="11" baseField="0" baseItem="0"/>
    <dataField name="Sum of Jun-26" fld="12" baseField="0" baseItem="0"/>
    <dataField name="Sum of Jul-26" fld="13" baseField="0" baseItem="0"/>
    <dataField name="Sum of Aug-26" fld="14" baseField="0" baseItem="0"/>
    <dataField name="Sum of Sep-26" fld="15" baseField="0" baseItem="0"/>
    <dataField name="Sum of Oct-26" fld="16" baseField="0" baseItem="0"/>
    <dataField name="Sum of Nov-26" fld="17" baseField="0" baseItem="0"/>
    <dataField name="Sum of Dec-26" fld="18" baseField="0" baseItem="0"/>
    <dataField name="Sum of Jan-27" fld="19" baseField="0" baseItem="0"/>
    <dataField name="Sum of Feb-27" fld="20" baseField="0" baseItem="0"/>
    <dataField name="Sum of Mar-27" fld="21" baseField="0" baseItem="0"/>
    <dataField name="Sum of Total JJB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C44AF-EF88-4B68-B42A-2C6F6FCBABA6}" name="PivotTable9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AD18" firstHeaderRow="0" firstDataRow="1" firstDataCol="1"/>
  <pivotFields count="24">
    <pivotField axis="axisRow" showAll="0">
      <items count="17">
        <item x="10"/>
        <item x="2"/>
        <item x="4"/>
        <item x="7"/>
        <item x="5"/>
        <item x="11"/>
        <item x="9"/>
        <item x="12"/>
        <item x="6"/>
        <item m="1" x="14"/>
        <item m="1" x="15"/>
        <item x="3"/>
        <item x="8"/>
        <item x="1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Count of Apr-26" fld="10" subtotal="count" baseField="0" baseItem="0"/>
    <dataField name="Count of May-26" fld="11" subtotal="count" baseField="0" baseItem="0"/>
    <dataField name="Count of Jun-26" fld="12" subtotal="count" baseField="0" baseItem="0"/>
    <dataField name="Count of Jul-26" fld="13" subtotal="count" baseField="0" baseItem="0"/>
    <dataField name="Count of Aug-26" fld="14" subtotal="count" baseField="0" baseItem="0"/>
    <dataField name="Count of Sep-26" fld="15" subtotal="count" baseField="0" baseItem="0"/>
    <dataField name="Count of Oct-26" fld="16" subtotal="count" baseField="0" baseItem="0"/>
    <dataField name="Count of Nov-26" fld="17" subtotal="count" baseField="0" baseItem="0"/>
    <dataField name="Count of Dec-26" fld="18" subtotal="count" baseField="0" baseItem="0"/>
    <dataField name="Count of Jan-27" fld="19" subtotal="count" baseField="0" baseItem="0"/>
    <dataField name="Count of Feb-27" fld="20" subtotal="count" baseField="0" baseItem="0"/>
    <dataField name="Count of Mar-27" fld="21" subtotal="count" baseField="0" baseItem="0"/>
    <dataField name="Count of Total SBY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FDE8B-3833-445C-98E5-5912E86976C9}" name="PivotTable8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18" firstHeaderRow="0" firstDataRow="1" firstDataCol="1"/>
  <pivotFields count="24">
    <pivotField axis="axisRow" showAll="0">
      <items count="17">
        <item x="10"/>
        <item x="2"/>
        <item x="4"/>
        <item x="7"/>
        <item x="5"/>
        <item x="11"/>
        <item x="9"/>
        <item x="12"/>
        <item x="6"/>
        <item m="1" x="14"/>
        <item m="1" x="15"/>
        <item x="3"/>
        <item x="8"/>
        <item x="1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Sum of Target" fld="9" baseField="0" baseItem="0" numFmtId="164"/>
    <dataField name="Sum of Apr-26" fld="10" baseField="0" baseItem="0"/>
    <dataField name="Sum of May-26" fld="11" baseField="0" baseItem="0"/>
    <dataField name="Sum of Jun-26" fld="12" baseField="0" baseItem="0"/>
    <dataField name="Sum of Jul-26" fld="13" baseField="0" baseItem="0"/>
    <dataField name="Sum of Aug-26" fld="14" baseField="0" baseItem="0"/>
    <dataField name="Sum of Sep-26" fld="15" baseField="0" baseItem="0"/>
    <dataField name="Sum of Oct-26" fld="16" baseField="0" baseItem="0"/>
    <dataField name="Sum of Nov-26" fld="17" baseField="0" baseItem="0"/>
    <dataField name="Sum of Dec-26" fld="18" baseField="0" baseItem="0"/>
    <dataField name="Sum of Jan-27" fld="19" baseField="0" baseItem="0"/>
    <dataField name="Sum of Feb-27" fld="20" baseField="0" baseItem="0"/>
    <dataField name="Sum of Mar-27" fld="21" baseField="0" baseItem="0"/>
    <dataField name="Sum of Total SBY" fld="2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E5772-8005-427A-A8E3-30C1AC12E780}" name="PivotTable9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9" firstHeaderRow="1" firstDataRow="2" firstDataCol="1"/>
  <pivotFields count="24">
    <pivotField axis="axisRow" showAll="0">
      <items count="17">
        <item x="10"/>
        <item x="2"/>
        <item x="4"/>
        <item x="7"/>
        <item x="5"/>
        <item x="11"/>
        <item x="9"/>
        <item x="12"/>
        <item x="6"/>
        <item m="1" x="14"/>
        <item m="1" x="15"/>
        <item x="3"/>
        <item x="8"/>
        <item x="1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2">
        <item x="7"/>
        <item x="3"/>
        <item x="4"/>
        <item x="5"/>
        <item x="2"/>
        <item x="0"/>
        <item x="1"/>
        <item x="6"/>
        <item x="9"/>
        <item x="8"/>
        <item x="1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 SB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75FA7-6FE1-4C33-BFE9-465C3A71F678}" name="PivotTable7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8" firstHeaderRow="0" firstDataRow="1" firstDataCol="1"/>
  <pivotFields count="24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Apr-26" fld="10" baseField="0" baseItem="0"/>
    <dataField name="Sum of May-26" fld="11" baseField="0" baseItem="0"/>
    <dataField name="Sum of Jun-26" fld="12" baseField="0" baseItem="0"/>
    <dataField name="Sum of Jul-26" fld="13" baseField="0" baseItem="0"/>
    <dataField name="Sum of Aug-26" fld="14" baseField="0" baseItem="0"/>
    <dataField name="Sum of Sep-26" fld="15" baseField="0" baseItem="0"/>
    <dataField name="Sum of Oct-26" fld="16" baseField="0" baseItem="0"/>
    <dataField name="Sum of Nov-26" fld="17" baseField="0" baseItem="0"/>
    <dataField name="Sum of Dec-26" fld="18" baseField="0" baseItem="0"/>
    <dataField name="Sum of Jan-27" fld="19" baseField="0" baseItem="0"/>
    <dataField name="Sum of Feb-27" fld="20" baseField="0" baseItem="0"/>
    <dataField name="Sum of Mar-27" fld="21" baseField="0" baseItem="0"/>
    <dataField name="Sum of Total SB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88EEF-7A5B-446F-9562-42F8DCD262F8}" name="PivotTable1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AC19" firstHeaderRow="0" firstDataRow="1" firstDataCol="1"/>
  <pivotFields count="23">
    <pivotField axis="axisRow" showAll="0">
      <items count="16">
        <item x="5"/>
        <item x="8"/>
        <item x="10"/>
        <item x="12"/>
        <item x="0"/>
        <item x="4"/>
        <item x="11"/>
        <item x="9"/>
        <item x="7"/>
        <item x="6"/>
        <item x="3"/>
        <item x="13"/>
        <item x="2"/>
        <item x="1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Count of Apr-26" fld="9" subtotal="count" baseField="0" baseItem="0"/>
    <dataField name="Count of May-26" fld="10" subtotal="count" baseField="0" baseItem="0"/>
    <dataField name="Count of Jun-26" fld="11" subtotal="count" baseField="0" baseItem="0"/>
    <dataField name="Count of Jul-26" fld="12" subtotal="count" baseField="0" baseItem="0"/>
    <dataField name="Count of Aug-26" fld="13" subtotal="count" baseField="0" baseItem="0"/>
    <dataField name="Count of Sep-26" fld="14" subtotal="count" baseField="0" baseItem="0"/>
    <dataField name="Count of Oct-26" fld="15" subtotal="count" baseField="0" baseItem="0"/>
    <dataField name="Count of Nov-26" fld="16" subtotal="count" baseField="0" baseItem="0"/>
    <dataField name="Count of Dec-26" fld="17" subtotal="count" baseField="0" baseItem="0"/>
    <dataField name="Count of Jan-27" fld="18" subtotal="count" baseField="0" baseItem="0"/>
    <dataField name="Count of Feb-27" fld="19" subtotal="count" baseField="0" baseItem="0"/>
    <dataField name="Count of Mar-27" fld="20" subtotal="count" baseField="0" baseItem="0"/>
    <dataField name="Count of Total Comm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4F2DE-4350-40D4-966A-42B305004FAC}" name="PivotTable10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8" firstHeaderRow="0" firstDataRow="1" firstDataCol="1"/>
  <pivotFields count="23">
    <pivotField axis="axisRow" showAll="0">
      <items count="17">
        <item x="5"/>
        <item x="8"/>
        <item x="10"/>
        <item x="12"/>
        <item x="0"/>
        <item x="4"/>
        <item x="11"/>
        <item x="9"/>
        <item x="7"/>
        <item m="1" x="14"/>
        <item m="1" x="15"/>
        <item x="6"/>
        <item x="3"/>
        <item x="1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Apr-26" fld="9" baseField="0" baseItem="0"/>
    <dataField name="Sum of May-26" fld="10" baseField="0" baseItem="0"/>
    <dataField name="Sum of Jun-26" fld="11" baseField="0" baseItem="0"/>
    <dataField name="Sum of Jul-26" fld="12" baseField="0" baseItem="0"/>
    <dataField name="Sum of Aug-26" fld="13" baseField="0" baseItem="0"/>
    <dataField name="Sum of Sep-26" fld="14" baseField="0" baseItem="0"/>
    <dataField name="Sum of Oct-26" fld="15" baseField="0" baseItem="0"/>
    <dataField name="Sum of Nov-26" fld="16" baseField="0" baseItem="0"/>
    <dataField name="Sum of Dec-26" fld="17" baseField="0" baseItem="0"/>
    <dataField name="Sum of Jan-27" fld="18" baseField="0" baseItem="0"/>
    <dataField name="Sum of Feb-27" fld="19" baseField="0" baseItem="0"/>
    <dataField name="Sum of Mar-27" fld="20" baseField="0" baseItem="0"/>
    <dataField name="Sum of Total Comm" fld="2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E121E-0085-432D-8685-262FC68F768D}" name="PivotTable16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9" firstHeaderRow="1" firstDataRow="2" firstDataCol="1"/>
  <pivotFields count="23">
    <pivotField axis="axisRow" showAll="0">
      <items count="17">
        <item x="5"/>
        <item x="8"/>
        <item x="10"/>
        <item x="12"/>
        <item x="0"/>
        <item x="4"/>
        <item x="11"/>
        <item x="9"/>
        <item x="7"/>
        <item m="1" x="14"/>
        <item m="1" x="15"/>
        <item x="6"/>
        <item x="3"/>
        <item x="1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2">
        <item x="7"/>
        <item x="6"/>
        <item x="2"/>
        <item x="1"/>
        <item x="3"/>
        <item x="4"/>
        <item x="5"/>
        <item x="0"/>
        <item x="8"/>
        <item x="9"/>
        <item x="1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 Comm" fld="2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8F1BD-C0D5-45A1-8827-B33EF30FB47E}" name="PivotTable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AD18" firstHeaderRow="0" firstDataRow="1" firstDataCol="1"/>
  <pivotFields count="23">
    <pivotField axis="axisRow" showAll="0">
      <items count="17">
        <item x="5"/>
        <item x="9"/>
        <item x="10"/>
        <item x="12"/>
        <item x="0"/>
        <item x="4"/>
        <item x="11"/>
        <item x="8"/>
        <item x="6"/>
        <item m="1" x="14"/>
        <item m="1" x="15"/>
        <item x="7"/>
        <item x="3"/>
        <item x="1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Count of Apr-26" fld="9" subtotal="count" baseField="0" baseItem="0"/>
    <dataField name="Count of May-26" fld="10" subtotal="count" baseField="0" baseItem="0"/>
    <dataField name="Count of Jun-26" fld="11" subtotal="count" baseField="0" baseItem="0"/>
    <dataField name="Count of Jul-26" fld="12" subtotal="count" baseField="0" baseItem="0"/>
    <dataField name="Count of Aug-26" fld="13" subtotal="count" baseField="0" baseItem="0"/>
    <dataField name="Count of Sep-26" fld="14" subtotal="count" baseField="0" baseItem="0"/>
    <dataField name="Count of Oct-26" fld="15" subtotal="count" baseField="0" baseItem="0"/>
    <dataField name="Count of Nov-26" fld="16" subtotal="count" baseField="0" baseItem="0"/>
    <dataField name="Count of Dec-26" fld="17" subtotal="count" baseField="0" baseItem="0"/>
    <dataField name="Count of Jan-27" fld="18" subtotal="count" baseField="0" baseItem="0"/>
    <dataField name="Count of Feb-27" fld="19" subtotal="count" baseField="0" baseItem="0"/>
    <dataField name="Count of Mar-27" fld="20" subtotal="count" baseField="0" baseItem="0"/>
    <dataField name="Count of Total txn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D97DB-D630-45AE-84F7-50A1240D2F54}" name="PivotTable14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8" firstHeaderRow="0" firstDataRow="1" firstDataCol="1"/>
  <pivotFields count="23">
    <pivotField axis="axisRow" showAll="0">
      <items count="17">
        <item x="5"/>
        <item x="9"/>
        <item x="10"/>
        <item x="12"/>
        <item x="0"/>
        <item x="4"/>
        <item x="11"/>
        <item x="8"/>
        <item x="6"/>
        <item m="1" x="14"/>
        <item m="1" x="15"/>
        <item x="7"/>
        <item x="3"/>
        <item x="1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Target" fld="8" baseField="0" baseItem="0" numFmtId="164"/>
    <dataField name="Sum of Apr-26" fld="9" baseField="0" baseItem="0"/>
    <dataField name="Sum of May-26" fld="10" baseField="0" baseItem="0"/>
    <dataField name="Sum of Jun-26" fld="11" baseField="0" baseItem="0"/>
    <dataField name="Sum of Jul-26" fld="12" baseField="0" baseItem="0"/>
    <dataField name="Sum of Aug-26" fld="13" baseField="0" baseItem="0"/>
    <dataField name="Sum of Sep-26" fld="14" baseField="0" baseItem="0"/>
    <dataField name="Sum of Oct-26" fld="15" baseField="0" baseItem="0"/>
    <dataField name="Sum of Nov-26" fld="16" baseField="0" baseItem="0"/>
    <dataField name="Sum of Dec-26" fld="17" baseField="0" baseItem="0"/>
    <dataField name="Sum of Jan-27" fld="18" baseField="0" baseItem="0"/>
    <dataField name="Sum of Feb-27" fld="19" baseField="0" baseItem="0"/>
    <dataField name="Sum of Mar-27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56E1B-E97D-4F35-940D-774E1504A0DB}" name="PivotTable4" cacheId="1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18" firstHeaderRow="1" firstDataRow="1" firstDataCol="1"/>
  <pivotFields count="24">
    <pivotField axis="axisRow" showAll="0">
      <items count="16">
        <item x="5"/>
        <item x="9"/>
        <item x="10"/>
        <item x="12"/>
        <item x="0"/>
        <item x="4"/>
        <item x="11"/>
        <item x="8"/>
        <item x="6"/>
        <item m="1" x="14"/>
        <item x="7"/>
        <item x="3"/>
        <item x="1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 txn" fld="2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E2F15-B8AF-449D-ADDB-58166D30A8D2}" name="PivotTable3" cacheId="10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" firstHeaderRow="0" firstDataRow="0" firstDataCol="0"/>
  <pivotFields count="24">
    <pivotField axis="axisRow" showAll="0">
      <items count="16">
        <item x="5"/>
        <item x="9"/>
        <item x="10"/>
        <item x="12"/>
        <item x="0"/>
        <item x="4"/>
        <item x="11"/>
        <item x="8"/>
        <item x="6"/>
        <item m="1" x="14"/>
        <item x="7"/>
        <item x="3"/>
        <item x="13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axis="axisCol" showAll="0">
      <items count="12">
        <item x="7"/>
        <item x="6"/>
        <item x="2"/>
        <item x="1"/>
        <item x="5"/>
        <item x="4"/>
        <item x="3"/>
        <item x="0"/>
        <item x="9"/>
        <item x="8"/>
        <item x="10"/>
        <item t="default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 t="grand">
      <x/>
    </i>
  </rowItems>
  <colFields count="1">
    <field x="2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KO Cod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4BC56-C820-4F40-AD84-3E61D868A49F}" name="PivotTable1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1" firstDataRow="2" firstDataCol="1"/>
  <pivotFields count="10">
    <pivotField dataField="1" showAll="0"/>
    <pivotField axis="axisRow" showAll="0">
      <items count="16">
        <item x="10"/>
        <item x="1"/>
        <item x="7"/>
        <item x="13"/>
        <item x="2"/>
        <item x="12"/>
        <item x="11"/>
        <item x="3"/>
        <item x="9"/>
        <item m="1" x="14"/>
        <item x="0"/>
        <item x="8"/>
        <item x="6"/>
        <item x="4"/>
        <item x="5"/>
        <item t="default"/>
      </items>
    </pivotField>
    <pivotField axis="axisCol" multipleItemSelectionAllowed="1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numFmtId="166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KO Code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D49B9-827D-43F7-A664-259A9FAF78B3}" name="PivotTable8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0">
    <pivotField dataField="1" showAll="0"/>
    <pivotField showAll="0"/>
    <pivotField axis="axisCol" showAll="0">
      <items count="4">
        <item x="1"/>
        <item x="0"/>
        <item m="1"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numFmtId="166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KO Code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8</v>
    <v>16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51A865-C5AC-473D-8ACE-3D2A9AA09B4E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36E1-0F76-432D-B927-63F64880A30C}">
  <sheetPr>
    <pageSetUpPr fitToPage="1"/>
  </sheetPr>
  <dimension ref="A1:Y37"/>
  <sheetViews>
    <sheetView showGridLines="0" zoomScale="115" zoomScaleNormal="115" workbookViewId="0">
      <selection activeCell="X6" sqref="X6"/>
    </sheetView>
  </sheetViews>
  <sheetFormatPr defaultRowHeight="17.55" customHeight="1" x14ac:dyDescent="0.3"/>
  <cols>
    <col min="1" max="1" width="3.33203125" style="43" customWidth="1"/>
    <col min="2" max="2" width="11.21875" style="43" bestFit="1" customWidth="1"/>
    <col min="3" max="3" width="7.33203125" style="43" bestFit="1" customWidth="1"/>
    <col min="4" max="4" width="7.44140625" style="43" bestFit="1" customWidth="1"/>
    <col min="5" max="7" width="8.109375" style="43" bestFit="1" customWidth="1"/>
    <col min="8" max="8" width="6.77734375" style="43" bestFit="1" customWidth="1"/>
    <col min="9" max="11" width="7.33203125" style="43" bestFit="1" customWidth="1"/>
    <col min="12" max="12" width="7.109375" style="43" bestFit="1" customWidth="1"/>
    <col min="13" max="13" width="7.33203125" style="43" bestFit="1" customWidth="1"/>
    <col min="14" max="14" width="8.109375" style="43" bestFit="1" customWidth="1"/>
    <col min="15" max="15" width="7.44140625" style="43" bestFit="1" customWidth="1"/>
    <col min="16" max="16" width="10.109375" style="43" bestFit="1" customWidth="1"/>
    <col min="17" max="17" width="6.33203125" style="43" hidden="1" customWidth="1"/>
    <col min="18" max="18" width="4.88671875" style="43" hidden="1" customWidth="1"/>
    <col min="19" max="19" width="7.5546875" style="43" hidden="1" customWidth="1"/>
    <col min="20" max="20" width="13.5546875" style="43" hidden="1" customWidth="1"/>
    <col min="21" max="21" width="3.33203125" style="210" customWidth="1"/>
    <col min="22" max="16384" width="8.88671875" style="43"/>
  </cols>
  <sheetData>
    <row r="1" spans="1:25" ht="15.6" customHeight="1" thickBot="1" x14ac:dyDescent="0.35">
      <c r="A1" s="44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1"/>
      <c r="T1" s="62"/>
      <c r="U1" s="209"/>
    </row>
    <row r="2" spans="1:25" ht="17.55" customHeight="1" thickBot="1" x14ac:dyDescent="0.35">
      <c r="A2" s="44"/>
      <c r="B2" s="254" t="s">
        <v>362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6"/>
      <c r="Q2" s="230"/>
      <c r="R2" s="231"/>
      <c r="S2" s="231"/>
      <c r="T2" s="232"/>
      <c r="U2" s="209"/>
    </row>
    <row r="3" spans="1:25" ht="17.55" customHeight="1" thickBot="1" x14ac:dyDescent="0.35">
      <c r="A3" s="44"/>
      <c r="B3" s="63" t="s">
        <v>330</v>
      </c>
      <c r="C3" s="252" t="s">
        <v>265</v>
      </c>
      <c r="D3" s="252"/>
      <c r="E3" s="252"/>
      <c r="F3" s="252"/>
      <c r="G3" s="243" t="s">
        <v>263</v>
      </c>
      <c r="H3" s="250"/>
      <c r="I3" s="250"/>
      <c r="J3" s="244"/>
      <c r="K3" s="243" t="s">
        <v>272</v>
      </c>
      <c r="L3" s="244"/>
      <c r="M3" s="243" t="s">
        <v>264</v>
      </c>
      <c r="N3" s="250"/>
      <c r="O3" s="244"/>
      <c r="P3" s="211" t="s">
        <v>354</v>
      </c>
      <c r="Q3" s="237" t="s">
        <v>383</v>
      </c>
      <c r="R3" s="238"/>
      <c r="S3" s="238"/>
      <c r="T3" s="239"/>
      <c r="U3" s="209"/>
    </row>
    <row r="4" spans="1:25" ht="17.55" customHeight="1" thickBot="1" x14ac:dyDescent="0.35">
      <c r="A4" s="44"/>
      <c r="B4" s="166"/>
      <c r="C4" s="251" t="str">
        <f>IFERROR(VLOOKUP($B$4,Data!$A:$J,6,0),"")</f>
        <v/>
      </c>
      <c r="D4" s="251"/>
      <c r="E4" s="251"/>
      <c r="F4" s="251"/>
      <c r="G4" s="247" t="str">
        <f>IFERROR(VLOOKUP($B$4,Data!$A:$G,5,0),"")</f>
        <v/>
      </c>
      <c r="H4" s="248"/>
      <c r="I4" s="248"/>
      <c r="J4" s="249"/>
      <c r="K4" s="245" t="str">
        <f>IFERROR(VLOOKUP($B$4,Data!$A:$G,4,0),"")</f>
        <v/>
      </c>
      <c r="L4" s="246"/>
      <c r="M4" s="245" t="str">
        <f>IFERROR(VLOOKUP($B$4,Data!$A:$G,2,0),"")</f>
        <v/>
      </c>
      <c r="N4" s="253"/>
      <c r="O4" s="246"/>
      <c r="P4" s="167" t="str">
        <f>IFERROR(VLOOKUP($B$4,Data!$A:$J,10,0),"")</f>
        <v/>
      </c>
      <c r="Q4" s="240" t="str">
        <f>IF(U4&gt;=90%,"Outstanding",IF(U4&gt;=80%,"Excellent",IF(U4&gt;=70%,"Very Good",IF(U4&gt;=60%,"Good",IF(U4&gt;=50%,"Average",IF(U4&gt;=40%,"Below Average",IF(U4&gt;=30%,"Poor",IF(U4&gt;=20%,"Very Poor",IF(U4&lt;=20%,"Not Satisfactory")))))))))</f>
        <v>Not Satisfactory</v>
      </c>
      <c r="R4" s="241"/>
      <c r="S4" s="241"/>
      <c r="T4" s="242"/>
      <c r="U4" s="209">
        <f>AVERAGE(S8,S9,S10)</f>
        <v>0</v>
      </c>
    </row>
    <row r="5" spans="1:25" ht="17.55" customHeight="1" thickBot="1" x14ac:dyDescent="0.35">
      <c r="A5" s="44"/>
      <c r="B5" s="227" t="s">
        <v>458</v>
      </c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9"/>
      <c r="Q5" s="227"/>
      <c r="R5" s="228"/>
      <c r="S5" s="228"/>
      <c r="T5" s="229"/>
      <c r="U5" s="209"/>
    </row>
    <row r="6" spans="1:25" ht="17.55" customHeight="1" thickBot="1" x14ac:dyDescent="0.35">
      <c r="A6" s="44"/>
      <c r="B6" s="169" t="s">
        <v>347</v>
      </c>
      <c r="C6" s="55">
        <v>46113</v>
      </c>
      <c r="D6" s="55">
        <v>46143</v>
      </c>
      <c r="E6" s="55">
        <v>46174</v>
      </c>
      <c r="F6" s="55">
        <v>46204</v>
      </c>
      <c r="G6" s="55">
        <v>46235</v>
      </c>
      <c r="H6" s="55">
        <v>46266</v>
      </c>
      <c r="I6" s="55">
        <v>46296</v>
      </c>
      <c r="J6" s="55">
        <v>46327</v>
      </c>
      <c r="K6" s="55">
        <v>46357</v>
      </c>
      <c r="L6" s="55">
        <v>46388</v>
      </c>
      <c r="M6" s="55">
        <v>46419</v>
      </c>
      <c r="N6" s="55">
        <v>46447</v>
      </c>
      <c r="O6" s="55" t="s">
        <v>269</v>
      </c>
      <c r="P6" s="170" t="s">
        <v>270</v>
      </c>
      <c r="Q6" s="173" t="s">
        <v>280</v>
      </c>
      <c r="R6" s="174" t="s">
        <v>382</v>
      </c>
      <c r="S6" s="55" t="s">
        <v>380</v>
      </c>
      <c r="T6" s="170" t="s">
        <v>381</v>
      </c>
      <c r="U6" s="209"/>
    </row>
    <row r="7" spans="1:25" ht="17.55" customHeight="1" x14ac:dyDescent="0.3">
      <c r="A7" s="44"/>
      <c r="B7" s="197" t="s">
        <v>348</v>
      </c>
      <c r="C7" s="198" t="str">
        <f>IFERROR(VLOOKUP($B$4,AC!$G:$W,4,0),"")</f>
        <v/>
      </c>
      <c r="D7" s="198" t="str">
        <f>IFERROR(VLOOKUP($B$4,AC!$G:$W,5,0),"")</f>
        <v/>
      </c>
      <c r="E7" s="198" t="str">
        <f>IFERROR(VLOOKUP($B$4,AC!$G:$W,6,0),"")</f>
        <v/>
      </c>
      <c r="F7" s="198" t="str">
        <f>IFERROR(VLOOKUP($B$4,AC!$G:$W,7,0),"")</f>
        <v/>
      </c>
      <c r="G7" s="198" t="str">
        <f>IFERROR(VLOOKUP($B$4,AC!$G:$W,8,0),"")</f>
        <v/>
      </c>
      <c r="H7" s="198" t="str">
        <f>IFERROR(VLOOKUP($B$4,AC!$G:$W,9,0),"")</f>
        <v/>
      </c>
      <c r="I7" s="198" t="str">
        <f>IFERROR(VLOOKUP($B$4,AC!$G:$W,10,0),"")</f>
        <v/>
      </c>
      <c r="J7" s="198" t="str">
        <f>IFERROR(VLOOKUP($B$4,AC!$G:$W,11,0),"")</f>
        <v/>
      </c>
      <c r="K7" s="198" t="str">
        <f>IFERROR(VLOOKUP($B$4,AC!$G:$W,12,0),"")</f>
        <v/>
      </c>
      <c r="L7" s="198" t="str">
        <f>IFERROR(VLOOKUP($B$4,AC!$G:$W,13,0),"")</f>
        <v/>
      </c>
      <c r="M7" s="198" t="str">
        <f>IFERROR(VLOOKUP($B$4,AC!$G:$W,14,0),"")</f>
        <v/>
      </c>
      <c r="N7" s="198" t="str">
        <f>IFERROR(VLOOKUP($B$4,AC!$G:$W,15,0),"")</f>
        <v/>
      </c>
      <c r="O7" s="199">
        <f>SUM(C7:N7)</f>
        <v>0</v>
      </c>
      <c r="P7" s="208">
        <f t="shared" ref="P7:P12" si="0">O7/$P$15</f>
        <v>0</v>
      </c>
      <c r="Q7" s="200">
        <f>$P$15*30</f>
        <v>30</v>
      </c>
      <c r="R7" s="201">
        <f>Q7-O7</f>
        <v>30</v>
      </c>
      <c r="S7" s="202">
        <f>O7/($P$15*30)</f>
        <v>0</v>
      </c>
      <c r="T7" s="203" t="str">
        <f>IF(S7&gt;=90%,"Outstanding",IF(S7&gt;=80%,"Excellent",IF(S7&gt;=70%,"Very Good",IF(S7&gt;=60%,"Good",IF(S7&gt;=50%,"Average",IF(S7&gt;=40%,"Below Average",IF(S7&gt;=30%,"Poor",IF(S7&gt;=20%,"Very Poor",IF(S7&lt;=20%,"Not Satisfactory")))))))))</f>
        <v>Not Satisfactory</v>
      </c>
      <c r="U7" s="209"/>
    </row>
    <row r="8" spans="1:25" ht="17.55" customHeight="1" x14ac:dyDescent="0.3">
      <c r="A8" s="44"/>
      <c r="B8" s="180" t="s">
        <v>332</v>
      </c>
      <c r="C8" s="75" t="str">
        <f>IFERROR(VLOOKUP($B$4,APY!$G:$X,5,0),"")</f>
        <v/>
      </c>
      <c r="D8" s="75" t="str">
        <f>IFERROR(VLOOKUP($B$4,APY!$G:$X,6,0),"")</f>
        <v/>
      </c>
      <c r="E8" s="75" t="str">
        <f>IFERROR(VLOOKUP($B$4,APY!$G:$X,7,0),"")</f>
        <v/>
      </c>
      <c r="F8" s="75" t="str">
        <f>IFERROR(VLOOKUP($B$4,APY!$G:$X,8,0),"")</f>
        <v/>
      </c>
      <c r="G8" s="75" t="str">
        <f>IFERROR(VLOOKUP($B$4,APY!$G:$X,9,0),"")</f>
        <v/>
      </c>
      <c r="H8" s="75" t="str">
        <f>IFERROR(VLOOKUP($B$4,APY!$G:$X,10,0),"")</f>
        <v/>
      </c>
      <c r="I8" s="75" t="str">
        <f>IFERROR(VLOOKUP($B$4,APY!$G:$X,11,0),"")</f>
        <v/>
      </c>
      <c r="J8" s="75" t="str">
        <f>IFERROR(VLOOKUP($B$4,APY!$G:$X,12,0),"")</f>
        <v/>
      </c>
      <c r="K8" s="75" t="str">
        <f>IFERROR(VLOOKUP($B$4,APY!$G:$X,13,0),"")</f>
        <v/>
      </c>
      <c r="L8" s="75" t="str">
        <f>IFERROR(VLOOKUP($B$4,APY!$G:$X,14,0),"")</f>
        <v/>
      </c>
      <c r="M8" s="75" t="str">
        <f>IFERROR(VLOOKUP($B$4,APY!$G:$X,15,0),"")</f>
        <v/>
      </c>
      <c r="N8" s="75" t="str">
        <f>IFERROR(VLOOKUP($B$4,APY!$G:$X,16,0),"")</f>
        <v/>
      </c>
      <c r="O8" s="177">
        <f t="shared" ref="O8:O13" si="1">SUM(C8:N8)</f>
        <v>0</v>
      </c>
      <c r="P8" s="179">
        <f t="shared" si="0"/>
        <v>0</v>
      </c>
      <c r="Q8" s="191">
        <f>$P$15*15</f>
        <v>15</v>
      </c>
      <c r="R8" s="185">
        <f>Q8-O8</f>
        <v>15</v>
      </c>
      <c r="S8" s="186">
        <f>O8/($P$15*15)</f>
        <v>0</v>
      </c>
      <c r="T8" s="192" t="str">
        <f>IF(S8&gt;=90%,"Outstanding",IF(S8&gt;=80%,"Excellent",IF(S8&gt;=70%,"Very Good",IF(S8&gt;=60%,"Good",IF(S8&gt;=50%,"Average",IF(S8&gt;=40%,"Below Average",IF(S8&gt;=30%,"Poor",IF(S8&gt;=20%,"Very Poor",IF(S8&lt;=20%,"Not Satisfactory")))))))))</f>
        <v>Not Satisfactory</v>
      </c>
      <c r="U8" s="209"/>
    </row>
    <row r="9" spans="1:25" ht="17.55" customHeight="1" x14ac:dyDescent="0.3">
      <c r="A9" s="44"/>
      <c r="B9" s="178" t="s">
        <v>336</v>
      </c>
      <c r="C9" s="75" t="str">
        <f>IFERROR(VLOOKUP($B$4,JJBY!$G:$X,5,0),"")</f>
        <v/>
      </c>
      <c r="D9" s="75" t="str">
        <f>IFERROR(VLOOKUP($B$4,JJBY!$G:$X,6,0),"")</f>
        <v/>
      </c>
      <c r="E9" s="75" t="str">
        <f>IFERROR(VLOOKUP($B$4,JJBY!$G:$X,7,0),"")</f>
        <v/>
      </c>
      <c r="F9" s="75" t="str">
        <f>IFERROR(VLOOKUP($B$4,JJBY!$G:$X,8,0),"")</f>
        <v/>
      </c>
      <c r="G9" s="75" t="str">
        <f>IFERROR(VLOOKUP($B$4,JJBY!$G:$X,9,0),"")</f>
        <v/>
      </c>
      <c r="H9" s="75" t="str">
        <f>IFERROR(VLOOKUP($B$4,JJBY!$G:$X,10,0),"")</f>
        <v/>
      </c>
      <c r="I9" s="75" t="str">
        <f>IFERROR(VLOOKUP($B$4,JJBY!$G:$X,11,0),"")</f>
        <v/>
      </c>
      <c r="J9" s="75" t="str">
        <f>IFERROR(VLOOKUP($B$4,JJBY!$G:$X,12,0),"")</f>
        <v/>
      </c>
      <c r="K9" s="75" t="str">
        <f>IFERROR(VLOOKUP($B$4,JJBY!$G:$X,13,0),"")</f>
        <v/>
      </c>
      <c r="L9" s="75" t="str">
        <f>IFERROR(VLOOKUP($B$4,JJBY!$G:$X,14,0),"")</f>
        <v/>
      </c>
      <c r="M9" s="75" t="str">
        <f>IFERROR(VLOOKUP($B$4,JJBY!$G:$X,15,0),"")</f>
        <v/>
      </c>
      <c r="N9" s="75" t="str">
        <f>IFERROR(VLOOKUP($B$4,JJBY!$G:$X,16,0),"")</f>
        <v/>
      </c>
      <c r="O9" s="177">
        <f t="shared" si="1"/>
        <v>0</v>
      </c>
      <c r="P9" s="179">
        <f t="shared" si="0"/>
        <v>0</v>
      </c>
      <c r="Q9" s="191">
        <f>$P$15*12</f>
        <v>12</v>
      </c>
      <c r="R9" s="185">
        <f>Q9-O9</f>
        <v>12</v>
      </c>
      <c r="S9" s="186">
        <f>O9/($P$15*12)</f>
        <v>0</v>
      </c>
      <c r="T9" s="192" t="str">
        <f t="shared" ref="T9:T10" si="2">IF(S9&gt;=90%,"Outstanding",IF(S9&gt;=80%,"Excellent",IF(S9&gt;=70%,"Very Good",IF(S9&gt;=60%,"Good",IF(S9&gt;=50%,"Average",IF(S9&gt;=40%,"Below Average",IF(S9&gt;=30%,"Poor",IF(S9&gt;=20%,"Very Poor",IF(S9&lt;=20%,"Not Satisfactory")))))))))</f>
        <v>Not Satisfactory</v>
      </c>
      <c r="U9" s="209"/>
    </row>
    <row r="10" spans="1:25" ht="17.55" customHeight="1" thickBot="1" x14ac:dyDescent="0.35">
      <c r="A10" s="44"/>
      <c r="B10" s="204" t="s">
        <v>337</v>
      </c>
      <c r="C10" s="205" t="str">
        <f>IFERROR(VLOOKUP($B$4,SBY!$G:$X,5,0),"")</f>
        <v/>
      </c>
      <c r="D10" s="205" t="str">
        <f>IFERROR(VLOOKUP($B$4,SBY!$G:$X,6,0),"")</f>
        <v/>
      </c>
      <c r="E10" s="205" t="str">
        <f>IFERROR(VLOOKUP($B$4,SBY!$G:$X,7,0),"")</f>
        <v/>
      </c>
      <c r="F10" s="205" t="str">
        <f>IFERROR(VLOOKUP($B$4,SBY!$G:$X,8,0),"")</f>
        <v/>
      </c>
      <c r="G10" s="205" t="str">
        <f>IFERROR(VLOOKUP($B$4,SBY!$G:$X,9,0),"")</f>
        <v/>
      </c>
      <c r="H10" s="205" t="str">
        <f>IFERROR(VLOOKUP($B$4,SBY!$G:$X,10,0),"")</f>
        <v/>
      </c>
      <c r="I10" s="205" t="str">
        <f>IFERROR(VLOOKUP($B$4,SBY!$G:$X,11,0),"")</f>
        <v/>
      </c>
      <c r="J10" s="205" t="str">
        <f>IFERROR(VLOOKUP($B$4,SBY!$G:$X,12,0),"")</f>
        <v/>
      </c>
      <c r="K10" s="205" t="str">
        <f>IFERROR(VLOOKUP($B$4,SBY!$G:$X,13,0),"")</f>
        <v/>
      </c>
      <c r="L10" s="205" t="str">
        <f>IFERROR(VLOOKUP($B$4,SBY!$G:$X,14,0),"")</f>
        <v/>
      </c>
      <c r="M10" s="205" t="str">
        <f>IFERROR(VLOOKUP($B$4,SBY!$G:$X,15,0),"")</f>
        <v/>
      </c>
      <c r="N10" s="205" t="str">
        <f>IFERROR(VLOOKUP($B$4,SBY!$G:$X,16,0),"")</f>
        <v/>
      </c>
      <c r="O10" s="206">
        <f t="shared" si="1"/>
        <v>0</v>
      </c>
      <c r="P10" s="207">
        <f t="shared" si="0"/>
        <v>0</v>
      </c>
      <c r="Q10" s="193">
        <f>$P$15*24</f>
        <v>24</v>
      </c>
      <c r="R10" s="194">
        <f>Q10-O10</f>
        <v>24</v>
      </c>
      <c r="S10" s="195">
        <f>O10/($P$15*24)</f>
        <v>0</v>
      </c>
      <c r="T10" s="196" t="str">
        <f t="shared" si="2"/>
        <v>Not Satisfactory</v>
      </c>
      <c r="U10" s="209"/>
      <c r="Y10" s="51"/>
    </row>
    <row r="11" spans="1:25" ht="14.4" hidden="1" x14ac:dyDescent="0.3">
      <c r="A11" s="44"/>
      <c r="B11" s="171" t="s">
        <v>361</v>
      </c>
      <c r="C11" s="53" t="str">
        <f>IFERROR(VLOOKUP($B$4,Log!$G:$W,4,0),"")</f>
        <v/>
      </c>
      <c r="D11" s="53" t="str">
        <f>IFERROR(VLOOKUP($B$4,Log!$G:$W,5,0),"")</f>
        <v/>
      </c>
      <c r="E11" s="53" t="str">
        <f>IFERROR(VLOOKUP($B$4,Log!$G:$W,6,0),"")</f>
        <v/>
      </c>
      <c r="F11" s="53" t="str">
        <f>IFERROR(VLOOKUP($B$4,Log!$G:$W,7,0),"")</f>
        <v/>
      </c>
      <c r="G11" s="53" t="str">
        <f>IFERROR(VLOOKUP($B$4,Log!$G:$W,8,0),"")</f>
        <v/>
      </c>
      <c r="H11" s="53" t="str">
        <f>IFERROR(VLOOKUP($B$4,Log!$G:$W,9,0),"")</f>
        <v/>
      </c>
      <c r="I11" s="53" t="str">
        <f>IFERROR(VLOOKUP($B$4,Log!$G:$W,10,0),"")</f>
        <v/>
      </c>
      <c r="J11" s="53" t="str">
        <f>IFERROR(VLOOKUP($B$4,Log!$G:$W,11,0),"")</f>
        <v/>
      </c>
      <c r="K11" s="53" t="str">
        <f>IFERROR(VLOOKUP($B$4,Log!$G:$W,12,0),"")</f>
        <v/>
      </c>
      <c r="L11" s="53" t="str">
        <f>IFERROR(VLOOKUP($B$4,Log!$G:$W,13,0),"")</f>
        <v/>
      </c>
      <c r="M11" s="53" t="str">
        <f>IFERROR(VLOOKUP($B$4,Log!$G:$W,14,0),"")</f>
        <v/>
      </c>
      <c r="N11" s="53" t="str">
        <f>IFERROR(VLOOKUP($B$4,Log!$G:$W,15,0),"")</f>
        <v/>
      </c>
      <c r="O11" s="54">
        <f>SUM(C11:N11)</f>
        <v>0</v>
      </c>
      <c r="P11" s="172">
        <f t="shared" si="0"/>
        <v>0</v>
      </c>
      <c r="Q11" s="233" t="s">
        <v>436</v>
      </c>
      <c r="R11" s="233"/>
      <c r="S11" s="233"/>
      <c r="T11" s="234"/>
      <c r="U11" s="209"/>
    </row>
    <row r="12" spans="1:25" ht="17.55" customHeight="1" x14ac:dyDescent="0.3">
      <c r="A12" s="44"/>
      <c r="B12" s="180" t="s">
        <v>360</v>
      </c>
      <c r="C12" s="75" t="str">
        <f>IFERROR(VLOOKUP($B$4,'FI txn'!$G:$X,4,0),"")</f>
        <v/>
      </c>
      <c r="D12" s="75" t="str">
        <f>IFERROR(VLOOKUP($B$4,'FI txn'!$G:$X,5,0),"")</f>
        <v/>
      </c>
      <c r="E12" s="75" t="str">
        <f>IFERROR(VLOOKUP($B$4,'FI txn'!$G:$X,6,0),"")</f>
        <v/>
      </c>
      <c r="F12" s="75" t="str">
        <f>IFERROR(VLOOKUP($B$4,'FI txn'!$G:$X,7,0),"")</f>
        <v/>
      </c>
      <c r="G12" s="75" t="str">
        <f>IFERROR(VLOOKUP($B$4,'FI txn'!$G:$X,8,0),"")</f>
        <v/>
      </c>
      <c r="H12" s="75" t="str">
        <f>IFERROR(VLOOKUP($B$4,'FI txn'!$G:$X,9,0),"")</f>
        <v/>
      </c>
      <c r="I12" s="75" t="str">
        <f>IFERROR(VLOOKUP($B$4,'FI txn'!$G:$X,10,0),"")</f>
        <v/>
      </c>
      <c r="J12" s="75" t="str">
        <f>IFERROR(VLOOKUP($B$4,'FI txn'!$G:$X,11,0),"")</f>
        <v/>
      </c>
      <c r="K12" s="75" t="str">
        <f>IFERROR(VLOOKUP($B$4,'FI txn'!$G:$X,12,0),"")</f>
        <v/>
      </c>
      <c r="L12" s="75" t="str">
        <f>IFERROR(VLOOKUP($B$4,'FI txn'!$G:$X,13,0),"")</f>
        <v/>
      </c>
      <c r="M12" s="75" t="str">
        <f>IFERROR(VLOOKUP($B$4,'FI txn'!$G:$X,14,0),"")</f>
        <v/>
      </c>
      <c r="N12" s="75" t="str">
        <f>IFERROR(VLOOKUP($B$4,'FI txn'!$G:$X,15,0),"")</f>
        <v/>
      </c>
      <c r="O12" s="177">
        <f>SUM(C12:N12)</f>
        <v>0</v>
      </c>
      <c r="P12" s="179">
        <f t="shared" si="0"/>
        <v>0</v>
      </c>
      <c r="Q12" s="233"/>
      <c r="R12" s="233"/>
      <c r="S12" s="233"/>
      <c r="T12" s="234"/>
      <c r="U12" s="209"/>
    </row>
    <row r="13" spans="1:25" ht="15" thickBot="1" x14ac:dyDescent="0.35">
      <c r="A13" s="44"/>
      <c r="B13" s="181" t="s">
        <v>349</v>
      </c>
      <c r="C13" s="182" t="str">
        <f>IFERROR(C15*80%,"")</f>
        <v/>
      </c>
      <c r="D13" s="182" t="str">
        <f t="shared" ref="D13:N13" si="3">IFERROR(D15*80%,"")</f>
        <v/>
      </c>
      <c r="E13" s="182" t="str">
        <f t="shared" si="3"/>
        <v/>
      </c>
      <c r="F13" s="182" t="str">
        <f t="shared" si="3"/>
        <v/>
      </c>
      <c r="G13" s="182" t="str">
        <f t="shared" si="3"/>
        <v/>
      </c>
      <c r="H13" s="182" t="str">
        <f t="shared" si="3"/>
        <v/>
      </c>
      <c r="I13" s="182" t="str">
        <f t="shared" si="3"/>
        <v/>
      </c>
      <c r="J13" s="182" t="str">
        <f t="shared" si="3"/>
        <v/>
      </c>
      <c r="K13" s="182" t="str">
        <f t="shared" si="3"/>
        <v/>
      </c>
      <c r="L13" s="182" t="str">
        <f t="shared" si="3"/>
        <v/>
      </c>
      <c r="M13" s="182" t="str">
        <f t="shared" si="3"/>
        <v/>
      </c>
      <c r="N13" s="182" t="str">
        <f t="shared" si="3"/>
        <v/>
      </c>
      <c r="O13" s="183">
        <f t="shared" si="1"/>
        <v>0</v>
      </c>
      <c r="P13" s="184" t="str">
        <f>IFERROR(O13/($P$15-1),"")</f>
        <v/>
      </c>
      <c r="Q13" s="235"/>
      <c r="R13" s="235"/>
      <c r="S13" s="235"/>
      <c r="T13" s="236"/>
      <c r="U13" s="209"/>
    </row>
    <row r="14" spans="1:25" ht="14.4" hidden="1" customHeight="1" thickBot="1" x14ac:dyDescent="0.35">
      <c r="A14" s="44"/>
      <c r="B14" s="56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60"/>
      <c r="R14" s="60"/>
      <c r="S14" s="64"/>
      <c r="T14" s="49"/>
      <c r="U14" s="209"/>
    </row>
    <row r="15" spans="1:25" ht="15" hidden="1" thickBot="1" x14ac:dyDescent="0.35">
      <c r="A15" s="44"/>
      <c r="B15" s="57" t="s">
        <v>349</v>
      </c>
      <c r="C15" s="46" t="str">
        <f>IFERROR(VLOOKUP($B$4,Comm!$G:$W,4,0),"")</f>
        <v/>
      </c>
      <c r="D15" s="46" t="str">
        <f>IFERROR(VLOOKUP($B$4,Comm!$G:$W,5,0),"")</f>
        <v/>
      </c>
      <c r="E15" s="46" t="str">
        <f>IFERROR(VLOOKUP($B$4,Comm!$G:$W,6,0),"")</f>
        <v/>
      </c>
      <c r="F15" s="46" t="str">
        <f>IFERROR(VLOOKUP($B$4,Comm!$G:$W,7,0),"")</f>
        <v/>
      </c>
      <c r="G15" s="46" t="str">
        <f>IFERROR(VLOOKUP($B$4,Comm!$G:$W,8,0),"")</f>
        <v/>
      </c>
      <c r="H15" s="46" t="str">
        <f>IFERROR(VLOOKUP($B$4,Comm!$G:$W,9,0),"")</f>
        <v/>
      </c>
      <c r="I15" s="46" t="str">
        <f>IFERROR(VLOOKUP($B$4,Comm!$G:$W,10,0),"")</f>
        <v/>
      </c>
      <c r="J15" s="46" t="str">
        <f>IFERROR(VLOOKUP($B$4,Comm!$G:$W,11,0),"")</f>
        <v/>
      </c>
      <c r="K15" s="46" t="str">
        <f>IFERROR(VLOOKUP($B$4,Comm!$G:$W,12,0),"")</f>
        <v/>
      </c>
      <c r="L15" s="46" t="str">
        <f>IFERROR(VLOOKUP($B$4,Comm!$G:$W,13,0),"")</f>
        <v/>
      </c>
      <c r="M15" s="46" t="str">
        <f>IFERROR(VLOOKUP($B$4,Comm!$G:$W,14,0),"")</f>
        <v/>
      </c>
      <c r="N15" s="46" t="str">
        <f>IFERROR(VLOOKUP($B$4,Comm!$G:$W,15,0),"")</f>
        <v/>
      </c>
      <c r="O15" s="47">
        <f>SUM(C15:N15)</f>
        <v>0</v>
      </c>
      <c r="P15" s="48">
        <f>COUNTIF(C15:N15,"&gt;0")+1</f>
        <v>1</v>
      </c>
      <c r="Q15" s="67"/>
      <c r="R15" s="67"/>
      <c r="S15" s="52"/>
      <c r="U15" s="209"/>
    </row>
    <row r="16" spans="1:25" ht="17.55" customHeight="1" thickBot="1" x14ac:dyDescent="0.35">
      <c r="A16" s="44"/>
      <c r="B16" s="227" t="s">
        <v>346</v>
      </c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9"/>
      <c r="Q16" s="227"/>
      <c r="R16" s="228"/>
      <c r="S16" s="228"/>
      <c r="T16" s="229"/>
      <c r="U16" s="209"/>
    </row>
    <row r="17" spans="1:25" ht="17.55" customHeight="1" thickBot="1" x14ac:dyDescent="0.35">
      <c r="A17" s="44"/>
      <c r="B17" s="175" t="s">
        <v>347</v>
      </c>
      <c r="C17" s="65">
        <v>45748</v>
      </c>
      <c r="D17" s="65">
        <v>45778</v>
      </c>
      <c r="E17" s="65">
        <v>45809</v>
      </c>
      <c r="F17" s="65">
        <v>45839</v>
      </c>
      <c r="G17" s="65">
        <v>45870</v>
      </c>
      <c r="H17" s="65">
        <v>45901</v>
      </c>
      <c r="I17" s="65">
        <v>45931</v>
      </c>
      <c r="J17" s="65">
        <v>45962</v>
      </c>
      <c r="K17" s="65">
        <v>45992</v>
      </c>
      <c r="L17" s="65">
        <v>46023</v>
      </c>
      <c r="M17" s="65">
        <v>46054</v>
      </c>
      <c r="N17" s="65">
        <v>46082</v>
      </c>
      <c r="O17" s="65" t="s">
        <v>269</v>
      </c>
      <c r="P17" s="176" t="s">
        <v>270</v>
      </c>
      <c r="Q17" s="168" t="s">
        <v>280</v>
      </c>
      <c r="R17" s="66" t="s">
        <v>382</v>
      </c>
      <c r="S17" s="65" t="s">
        <v>380</v>
      </c>
      <c r="T17" s="176" t="s">
        <v>381</v>
      </c>
      <c r="U17" s="209"/>
    </row>
    <row r="18" spans="1:25" ht="17.55" customHeight="1" x14ac:dyDescent="0.3">
      <c r="A18" s="44"/>
      <c r="B18" s="171" t="s">
        <v>348</v>
      </c>
      <c r="C18" s="53" t="str">
        <f>IFERROR(VLOOKUP($B$4,[1]EKYC!$E:$W,5,0),"")</f>
        <v/>
      </c>
      <c r="D18" s="53" t="str">
        <f>IFERROR(VLOOKUP($B$4,[1]EKYC!$E:$W,6,0),"")</f>
        <v/>
      </c>
      <c r="E18" s="53" t="str">
        <f>IFERROR(VLOOKUP($B$4,[1]EKYC!$E:$W,7,0),"")</f>
        <v/>
      </c>
      <c r="F18" s="53" t="str">
        <f>IFERROR(VLOOKUP($B$4,[1]EKYC!$E:$W,8,0),"")</f>
        <v/>
      </c>
      <c r="G18" s="53" t="str">
        <f>IFERROR(VLOOKUP($B$4,[1]EKYC!$E:$W,9,0),"")</f>
        <v/>
      </c>
      <c r="H18" s="53" t="str">
        <f>IFERROR(VLOOKUP($B$4,[1]EKYC!$E:$W,10,0),"")</f>
        <v/>
      </c>
      <c r="I18" s="53" t="str">
        <f>IFERROR(VLOOKUP($B$4,[1]EKYC!$E:$W,11,0),"")</f>
        <v/>
      </c>
      <c r="J18" s="53" t="str">
        <f>IFERROR(VLOOKUP($B$4,[1]EKYC!$E:$W,12,0),"")</f>
        <v/>
      </c>
      <c r="K18" s="53" t="str">
        <f>IFERROR(VLOOKUP($B$4,[1]EKYC!$E:$W,13,0),"")</f>
        <v/>
      </c>
      <c r="L18" s="53" t="str">
        <f>IFERROR(VLOOKUP($B$4,[1]EKYC!$E:$W,14,0),"")</f>
        <v/>
      </c>
      <c r="M18" s="53" t="str">
        <f>IFERROR(VLOOKUP($B$4,[1]EKYC!$E:$W,15,0),"")</f>
        <v/>
      </c>
      <c r="N18" s="53" t="str">
        <f>IFERROR(VLOOKUP($B$4,[1]EKYC!$E:$W,16,0),"")</f>
        <v/>
      </c>
      <c r="O18" s="54">
        <f>IFERROR(SUM(C18:N18),"")</f>
        <v>0</v>
      </c>
      <c r="P18" s="172" t="str">
        <f t="shared" ref="P18:P24" si="4">IFERROR(O18/$P$26,"")</f>
        <v/>
      </c>
      <c r="Q18" s="187">
        <f>IFERROR($P$26*30,"")</f>
        <v>0</v>
      </c>
      <c r="R18" s="188">
        <f>Q18-O18</f>
        <v>0</v>
      </c>
      <c r="S18" s="189" t="e">
        <f>O18/($P$26*30)</f>
        <v>#DIV/0!</v>
      </c>
      <c r="T18" s="190" t="str">
        <f>IFERROR(IF(S18&gt;=90%,"Outstanding",IF(S18&gt;=80%,"Excellent",IF(S18&gt;=70%,"Very Good",IF(S18&gt;=60%,"Good",IF(S18&gt;=50%,"Average",IF(S18&gt;=40%,"Below Average",IF(S18&gt;=30%,"Poor",IF(S18&gt;=20%,"Very Poor",IF(S18&lt;=20%,"Not Satisfactory"))))))))),"")</f>
        <v/>
      </c>
      <c r="U18" s="209"/>
    </row>
    <row r="19" spans="1:25" ht="17.55" customHeight="1" x14ac:dyDescent="0.3">
      <c r="A19" s="44"/>
      <c r="B19" s="180" t="s">
        <v>332</v>
      </c>
      <c r="C19" s="75" t="str">
        <f>IFERROR(VLOOKUP($B$4,[1]APY!$F:$X,5,0),"")</f>
        <v/>
      </c>
      <c r="D19" s="75" t="str">
        <f>IFERROR(VLOOKUP($B$4,[1]APY!$F:$X,6,0),"")</f>
        <v/>
      </c>
      <c r="E19" s="75" t="str">
        <f>IFERROR(VLOOKUP($B$4,[1]APY!$F:$X,7,0),"")</f>
        <v/>
      </c>
      <c r="F19" s="75" t="str">
        <f>IFERROR(VLOOKUP($B$4,[1]APY!$F:$X,8,0),"")</f>
        <v/>
      </c>
      <c r="G19" s="75" t="str">
        <f>IFERROR(VLOOKUP($B$4,[1]APY!$F:$X,9,0),"")</f>
        <v/>
      </c>
      <c r="H19" s="75" t="str">
        <f>IFERROR(VLOOKUP($B$4,[1]APY!$F:$X,10,0),"")</f>
        <v/>
      </c>
      <c r="I19" s="75" t="str">
        <f>IFERROR(VLOOKUP($B$4,[1]APY!$F:$X,11,0),"")</f>
        <v/>
      </c>
      <c r="J19" s="75" t="str">
        <f>IFERROR(VLOOKUP($B$4,[1]APY!$F:$X,12,0),"")</f>
        <v/>
      </c>
      <c r="K19" s="75" t="str">
        <f>IFERROR(VLOOKUP($B$4,[1]APY!$F:$X,13,0),"")</f>
        <v/>
      </c>
      <c r="L19" s="75" t="str">
        <f>IFERROR(VLOOKUP($B$4,[1]APY!$F:$X,14,0),"")</f>
        <v/>
      </c>
      <c r="M19" s="75" t="str">
        <f>IFERROR(VLOOKUP($B$4,[1]APY!$F:$X,15,0),"")</f>
        <v/>
      </c>
      <c r="N19" s="75" t="str">
        <f>IFERROR(VLOOKUP($B$4,[1]APY!$F:$X,16,0),"")</f>
        <v/>
      </c>
      <c r="O19" s="177">
        <f>IFERROR(SUM(C19:N19),"")</f>
        <v>0</v>
      </c>
      <c r="P19" s="179" t="str">
        <f t="shared" si="4"/>
        <v/>
      </c>
      <c r="Q19" s="191">
        <f>$P$26*15</f>
        <v>0</v>
      </c>
      <c r="R19" s="185">
        <f>Q19-O19</f>
        <v>0</v>
      </c>
      <c r="S19" s="186" t="e">
        <f>O19/($P$26*15)</f>
        <v>#DIV/0!</v>
      </c>
      <c r="T19" s="192" t="str">
        <f t="shared" ref="T19:T21" si="5">IFERROR(IF(S19&gt;=90%,"Outstanding",IF(S19&gt;=80%,"Excellent",IF(S19&gt;=70%,"Very Good",IF(S19&gt;=60%,"Good",IF(S19&gt;=50%,"Average",IF(S19&gt;=40%,"Below Average",IF(S19&gt;=30%,"Poor",IF(S19&gt;=20%,"Very Poor",IF(S19&lt;=20%,"Not Satisfactory"))))))))),"")</f>
        <v/>
      </c>
      <c r="U19" s="209"/>
    </row>
    <row r="20" spans="1:25" ht="17.55" customHeight="1" x14ac:dyDescent="0.3">
      <c r="A20" s="44"/>
      <c r="B20" s="178" t="s">
        <v>336</v>
      </c>
      <c r="C20" s="75" t="str">
        <f>IFERROR(VLOOKUP($B$4,[1]PMJJBY!$F:$X,5,0),"")</f>
        <v/>
      </c>
      <c r="D20" s="75" t="str">
        <f>IFERROR(VLOOKUP($B$4,[1]PMJJBY!$F:$X,6,0),"")</f>
        <v/>
      </c>
      <c r="E20" s="75" t="str">
        <f>IFERROR(VLOOKUP($B$4,[1]PMJJBY!$F:$X,7,0),"")</f>
        <v/>
      </c>
      <c r="F20" s="75" t="str">
        <f>IFERROR(VLOOKUP($B$4,[1]PMJJBY!$F:$X,8,0),"")</f>
        <v/>
      </c>
      <c r="G20" s="75" t="str">
        <f>IFERROR(VLOOKUP($B$4,[1]PMJJBY!$F:$X,9,0),"")</f>
        <v/>
      </c>
      <c r="H20" s="75" t="str">
        <f>IFERROR(VLOOKUP($B$4,[1]PMJJBY!$F:$X,10,0),"")</f>
        <v/>
      </c>
      <c r="I20" s="75" t="str">
        <f>IFERROR(VLOOKUP($B$4,[1]PMJJBY!$F:$X,11,0),"")</f>
        <v/>
      </c>
      <c r="J20" s="75" t="str">
        <f>IFERROR(VLOOKUP($B$4,[1]PMJJBY!$F:$X,12,0),"")</f>
        <v/>
      </c>
      <c r="K20" s="75" t="str">
        <f>IFERROR(VLOOKUP($B$4,[1]PMJJBY!$F:$X,13,0),"")</f>
        <v/>
      </c>
      <c r="L20" s="75" t="str">
        <f>IFERROR(VLOOKUP($B$4,[1]PMJJBY!$F:$X,14,0),"")</f>
        <v/>
      </c>
      <c r="M20" s="75" t="str">
        <f>IFERROR(VLOOKUP($B$4,[1]PMJJBY!$F:$X,15,0),"")</f>
        <v/>
      </c>
      <c r="N20" s="75" t="str">
        <f>IFERROR(VLOOKUP($B$4,[1]PMJJBY!$F:$X,16,0),"")</f>
        <v/>
      </c>
      <c r="O20" s="177">
        <f t="shared" ref="O20:O24" si="6">IFERROR(SUM(C20:N20),"")</f>
        <v>0</v>
      </c>
      <c r="P20" s="179" t="str">
        <f t="shared" si="4"/>
        <v/>
      </c>
      <c r="Q20" s="191">
        <f>$P$26*12</f>
        <v>0</v>
      </c>
      <c r="R20" s="185">
        <f>Q20-O20</f>
        <v>0</v>
      </c>
      <c r="S20" s="186" t="e">
        <f>O20/($P$26*12)</f>
        <v>#DIV/0!</v>
      </c>
      <c r="T20" s="192" t="str">
        <f t="shared" si="5"/>
        <v/>
      </c>
      <c r="U20" s="209"/>
    </row>
    <row r="21" spans="1:25" ht="17.55" customHeight="1" thickBot="1" x14ac:dyDescent="0.35">
      <c r="A21" s="44"/>
      <c r="B21" s="204" t="s">
        <v>337</v>
      </c>
      <c r="C21" s="205" t="str">
        <f>IFERROR(VLOOKUP($B$4,[1]PMSBY!$F:$X,5,0),"")</f>
        <v/>
      </c>
      <c r="D21" s="205" t="str">
        <f>IFERROR(VLOOKUP($B$4,[1]PMSBY!$F:$X,6,0),"")</f>
        <v/>
      </c>
      <c r="E21" s="205" t="str">
        <f>IFERROR(VLOOKUP($B$4,[1]PMSBY!$F:$X,7,0),"")</f>
        <v/>
      </c>
      <c r="F21" s="205" t="str">
        <f>IFERROR(VLOOKUP($B$4,[1]PMSBY!$F:$X,8,0),"")</f>
        <v/>
      </c>
      <c r="G21" s="205" t="str">
        <f>IFERROR(VLOOKUP($B$4,[1]PMSBY!$F:$X,9,0),"")</f>
        <v/>
      </c>
      <c r="H21" s="205" t="str">
        <f>IFERROR(VLOOKUP($B$4,[1]PMSBY!$F:$X,10,0),"")</f>
        <v/>
      </c>
      <c r="I21" s="205" t="str">
        <f>IFERROR(VLOOKUP($B$4,[1]PMSBY!$F:$X,11,0),"")</f>
        <v/>
      </c>
      <c r="J21" s="205" t="str">
        <f>IFERROR(VLOOKUP($B$4,[1]PMSBY!$F:$X,12,0),"")</f>
        <v/>
      </c>
      <c r="K21" s="205" t="str">
        <f>IFERROR(VLOOKUP($B$4,[1]PMSBY!$F:$X,13,0),"")</f>
        <v/>
      </c>
      <c r="L21" s="205" t="str">
        <f>IFERROR(VLOOKUP($B$4,[1]PMSBY!$F:$X,14,0),"")</f>
        <v/>
      </c>
      <c r="M21" s="205" t="str">
        <f>IFERROR(VLOOKUP($B$4,[1]PMSBY!$F:$X,15,0),"")</f>
        <v/>
      </c>
      <c r="N21" s="205" t="str">
        <f>IFERROR(VLOOKUP($B$4,[1]PMSBY!$F:$X,16,0),"")</f>
        <v/>
      </c>
      <c r="O21" s="206">
        <f t="shared" si="6"/>
        <v>0</v>
      </c>
      <c r="P21" s="207" t="str">
        <f t="shared" si="4"/>
        <v/>
      </c>
      <c r="Q21" s="193">
        <f>$P$26*24</f>
        <v>0</v>
      </c>
      <c r="R21" s="194">
        <f>Q21-O21</f>
        <v>0</v>
      </c>
      <c r="S21" s="195" t="e">
        <f>O21/($P$26*24)</f>
        <v>#DIV/0!</v>
      </c>
      <c r="T21" s="196" t="str">
        <f t="shared" si="5"/>
        <v/>
      </c>
      <c r="U21" s="209"/>
      <c r="Y21" s="51"/>
    </row>
    <row r="22" spans="1:25" ht="14.4" hidden="1" customHeight="1" x14ac:dyDescent="0.3">
      <c r="A22" s="44"/>
      <c r="B22" s="171" t="s">
        <v>361</v>
      </c>
      <c r="C22" s="53" t="str">
        <f>IFERROR(VLOOKUP($B$4,[1]EKYC!$E:$W,5,0),"")</f>
        <v/>
      </c>
      <c r="D22" s="53" t="str">
        <f>IFERROR(VLOOKUP($B$4,[1]EKYC!$E:$W,6,0),"")</f>
        <v/>
      </c>
      <c r="E22" s="53" t="str">
        <f>IFERROR(VLOOKUP($B$4,[1]EKYC!$E:$W,7,0),"")</f>
        <v/>
      </c>
      <c r="F22" s="53" t="str">
        <f>IFERROR(VLOOKUP($B$4,[1]EKYC!$E:$W,8,0),"")</f>
        <v/>
      </c>
      <c r="G22" s="53" t="str">
        <f>IFERROR(VLOOKUP($B$4,[1]EKYC!$E:$W,9,0),"")</f>
        <v/>
      </c>
      <c r="H22" s="53" t="str">
        <f>IFERROR(VLOOKUP($B$4,[1]EKYC!$E:$W,10,0),"")</f>
        <v/>
      </c>
      <c r="I22" s="53" t="str">
        <f>IFERROR(VLOOKUP($B$4,[1]EKYC!$E:$W,11,0),"")</f>
        <v/>
      </c>
      <c r="J22" s="53" t="str">
        <f>IFERROR(VLOOKUP($B$4,[1]EKYC!$E:$W,12,0),"")</f>
        <v/>
      </c>
      <c r="K22" s="53" t="str">
        <f>IFERROR(VLOOKUP($B$4,[1]EKYC!$E:$W,13,0),"")</f>
        <v/>
      </c>
      <c r="L22" s="53" t="str">
        <f>IFERROR(VLOOKUP($B$4,[1]EKYC!$E:$W,14,0),"")</f>
        <v/>
      </c>
      <c r="M22" s="53" t="str">
        <f>IFERROR(VLOOKUP($B$4,[1]EKYC!$E:$W,15,0),"")</f>
        <v/>
      </c>
      <c r="N22" s="53" t="str">
        <f>IFERROR(VLOOKUP($B$4,[1]EKYC!$E:$W,16,0),"")</f>
        <v/>
      </c>
      <c r="O22" s="54">
        <f>IFERROR(SUM(C22:N22),"")</f>
        <v>0</v>
      </c>
      <c r="P22" s="172" t="str">
        <f t="shared" si="4"/>
        <v/>
      </c>
      <c r="Q22" s="233" t="s">
        <v>436</v>
      </c>
      <c r="R22" s="233"/>
      <c r="S22" s="233"/>
      <c r="T22" s="234"/>
      <c r="U22" s="209"/>
    </row>
    <row r="23" spans="1:25" ht="17.55" customHeight="1" x14ac:dyDescent="0.3">
      <c r="A23" s="44"/>
      <c r="B23" s="180" t="s">
        <v>360</v>
      </c>
      <c r="C23" s="75" t="str">
        <f>IFERROR(VLOOKUP($B$4,[1]TXN!$E:$U,3,0),"")</f>
        <v/>
      </c>
      <c r="D23" s="75" t="str">
        <f>IFERROR(VLOOKUP($B$4,[1]TXN!$E:$U,4,0),"")</f>
        <v/>
      </c>
      <c r="E23" s="75" t="str">
        <f>IFERROR(VLOOKUP($B$4,[1]TXN!$E:$U,5,0),"")</f>
        <v/>
      </c>
      <c r="F23" s="75" t="str">
        <f>IFERROR(VLOOKUP($B$4,[1]TXN!$E:$U,6,0),"")</f>
        <v/>
      </c>
      <c r="G23" s="75" t="str">
        <f>IFERROR(VLOOKUP($B$4,[1]TXN!$E:$U,7,0),"")</f>
        <v/>
      </c>
      <c r="H23" s="75" t="str">
        <f>IFERROR(VLOOKUP($B$4,[1]TXN!$E:$U,8,0),"")</f>
        <v/>
      </c>
      <c r="I23" s="75" t="str">
        <f>IFERROR(VLOOKUP($B$4,[1]TXN!$E:$U,9,0),"")</f>
        <v/>
      </c>
      <c r="J23" s="75" t="str">
        <f>IFERROR(VLOOKUP($B$4,[1]TXN!$E:$U,10,0),"")</f>
        <v/>
      </c>
      <c r="K23" s="75" t="str">
        <f>IFERROR(VLOOKUP($B$4,[1]TXN!$E:$U,11,0),"")</f>
        <v/>
      </c>
      <c r="L23" s="75" t="str">
        <f>IFERROR(VLOOKUP($B$4,[1]TXN!$E:$U,12,0),"")</f>
        <v/>
      </c>
      <c r="M23" s="75" t="str">
        <f>IFERROR(VLOOKUP($B$4,[1]TXN!$E:$U,13,0),"")</f>
        <v/>
      </c>
      <c r="N23" s="75" t="str">
        <f>IFERROR(VLOOKUP($B$4,[1]TXN!$E:$U,14,0),"")</f>
        <v/>
      </c>
      <c r="O23" s="177">
        <f>IFERROR(SUM(C23:N23),"")</f>
        <v>0</v>
      </c>
      <c r="P23" s="179" t="str">
        <f t="shared" si="4"/>
        <v/>
      </c>
      <c r="Q23" s="233"/>
      <c r="R23" s="233"/>
      <c r="S23" s="233"/>
      <c r="T23" s="234"/>
      <c r="U23" s="209"/>
    </row>
    <row r="24" spans="1:25" ht="15" thickBot="1" x14ac:dyDescent="0.35">
      <c r="A24" s="44"/>
      <c r="B24" s="181" t="s">
        <v>349</v>
      </c>
      <c r="C24" s="182" t="str">
        <f>IFERROR(C26*80%,"")</f>
        <v/>
      </c>
      <c r="D24" s="182" t="str">
        <f t="shared" ref="D24:N24" si="7">IFERROR(D26*80%,"")</f>
        <v/>
      </c>
      <c r="E24" s="182" t="str">
        <f t="shared" si="7"/>
        <v/>
      </c>
      <c r="F24" s="182" t="str">
        <f t="shared" si="7"/>
        <v/>
      </c>
      <c r="G24" s="182" t="str">
        <f t="shared" si="7"/>
        <v/>
      </c>
      <c r="H24" s="182" t="str">
        <f t="shared" si="7"/>
        <v/>
      </c>
      <c r="I24" s="182" t="str">
        <f t="shared" si="7"/>
        <v/>
      </c>
      <c r="J24" s="182" t="str">
        <f t="shared" si="7"/>
        <v/>
      </c>
      <c r="K24" s="182" t="str">
        <f t="shared" si="7"/>
        <v/>
      </c>
      <c r="L24" s="182" t="str">
        <f t="shared" si="7"/>
        <v/>
      </c>
      <c r="M24" s="182" t="str">
        <f t="shared" si="7"/>
        <v/>
      </c>
      <c r="N24" s="182" t="str">
        <f t="shared" si="7"/>
        <v/>
      </c>
      <c r="O24" s="183">
        <f t="shared" si="6"/>
        <v>0</v>
      </c>
      <c r="P24" s="184" t="str">
        <f t="shared" si="4"/>
        <v/>
      </c>
      <c r="Q24" s="235"/>
      <c r="R24" s="235"/>
      <c r="S24" s="235"/>
      <c r="T24" s="236"/>
      <c r="U24" s="209"/>
    </row>
    <row r="25" spans="1:25" ht="15" hidden="1" thickBot="1" x14ac:dyDescent="0.35"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spans="1:25" ht="15" hidden="1" thickBot="1" x14ac:dyDescent="0.35">
      <c r="A26" s="44"/>
      <c r="B26" s="45" t="s">
        <v>349</v>
      </c>
      <c r="C26" s="46" t="str">
        <f>IFERROR(VLOOKUP($B$4,[1]COMM!$E:$V,4,0),"")</f>
        <v/>
      </c>
      <c r="D26" s="46" t="str">
        <f>IFERROR(VLOOKUP($B$4,[1]COMM!$E:$V,5,0),"")</f>
        <v/>
      </c>
      <c r="E26" s="46" t="str">
        <f>IFERROR(VLOOKUP($B$4,[1]COMM!$E:$V,6,0),"")</f>
        <v/>
      </c>
      <c r="F26" s="46" t="str">
        <f>IFERROR(VLOOKUP($B$4,[1]COMM!$E:$V,7,0),"")</f>
        <v/>
      </c>
      <c r="G26" s="46" t="str">
        <f>IFERROR(VLOOKUP($B$4,[1]COMM!$E:$V,8,0),"")</f>
        <v/>
      </c>
      <c r="H26" s="46" t="str">
        <f>IFERROR(VLOOKUP($B$4,[1]COMM!$E:$V,9,0),"")</f>
        <v/>
      </c>
      <c r="I26" s="46" t="str">
        <f>IFERROR(VLOOKUP($B$4,[1]COMM!$E:$V,10,0),"")</f>
        <v/>
      </c>
      <c r="J26" s="46" t="str">
        <f>IFERROR(VLOOKUP($B$4,[1]COMM!$E:$V,11,0),"")</f>
        <v/>
      </c>
      <c r="K26" s="46" t="str">
        <f>IFERROR(VLOOKUP($B$4,[1]COMM!$E:$V,12,0),"")</f>
        <v/>
      </c>
      <c r="L26" s="46" t="str">
        <f>IFERROR(VLOOKUP($B$4,[1]COMM!$E:$V,13,0),"")</f>
        <v/>
      </c>
      <c r="M26" s="46" t="str">
        <f>IFERROR(VLOOKUP($B$4,[1]COMM!$E:$V,14,0),"")</f>
        <v/>
      </c>
      <c r="N26" s="46" t="str">
        <f>IFERROR(VLOOKUP($B$4,[1]COMM!$E:$V,15,0),"")</f>
        <v/>
      </c>
      <c r="O26" s="47">
        <f>SUM(C26:N26)</f>
        <v>0</v>
      </c>
      <c r="P26" s="48">
        <f>COUNTIF(C26:N26,"&gt;0")</f>
        <v>0</v>
      </c>
      <c r="Q26" s="67"/>
      <c r="R26" s="67"/>
      <c r="U26" s="209"/>
    </row>
    <row r="27" spans="1:25" ht="17.55" customHeight="1" thickBot="1" x14ac:dyDescent="0.35">
      <c r="A27" s="44"/>
      <c r="B27" s="227" t="s">
        <v>359</v>
      </c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9"/>
      <c r="Q27" s="227"/>
      <c r="R27" s="228"/>
      <c r="S27" s="228"/>
      <c r="T27" s="229"/>
      <c r="U27" s="209"/>
    </row>
    <row r="28" spans="1:25" ht="17.55" customHeight="1" thickBot="1" x14ac:dyDescent="0.35">
      <c r="A28" s="44"/>
      <c r="B28" s="175" t="s">
        <v>347</v>
      </c>
      <c r="C28" s="65">
        <v>45383</v>
      </c>
      <c r="D28" s="65">
        <v>45413</v>
      </c>
      <c r="E28" s="65">
        <v>45444</v>
      </c>
      <c r="F28" s="65">
        <v>45474</v>
      </c>
      <c r="G28" s="65">
        <v>45505</v>
      </c>
      <c r="H28" s="65">
        <v>45536</v>
      </c>
      <c r="I28" s="65">
        <v>45566</v>
      </c>
      <c r="J28" s="65">
        <v>45597</v>
      </c>
      <c r="K28" s="65">
        <v>45627</v>
      </c>
      <c r="L28" s="65">
        <v>45658</v>
      </c>
      <c r="M28" s="65">
        <v>45689</v>
      </c>
      <c r="N28" s="65">
        <v>45717</v>
      </c>
      <c r="O28" s="65" t="s">
        <v>269</v>
      </c>
      <c r="P28" s="176" t="s">
        <v>270</v>
      </c>
      <c r="Q28" s="168" t="s">
        <v>280</v>
      </c>
      <c r="R28" s="66" t="s">
        <v>382</v>
      </c>
      <c r="S28" s="65" t="s">
        <v>380</v>
      </c>
      <c r="T28" s="176" t="s">
        <v>381</v>
      </c>
      <c r="U28" s="209"/>
    </row>
    <row r="29" spans="1:25" ht="17.55" customHeight="1" x14ac:dyDescent="0.3">
      <c r="A29" s="44"/>
      <c r="B29" s="171" t="s">
        <v>348</v>
      </c>
      <c r="C29" s="53" t="str">
        <f>IFERROR(VLOOKUP($B$4,[2]AC!$G:$W,4,0),"")</f>
        <v/>
      </c>
      <c r="D29" s="53" t="str">
        <f>IFERROR(VLOOKUP($B$4,[2]AC!$G:$W,5,0),"")</f>
        <v/>
      </c>
      <c r="E29" s="53" t="str">
        <f>IFERROR(VLOOKUP($B$4,[2]AC!$G:$W,6,0),"")</f>
        <v/>
      </c>
      <c r="F29" s="53" t="str">
        <f>IFERROR(VLOOKUP($B$4,[2]AC!$G:$W,7,0),"")</f>
        <v/>
      </c>
      <c r="G29" s="53" t="str">
        <f>IFERROR(VLOOKUP($B$4,[2]AC!$G:$W,8,0),"")</f>
        <v/>
      </c>
      <c r="H29" s="53" t="str">
        <f>IFERROR(VLOOKUP($B$4,[2]AC!$G:$W,9,0),"")</f>
        <v/>
      </c>
      <c r="I29" s="53" t="str">
        <f>IFERROR(VLOOKUP($B$4,[2]AC!$G:$W,10,0),"")</f>
        <v/>
      </c>
      <c r="J29" s="53" t="str">
        <f>IFERROR(VLOOKUP($B$4,[2]AC!$G:$W,11,0),"")</f>
        <v/>
      </c>
      <c r="K29" s="53" t="str">
        <f>IFERROR(VLOOKUP($B$4,[2]AC!$G:$W,12,0),"")</f>
        <v/>
      </c>
      <c r="L29" s="53" t="str">
        <f>IFERROR(VLOOKUP($B$4,[2]AC!$G:$W,13,0),"")</f>
        <v/>
      </c>
      <c r="M29" s="53" t="str">
        <f>IFERROR(VLOOKUP($B$4,[2]AC!$G:$W,14,0),"")</f>
        <v/>
      </c>
      <c r="N29" s="53" t="str">
        <f>IFERROR(VLOOKUP($B$4,[2]AC!$G:$W,15,0),"")</f>
        <v/>
      </c>
      <c r="O29" s="54">
        <f>IFERROR(SUM(C29:N29),"")</f>
        <v>0</v>
      </c>
      <c r="P29" s="172" t="str">
        <f t="shared" ref="P29:P35" si="8">IFERROR(O29/$P$37,"")</f>
        <v/>
      </c>
      <c r="Q29" s="187">
        <f>$P$37*30</f>
        <v>0</v>
      </c>
      <c r="R29" s="188">
        <f>Q29-O29</f>
        <v>0</v>
      </c>
      <c r="S29" s="189" t="e">
        <f>O29/($P$37*30)</f>
        <v>#DIV/0!</v>
      </c>
      <c r="T29" s="190" t="str">
        <f>IFERROR(IF(S29&gt;=90%,"Outstanding",IF(S29&gt;=80%,"Excellent",IF(S29&gt;=70%,"Very Good",IF(S29&gt;=60%,"Good",IF(S29&gt;=50%,"Average",IF(S29&gt;=40%,"Below Average",IF(S29&gt;=30%,"Poor",IF(S29&gt;=20%,"Very Poor",IF(S29&lt;=20%,"Not Satisfactory"))))))))),"")</f>
        <v/>
      </c>
      <c r="U29" s="209"/>
    </row>
    <row r="30" spans="1:25" ht="17.55" customHeight="1" x14ac:dyDescent="0.3">
      <c r="A30" s="44"/>
      <c r="B30" s="180" t="s">
        <v>332</v>
      </c>
      <c r="C30" s="75" t="str">
        <f>IFERROR(VLOOKUP($B$4,[2]APY!$G:$X,5,0),"")</f>
        <v/>
      </c>
      <c r="D30" s="75" t="str">
        <f>IFERROR(VLOOKUP($B$4,[2]APY!$G:$X,6,0),"")</f>
        <v/>
      </c>
      <c r="E30" s="75" t="str">
        <f>IFERROR(VLOOKUP($B$4,[2]APY!$G:$X,7,0),"")</f>
        <v/>
      </c>
      <c r="F30" s="75" t="str">
        <f>IFERROR(VLOOKUP($B$4,[2]APY!$G:$X,8,0),"")</f>
        <v/>
      </c>
      <c r="G30" s="75" t="str">
        <f>IFERROR(VLOOKUP($B$4,[2]APY!$G:$X,9,0),"")</f>
        <v/>
      </c>
      <c r="H30" s="75" t="str">
        <f>IFERROR(VLOOKUP($B$4,[2]APY!$G:$X,10,0),"")</f>
        <v/>
      </c>
      <c r="I30" s="75" t="str">
        <f>IFERROR(VLOOKUP($B$4,[2]APY!$G:$X,11,0),"")</f>
        <v/>
      </c>
      <c r="J30" s="75" t="str">
        <f>IFERROR(VLOOKUP($B$4,[2]APY!$G:$X,12,0),"")</f>
        <v/>
      </c>
      <c r="K30" s="75" t="str">
        <f>IFERROR(VLOOKUP($B$4,[2]APY!$G:$X,13,0),"")</f>
        <v/>
      </c>
      <c r="L30" s="75" t="str">
        <f>IFERROR(VLOOKUP($B$4,[2]APY!$G:$X,14,0),"")</f>
        <v/>
      </c>
      <c r="M30" s="75" t="str">
        <f>IFERROR(VLOOKUP($B$4,[2]APY!$G:$X,15,0),"")</f>
        <v/>
      </c>
      <c r="N30" s="75" t="str">
        <f>IFERROR(VLOOKUP($B$4,[2]APY!$G:$X,16,0),"")</f>
        <v/>
      </c>
      <c r="O30" s="177">
        <f>IFERROR(SUM(C30:N30),"")</f>
        <v>0</v>
      </c>
      <c r="P30" s="179" t="str">
        <f t="shared" si="8"/>
        <v/>
      </c>
      <c r="Q30" s="191">
        <f>$P$37*15</f>
        <v>0</v>
      </c>
      <c r="R30" s="185">
        <f>Q30-O30</f>
        <v>0</v>
      </c>
      <c r="S30" s="186" t="e">
        <f>O30/($P$37*15)</f>
        <v>#DIV/0!</v>
      </c>
      <c r="T30" s="192" t="str">
        <f t="shared" ref="T30:T32" si="9">IFERROR(IF(S30&gt;=90%,"Outstanding",IF(S30&gt;=80%,"Excellent",IF(S30&gt;=70%,"Very Good",IF(S30&gt;=60%,"Good",IF(S30&gt;=50%,"Average",IF(S30&gt;=40%,"Below Average",IF(S30&gt;=30%,"Poor",IF(S30&gt;=20%,"Very Poor",IF(S30&lt;=20%,"Not Satisfactory"))))))))),"")</f>
        <v/>
      </c>
      <c r="U30" s="209"/>
    </row>
    <row r="31" spans="1:25" ht="17.55" customHeight="1" x14ac:dyDescent="0.3">
      <c r="A31" s="44"/>
      <c r="B31" s="178" t="s">
        <v>336</v>
      </c>
      <c r="C31" s="75" t="str">
        <f>IFERROR(VLOOKUP($B$4,[2]JJBY!$G:$X,5,0),"")</f>
        <v/>
      </c>
      <c r="D31" s="75" t="str">
        <f>IFERROR(VLOOKUP($B$4,[2]JJBY!$G:$X,6,0),"")</f>
        <v/>
      </c>
      <c r="E31" s="75" t="str">
        <f>IFERROR(VLOOKUP($B$4,[2]JJBY!$G:$X,7,0),"")</f>
        <v/>
      </c>
      <c r="F31" s="75" t="str">
        <f>IFERROR(VLOOKUP($B$4,[2]JJBY!$G:$X,8,0),"")</f>
        <v/>
      </c>
      <c r="G31" s="75" t="str">
        <f>IFERROR(VLOOKUP($B$4,[2]JJBY!$G:$X,9,0),"")</f>
        <v/>
      </c>
      <c r="H31" s="75" t="str">
        <f>IFERROR(VLOOKUP($B$4,[2]JJBY!$G:$X,10,0),"")</f>
        <v/>
      </c>
      <c r="I31" s="75" t="str">
        <f>IFERROR(VLOOKUP($B$4,[2]JJBY!$G:$X,11,0),"")</f>
        <v/>
      </c>
      <c r="J31" s="75" t="str">
        <f>IFERROR(VLOOKUP($B$4,[2]JJBY!$G:$X,12,0),"")</f>
        <v/>
      </c>
      <c r="K31" s="75" t="str">
        <f>IFERROR(VLOOKUP($B$4,[2]JJBY!$G:$X,13,0),"")</f>
        <v/>
      </c>
      <c r="L31" s="75" t="str">
        <f>IFERROR(VLOOKUP($B$4,[2]JJBY!$G:$X,14,0),"")</f>
        <v/>
      </c>
      <c r="M31" s="75" t="str">
        <f>IFERROR(VLOOKUP($B$4,[2]JJBY!$G:$X,15,0),"")</f>
        <v/>
      </c>
      <c r="N31" s="75" t="str">
        <f>IFERROR(VLOOKUP($B$4,[2]JJBY!$G:$X,16,0),"")</f>
        <v/>
      </c>
      <c r="O31" s="177">
        <f t="shared" ref="O31:O35" si="10">IFERROR(SUM(C31:N31),"")</f>
        <v>0</v>
      </c>
      <c r="P31" s="179" t="str">
        <f t="shared" si="8"/>
        <v/>
      </c>
      <c r="Q31" s="191">
        <f>$P$37*12</f>
        <v>0</v>
      </c>
      <c r="R31" s="185">
        <f>Q31-O31</f>
        <v>0</v>
      </c>
      <c r="S31" s="186" t="e">
        <f>O31/($P$37*12)</f>
        <v>#DIV/0!</v>
      </c>
      <c r="T31" s="192" t="str">
        <f t="shared" si="9"/>
        <v/>
      </c>
      <c r="U31" s="209"/>
    </row>
    <row r="32" spans="1:25" ht="17.55" customHeight="1" thickBot="1" x14ac:dyDescent="0.35">
      <c r="A32" s="44"/>
      <c r="B32" s="204" t="s">
        <v>337</v>
      </c>
      <c r="C32" s="205" t="str">
        <f>IFERROR(VLOOKUP($B$4,[2]SBY!$G:$X,5,0),"")</f>
        <v/>
      </c>
      <c r="D32" s="205" t="str">
        <f>IFERROR(VLOOKUP($B$4,[2]SBY!$G:$X,6,0),"")</f>
        <v/>
      </c>
      <c r="E32" s="205" t="str">
        <f>IFERROR(VLOOKUP($B$4,[2]SBY!$G:$X,7,0),"")</f>
        <v/>
      </c>
      <c r="F32" s="205" t="str">
        <f>IFERROR(VLOOKUP($B$4,[2]SBY!$G:$X,8,0),"")</f>
        <v/>
      </c>
      <c r="G32" s="205" t="str">
        <f>IFERROR(VLOOKUP($B$4,[2]SBY!$G:$X,9,0),"")</f>
        <v/>
      </c>
      <c r="H32" s="205" t="str">
        <f>IFERROR(VLOOKUP($B$4,[2]SBY!$G:$X,10,0),"")</f>
        <v/>
      </c>
      <c r="I32" s="205" t="str">
        <f>IFERROR(VLOOKUP($B$4,[2]SBY!$G:$X,11,0),"")</f>
        <v/>
      </c>
      <c r="J32" s="205" t="str">
        <f>IFERROR(VLOOKUP($B$4,[2]SBY!$G:$X,12,0),"")</f>
        <v/>
      </c>
      <c r="K32" s="205" t="str">
        <f>IFERROR(VLOOKUP($B$4,[2]SBY!$G:$X,13,0),"")</f>
        <v/>
      </c>
      <c r="L32" s="205" t="str">
        <f>IFERROR(VLOOKUP($B$4,[2]SBY!$G:$X,14,0),"")</f>
        <v/>
      </c>
      <c r="M32" s="205" t="str">
        <f>IFERROR(VLOOKUP($B$4,[2]SBY!$G:$X,15,0),"")</f>
        <v/>
      </c>
      <c r="N32" s="205" t="str">
        <f>IFERROR(VLOOKUP($B$4,[2]SBY!$G:$X,16,0),"")</f>
        <v/>
      </c>
      <c r="O32" s="206">
        <f t="shared" si="10"/>
        <v>0</v>
      </c>
      <c r="P32" s="207" t="str">
        <f t="shared" si="8"/>
        <v/>
      </c>
      <c r="Q32" s="193">
        <f>$P$37*24</f>
        <v>0</v>
      </c>
      <c r="R32" s="194">
        <f>Q32-O32</f>
        <v>0</v>
      </c>
      <c r="S32" s="195" t="e">
        <f>O32/($P$37*24)</f>
        <v>#DIV/0!</v>
      </c>
      <c r="T32" s="196" t="str">
        <f t="shared" si="9"/>
        <v/>
      </c>
      <c r="U32" s="209"/>
      <c r="Y32" s="51"/>
    </row>
    <row r="33" spans="1:21" ht="14.4" hidden="1" customHeight="1" x14ac:dyDescent="0.3">
      <c r="A33" s="44"/>
      <c r="B33" s="171" t="s">
        <v>361</v>
      </c>
      <c r="C33" s="53" t="str">
        <f>IFERROR(VLOOKUP($B$4,[2]Log!$G:$V,3,0),"")</f>
        <v/>
      </c>
      <c r="D33" s="53" t="str">
        <f>IFERROR(VLOOKUP($B$4,[2]Log!$G:$V,4,0),"")</f>
        <v/>
      </c>
      <c r="E33" s="53"/>
      <c r="F33" s="53" t="str">
        <f>IFERROR(VLOOKUP($B$4,[2]Log!$G:$V,6,0),"")</f>
        <v/>
      </c>
      <c r="G33" s="53" t="str">
        <f>IFERROR(VLOOKUP($B$4,[2]Log!$G:$V,7,0),"")</f>
        <v/>
      </c>
      <c r="H33" s="53" t="str">
        <f>IFERROR(VLOOKUP($B$4,[2]Log!$G:$V,8,0),"")</f>
        <v/>
      </c>
      <c r="I33" s="53" t="str">
        <f>IFERROR(VLOOKUP($B$4,[2]Log!$G:$V,9,0),"")</f>
        <v/>
      </c>
      <c r="J33" s="53" t="str">
        <f>IFERROR(VLOOKUP($B$4,[2]Log!$G:$V,10,0),"")</f>
        <v/>
      </c>
      <c r="K33" s="53" t="str">
        <f>IFERROR(VLOOKUP($B$4,[2]Log!$G:$V,11,0),"")</f>
        <v/>
      </c>
      <c r="L33" s="53" t="str">
        <f>IFERROR(VLOOKUP($B$4,[2]Log!$G:$V,12,0),"")</f>
        <v/>
      </c>
      <c r="M33" s="53" t="str">
        <f>IFERROR(VLOOKUP($B$4,[2]Log!$G:$V,13,0),"")</f>
        <v/>
      </c>
      <c r="N33" s="53" t="str">
        <f>IFERROR(VLOOKUP($B$4,[2]Log!$G:$V,14,0),"")</f>
        <v/>
      </c>
      <c r="O33" s="54">
        <f>SUM(C33:N33)</f>
        <v>0</v>
      </c>
      <c r="P33" s="172" t="str">
        <f t="shared" si="8"/>
        <v/>
      </c>
      <c r="Q33" s="233" t="s">
        <v>436</v>
      </c>
      <c r="R33" s="233"/>
      <c r="S33" s="233"/>
      <c r="T33" s="234"/>
      <c r="U33" s="209"/>
    </row>
    <row r="34" spans="1:21" ht="17.55" customHeight="1" x14ac:dyDescent="0.3">
      <c r="A34" s="44"/>
      <c r="B34" s="180" t="s">
        <v>360</v>
      </c>
      <c r="C34" s="75" t="str">
        <f>IFERROR(VLOOKUP($B$4,'[2]FI txn'!$G:$W,3,0),"")</f>
        <v/>
      </c>
      <c r="D34" s="75" t="str">
        <f>IFERROR(VLOOKUP($B$4,'[2]FI txn'!$G:$W,4,0),"")</f>
        <v/>
      </c>
      <c r="E34" s="75" t="str">
        <f>IFERROR(VLOOKUP($B$4,'[2]FI txn'!$G:$W,5,0),"")</f>
        <v/>
      </c>
      <c r="F34" s="75" t="str">
        <f>IFERROR(VLOOKUP($B$4,'[2]FI txn'!$G:$W,6,0),"")</f>
        <v/>
      </c>
      <c r="G34" s="75" t="str">
        <f>IFERROR(VLOOKUP($B$4,'[2]FI txn'!$G:$W,7,0),"")</f>
        <v/>
      </c>
      <c r="H34" s="75" t="str">
        <f>IFERROR(VLOOKUP($B$4,'[2]FI txn'!$G:$W,8,0),"")</f>
        <v/>
      </c>
      <c r="I34" s="75" t="str">
        <f>IFERROR(VLOOKUP($B$4,'[2]FI txn'!$G:$W,9,0),"")</f>
        <v/>
      </c>
      <c r="J34" s="75" t="str">
        <f>IFERROR(VLOOKUP($B$4,'[2]FI txn'!$G:$W,10,0),"")</f>
        <v/>
      </c>
      <c r="K34" s="75" t="str">
        <f>IFERROR(VLOOKUP($B$4,'[2]FI txn'!$G:$W,11,0),"")</f>
        <v/>
      </c>
      <c r="L34" s="75" t="str">
        <f>IFERROR(VLOOKUP($B$4,'[2]FI txn'!$G:$W,12,0),"")</f>
        <v/>
      </c>
      <c r="M34" s="75" t="str">
        <f>IFERROR(VLOOKUP($B$4,'[2]FI txn'!$G:$W,13,0),"")</f>
        <v/>
      </c>
      <c r="N34" s="75" t="str">
        <f>IFERROR(VLOOKUP($B$4,'[2]FI txn'!$G:$W,14,0),"")</f>
        <v/>
      </c>
      <c r="O34" s="177">
        <f>SUM(C34:N34)</f>
        <v>0</v>
      </c>
      <c r="P34" s="179" t="str">
        <f t="shared" si="8"/>
        <v/>
      </c>
      <c r="Q34" s="233"/>
      <c r="R34" s="233"/>
      <c r="S34" s="233"/>
      <c r="T34" s="234"/>
      <c r="U34" s="209"/>
    </row>
    <row r="35" spans="1:21" ht="15" thickBot="1" x14ac:dyDescent="0.35">
      <c r="A35" s="44"/>
      <c r="B35" s="181" t="s">
        <v>349</v>
      </c>
      <c r="C35" s="182" t="str">
        <f>IFERROR(C37*80%,"")</f>
        <v/>
      </c>
      <c r="D35" s="182" t="str">
        <f t="shared" ref="D35:N35" si="11">IFERROR(D37*80%,"")</f>
        <v/>
      </c>
      <c r="E35" s="182" t="str">
        <f t="shared" si="11"/>
        <v/>
      </c>
      <c r="F35" s="182" t="str">
        <f t="shared" si="11"/>
        <v/>
      </c>
      <c r="G35" s="182" t="str">
        <f t="shared" si="11"/>
        <v/>
      </c>
      <c r="H35" s="182" t="str">
        <f t="shared" si="11"/>
        <v/>
      </c>
      <c r="I35" s="182" t="str">
        <f t="shared" si="11"/>
        <v/>
      </c>
      <c r="J35" s="182" t="str">
        <f t="shared" si="11"/>
        <v/>
      </c>
      <c r="K35" s="182" t="str">
        <f t="shared" si="11"/>
        <v/>
      </c>
      <c r="L35" s="182" t="str">
        <f t="shared" si="11"/>
        <v/>
      </c>
      <c r="M35" s="182" t="str">
        <f t="shared" si="11"/>
        <v/>
      </c>
      <c r="N35" s="182" t="str">
        <f t="shared" si="11"/>
        <v/>
      </c>
      <c r="O35" s="183">
        <f t="shared" si="10"/>
        <v>0</v>
      </c>
      <c r="P35" s="184" t="str">
        <f t="shared" si="8"/>
        <v/>
      </c>
      <c r="Q35" s="235"/>
      <c r="R35" s="235"/>
      <c r="S35" s="235"/>
      <c r="T35" s="236"/>
      <c r="U35" s="209"/>
    </row>
    <row r="36" spans="1:21" ht="17.55" hidden="1" customHeight="1" thickBot="1" x14ac:dyDescent="0.35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spans="1:21" ht="14.4" hidden="1" x14ac:dyDescent="0.3">
      <c r="A37" s="44"/>
      <c r="B37" s="45" t="s">
        <v>349</v>
      </c>
      <c r="C37" s="46" t="str">
        <f>IFERROR(VLOOKUP($B$4,[2]Comm!$G:$W,4,0),"")</f>
        <v/>
      </c>
      <c r="D37" s="46" t="str">
        <f>IFERROR(VLOOKUP($B$4,[2]Comm!$G:$W,5,0),"")</f>
        <v/>
      </c>
      <c r="E37" s="46" t="str">
        <f>IFERROR(VLOOKUP($B$4,[2]Comm!$G:$W,6,0),"")</f>
        <v/>
      </c>
      <c r="F37" s="46" t="str">
        <f>IFERROR(VLOOKUP($B$4,[2]Comm!$G:$W,7,0),"")</f>
        <v/>
      </c>
      <c r="G37" s="46" t="str">
        <f>IFERROR(VLOOKUP($B$4,[2]Comm!$G:$W,8,0),"")</f>
        <v/>
      </c>
      <c r="H37" s="46" t="str">
        <f>IFERROR(VLOOKUP($B$4,[2]Comm!$G:$W,9,0),"")</f>
        <v/>
      </c>
      <c r="I37" s="46" t="str">
        <f>IFERROR(VLOOKUP($B$4,[2]Comm!$G:$W,10,0),"")</f>
        <v/>
      </c>
      <c r="J37" s="46" t="str">
        <f>IFERROR(VLOOKUP($B$4,[2]Comm!$G:$W,11,0),"")</f>
        <v/>
      </c>
      <c r="K37" s="46" t="str">
        <f>IFERROR(VLOOKUP($B$4,[2]Comm!$G:$W,12,0),"")</f>
        <v/>
      </c>
      <c r="L37" s="46" t="str">
        <f>IFERROR(VLOOKUP($B$4,[2]Comm!$G:$W,13,0),"")</f>
        <v/>
      </c>
      <c r="M37" s="46" t="str">
        <f>IFERROR(VLOOKUP($B$4,[2]Comm!$G:$W,14,0),"")</f>
        <v/>
      </c>
      <c r="N37" s="46" t="str">
        <f>IFERROR(VLOOKUP($B$4,[2]Comm!$G:$W,15,0),"")</f>
        <v/>
      </c>
      <c r="O37" s="47">
        <f>SUM(C37:N37)</f>
        <v>0</v>
      </c>
      <c r="P37" s="48">
        <f>COUNTIF(C37:N37,"&gt;0")</f>
        <v>0</v>
      </c>
      <c r="Q37" s="67"/>
      <c r="R37" s="67"/>
      <c r="U37" s="209"/>
    </row>
  </sheetData>
  <mergeCells count="21">
    <mergeCell ref="C4:F4"/>
    <mergeCell ref="C3:F3"/>
    <mergeCell ref="M4:O4"/>
    <mergeCell ref="M3:O3"/>
    <mergeCell ref="B2:P2"/>
    <mergeCell ref="B27:P27"/>
    <mergeCell ref="Q27:T27"/>
    <mergeCell ref="Q2:T2"/>
    <mergeCell ref="Q33:T35"/>
    <mergeCell ref="Q3:T3"/>
    <mergeCell ref="Q4:T4"/>
    <mergeCell ref="K3:L3"/>
    <mergeCell ref="K4:L4"/>
    <mergeCell ref="G4:J4"/>
    <mergeCell ref="G3:J3"/>
    <mergeCell ref="Q11:T13"/>
    <mergeCell ref="Q22:T24"/>
    <mergeCell ref="B16:P16"/>
    <mergeCell ref="B5:P5"/>
    <mergeCell ref="Q5:T5"/>
    <mergeCell ref="Q16:T16"/>
  </mergeCells>
  <conditionalFormatting sqref="C7:N7">
    <cfRule type="cellIs" dxfId="275" priority="21" operator="greaterThan">
      <formula>$P$7</formula>
    </cfRule>
  </conditionalFormatting>
  <conditionalFormatting sqref="C8:N8">
    <cfRule type="cellIs" dxfId="274" priority="20" operator="greaterThan">
      <formula>$P$8</formula>
    </cfRule>
  </conditionalFormatting>
  <conditionalFormatting sqref="C9:N9">
    <cfRule type="cellIs" dxfId="273" priority="19" operator="greaterThan">
      <formula>$P$9</formula>
    </cfRule>
  </conditionalFormatting>
  <conditionalFormatting sqref="C10:N10">
    <cfRule type="cellIs" dxfId="272" priority="18" operator="greaterThan">
      <formula>$P$10</formula>
    </cfRule>
  </conditionalFormatting>
  <conditionalFormatting sqref="C11:N11">
    <cfRule type="cellIs" dxfId="271" priority="17" operator="greaterThan">
      <formula>$P$11</formula>
    </cfRule>
  </conditionalFormatting>
  <conditionalFormatting sqref="C12:N12">
    <cfRule type="cellIs" dxfId="270" priority="16" operator="greaterThan">
      <formula>$P$12</formula>
    </cfRule>
  </conditionalFormatting>
  <conditionalFormatting sqref="C13:N13">
    <cfRule type="cellIs" dxfId="269" priority="15" operator="greaterThan">
      <formula>$P$13</formula>
    </cfRule>
  </conditionalFormatting>
  <conditionalFormatting sqref="C18:N18">
    <cfRule type="cellIs" dxfId="268" priority="14" operator="greaterThan">
      <formula>$P$18</formula>
    </cfRule>
  </conditionalFormatting>
  <conditionalFormatting sqref="C19:N19">
    <cfRule type="cellIs" dxfId="267" priority="13" operator="greaterThan">
      <formula>$P$19</formula>
    </cfRule>
  </conditionalFormatting>
  <conditionalFormatting sqref="C20:N20">
    <cfRule type="cellIs" dxfId="266" priority="12" operator="greaterThan">
      <formula>$P$20</formula>
    </cfRule>
  </conditionalFormatting>
  <conditionalFormatting sqref="C21:N21">
    <cfRule type="cellIs" dxfId="265" priority="11" operator="greaterThan">
      <formula>$P$21</formula>
    </cfRule>
  </conditionalFormatting>
  <conditionalFormatting sqref="C22:N22">
    <cfRule type="cellIs" dxfId="264" priority="10" operator="greaterThan">
      <formula>$P$22</formula>
    </cfRule>
  </conditionalFormatting>
  <conditionalFormatting sqref="C23:N23">
    <cfRule type="cellIs" dxfId="263" priority="9" operator="greaterThan">
      <formula>$P$23</formula>
    </cfRule>
  </conditionalFormatting>
  <conditionalFormatting sqref="C24:N24">
    <cfRule type="cellIs" dxfId="262" priority="8" operator="greaterThan">
      <formula>$P$24</formula>
    </cfRule>
  </conditionalFormatting>
  <conditionalFormatting sqref="C29:N29">
    <cfRule type="cellIs" dxfId="261" priority="7" operator="greaterThan">
      <formula>$P$29</formula>
    </cfRule>
  </conditionalFormatting>
  <conditionalFormatting sqref="C30:N30">
    <cfRule type="cellIs" dxfId="260" priority="6" operator="greaterThan">
      <formula>$P$30</formula>
    </cfRule>
  </conditionalFormatting>
  <conditionalFormatting sqref="C31:N31">
    <cfRule type="cellIs" dxfId="259" priority="5" operator="greaterThan">
      <formula>$P$31</formula>
    </cfRule>
  </conditionalFormatting>
  <conditionalFormatting sqref="C32:N32">
    <cfRule type="cellIs" dxfId="258" priority="4" operator="greaterThan">
      <formula>$P$32</formula>
    </cfRule>
  </conditionalFormatting>
  <conditionalFormatting sqref="C33:N33">
    <cfRule type="cellIs" dxfId="257" priority="3" operator="greaterThan">
      <formula>$P$33</formula>
    </cfRule>
  </conditionalFormatting>
  <conditionalFormatting sqref="C34:N34">
    <cfRule type="cellIs" dxfId="256" priority="2" operator="greaterThan">
      <formula>$P$34</formula>
    </cfRule>
  </conditionalFormatting>
  <conditionalFormatting sqref="C35:N35">
    <cfRule type="cellIs" dxfId="255" priority="1" operator="greaterThan">
      <formula>$P$35</formula>
    </cfRule>
  </conditionalFormatting>
  <conditionalFormatting sqref="Q4:R4">
    <cfRule type="containsText" dxfId="254" priority="104" operator="containsText" text="Not Satisfactory">
      <formula>NOT(ISERROR(SEARCH("Not Satisfactory",Q4)))</formula>
    </cfRule>
    <cfRule type="containsText" dxfId="253" priority="105" operator="containsText" text="Poor">
      <formula>NOT(ISERROR(SEARCH("Poor",Q4)))</formula>
    </cfRule>
    <cfRule type="containsText" dxfId="252" priority="106" operator="containsText" text="Average">
      <formula>NOT(ISERROR(SEARCH("Average",Q4)))</formula>
    </cfRule>
    <cfRule type="containsText" dxfId="251" priority="107" operator="containsText" text="Good">
      <formula>NOT(ISERROR(SEARCH("Good",Q4)))</formula>
    </cfRule>
    <cfRule type="containsText" dxfId="250" priority="108" operator="containsText" text="Very Good">
      <formula>NOT(ISERROR(SEARCH("Very Good",Q4)))</formula>
    </cfRule>
    <cfRule type="containsText" dxfId="249" priority="109" operator="containsText" text="Excellent">
      <formula>NOT(ISERROR(SEARCH("Excellent",Q4)))</formula>
    </cfRule>
    <cfRule type="containsText" dxfId="248" priority="110" operator="containsText" text="Outstanding">
      <formula>NOT(ISERROR(SEARCH("Outstanding",Q4)))</formula>
    </cfRule>
  </conditionalFormatting>
  <conditionalFormatting sqref="T7:T10">
    <cfRule type="containsText" dxfId="247" priority="125" operator="containsText" text="Not Satisfactory">
      <formula>NOT(ISERROR(SEARCH("Not Satisfactory",T7)))</formula>
    </cfRule>
    <cfRule type="containsText" dxfId="246" priority="126" operator="containsText" text="Poor">
      <formula>NOT(ISERROR(SEARCH("Poor",T7)))</formula>
    </cfRule>
    <cfRule type="containsText" dxfId="245" priority="127" operator="containsText" text="Average">
      <formula>NOT(ISERROR(SEARCH("Average",T7)))</formula>
    </cfRule>
    <cfRule type="containsText" dxfId="244" priority="128" operator="containsText" text="Good">
      <formula>NOT(ISERROR(SEARCH("Good",T7)))</formula>
    </cfRule>
    <cfRule type="containsText" dxfId="243" priority="129" operator="containsText" text="Very Good">
      <formula>NOT(ISERROR(SEARCH("Very Good",T7)))</formula>
    </cfRule>
    <cfRule type="containsText" dxfId="242" priority="130" operator="containsText" text="Excellent">
      <formula>NOT(ISERROR(SEARCH("Excellent",T7)))</formula>
    </cfRule>
    <cfRule type="containsText" dxfId="241" priority="131" operator="containsText" text="Outstanding">
      <formula>NOT(ISERROR(SEARCH("Outstanding",T7)))</formula>
    </cfRule>
  </conditionalFormatting>
  <conditionalFormatting sqref="T18:T21">
    <cfRule type="containsText" dxfId="240" priority="43" operator="containsText" text="Not Satisfactory">
      <formula>NOT(ISERROR(SEARCH("Not Satisfactory",T18)))</formula>
    </cfRule>
    <cfRule type="containsText" dxfId="239" priority="44" operator="containsText" text="Poor">
      <formula>NOT(ISERROR(SEARCH("Poor",T18)))</formula>
    </cfRule>
    <cfRule type="containsText" dxfId="238" priority="45" operator="containsText" text="Average">
      <formula>NOT(ISERROR(SEARCH("Average",T18)))</formula>
    </cfRule>
    <cfRule type="containsText" dxfId="237" priority="46" operator="containsText" text="Good">
      <formula>NOT(ISERROR(SEARCH("Good",T18)))</formula>
    </cfRule>
    <cfRule type="containsText" dxfId="236" priority="47" operator="containsText" text="Very Good">
      <formula>NOT(ISERROR(SEARCH("Very Good",T18)))</formula>
    </cfRule>
    <cfRule type="containsText" dxfId="235" priority="48" operator="containsText" text="Excellent">
      <formula>NOT(ISERROR(SEARCH("Excellent",T18)))</formula>
    </cfRule>
    <cfRule type="containsText" dxfId="234" priority="49" operator="containsText" text="Outstanding">
      <formula>NOT(ISERROR(SEARCH("Outstanding",T18)))</formula>
    </cfRule>
  </conditionalFormatting>
  <conditionalFormatting sqref="T29:T32">
    <cfRule type="containsText" dxfId="233" priority="29" operator="containsText" text="Not Satisfactory">
      <formula>NOT(ISERROR(SEARCH("Not Satisfactory",T29)))</formula>
    </cfRule>
    <cfRule type="containsText" dxfId="232" priority="30" operator="containsText" text="Poor">
      <formula>NOT(ISERROR(SEARCH("Poor",T29)))</formula>
    </cfRule>
    <cfRule type="containsText" dxfId="231" priority="31" operator="containsText" text="Average">
      <formula>NOT(ISERROR(SEARCH("Average",T29)))</formula>
    </cfRule>
    <cfRule type="containsText" dxfId="230" priority="32" operator="containsText" text="Good">
      <formula>NOT(ISERROR(SEARCH("Good",T29)))</formula>
    </cfRule>
    <cfRule type="containsText" dxfId="229" priority="33" operator="containsText" text="Very Good">
      <formula>NOT(ISERROR(SEARCH("Very Good",T29)))</formula>
    </cfRule>
    <cfRule type="containsText" dxfId="228" priority="34" operator="containsText" text="Excellent">
      <formula>NOT(ISERROR(SEARCH("Excellent",T29)))</formula>
    </cfRule>
    <cfRule type="containsText" dxfId="227" priority="35" operator="containsText" text="Outstanding">
      <formula>NOT(ISERROR(SEARCH("Outstanding",T29)))</formula>
    </cfRule>
  </conditionalFormatting>
  <pageMargins left="0.19685039370078741" right="0.19685039370078741" top="0.74803149606299213" bottom="0.74803149606299213" header="0.31496062992125984" footer="0.31496062992125984"/>
  <pageSetup paperSize="9" scale="8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17A1-E6DD-4B5D-BCF6-6E4AB9722973}">
  <sheetPr>
    <pageSetUpPr fitToPage="1"/>
  </sheetPr>
  <dimension ref="A1:W42"/>
  <sheetViews>
    <sheetView showGridLines="0" workbookViewId="0">
      <selection activeCell="W16" sqref="W16"/>
    </sheetView>
  </sheetViews>
  <sheetFormatPr defaultColWidth="8.44140625" defaultRowHeight="14.4" x14ac:dyDescent="0.3"/>
  <cols>
    <col min="1" max="1" width="2.88671875" style="2" customWidth="1"/>
    <col min="2" max="2" width="11.33203125" style="2" bestFit="1" customWidth="1"/>
    <col min="3" max="3" width="5.33203125" style="2" bestFit="1" customWidth="1"/>
    <col min="4" max="4" width="6.21875" style="2" bestFit="1" customWidth="1"/>
    <col min="5" max="5" width="7.6640625" style="2" bestFit="1" customWidth="1"/>
    <col min="6" max="6" width="8.5546875" style="2" bestFit="1" customWidth="1"/>
    <col min="7" max="7" width="6.6640625" style="2" bestFit="1" customWidth="1"/>
    <col min="8" max="8" width="7.44140625" style="2" bestFit="1" customWidth="1"/>
    <col min="9" max="9" width="6.5546875" style="2" bestFit="1" customWidth="1"/>
    <col min="10" max="10" width="6.33203125" style="2" bestFit="1" customWidth="1"/>
    <col min="11" max="11" width="7" style="2" bestFit="1" customWidth="1"/>
    <col min="12" max="12" width="6.77734375" style="2" bestFit="1" customWidth="1"/>
    <col min="13" max="13" width="6.5546875" style="2" hidden="1" customWidth="1"/>
    <col min="14" max="14" width="7.109375" style="2" hidden="1" customWidth="1"/>
    <col min="15" max="15" width="6.77734375" style="2" hidden="1" customWidth="1"/>
    <col min="16" max="16" width="6.44140625" style="2" hidden="1" customWidth="1"/>
    <col min="17" max="17" width="6.6640625" style="2" hidden="1" customWidth="1"/>
    <col min="18" max="18" width="7.109375" style="2" hidden="1" customWidth="1"/>
    <col min="19" max="19" width="11.5546875" style="2" customWidth="1"/>
    <col min="20" max="20" width="2.88671875" style="2" customWidth="1"/>
    <col min="21" max="21" width="6.44140625" style="2" bestFit="1" customWidth="1"/>
    <col min="22" max="22" width="8.44140625" style="2"/>
    <col min="23" max="23" width="8.88671875" style="2" bestFit="1" customWidth="1"/>
    <col min="24" max="16384" width="8.44140625" style="2"/>
  </cols>
  <sheetData>
    <row r="1" spans="1:23" x14ac:dyDescent="0.3">
      <c r="A1" s="94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23" x14ac:dyDescent="0.3">
      <c r="A2" s="97"/>
      <c r="B2" s="219" t="s">
        <v>393</v>
      </c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1"/>
      <c r="Q2" s="81" t="s">
        <v>394</v>
      </c>
      <c r="R2" s="257">
        <f ca="1">TODAY()-1</f>
        <v>46271</v>
      </c>
      <c r="S2" s="258"/>
      <c r="T2" s="98"/>
    </row>
    <row r="3" spans="1:23" s="37" customFormat="1" ht="28.8" x14ac:dyDescent="0.3">
      <c r="A3" s="99"/>
      <c r="B3" s="68" t="s">
        <v>272</v>
      </c>
      <c r="C3" s="16" t="s">
        <v>287</v>
      </c>
      <c r="D3" s="16" t="s">
        <v>392</v>
      </c>
      <c r="E3" s="16" t="s">
        <v>395</v>
      </c>
      <c r="F3" s="68" t="s">
        <v>347</v>
      </c>
      <c r="G3" s="69">
        <v>46113</v>
      </c>
      <c r="H3" s="69">
        <v>46143</v>
      </c>
      <c r="I3" s="69">
        <v>46174</v>
      </c>
      <c r="J3" s="69">
        <v>46204</v>
      </c>
      <c r="K3" s="69">
        <v>46235</v>
      </c>
      <c r="L3" s="69">
        <v>46266</v>
      </c>
      <c r="M3" s="69">
        <v>46296</v>
      </c>
      <c r="N3" s="69">
        <v>46327</v>
      </c>
      <c r="O3" s="69">
        <v>46357</v>
      </c>
      <c r="P3" s="69">
        <v>46388</v>
      </c>
      <c r="Q3" s="69">
        <v>46419</v>
      </c>
      <c r="R3" s="69">
        <v>46447</v>
      </c>
      <c r="S3" s="68" t="s">
        <v>269</v>
      </c>
      <c r="T3" s="100"/>
    </row>
    <row r="4" spans="1:23" x14ac:dyDescent="0.3">
      <c r="A4" s="97"/>
      <c r="B4" s="259" t="s">
        <v>277</v>
      </c>
      <c r="C4" s="259">
        <f>D4+E4</f>
        <v>29</v>
      </c>
      <c r="D4" s="259">
        <f>VLOOKUP($B$4,'Z Code'!$A:$D,2,0)</f>
        <v>21</v>
      </c>
      <c r="E4" s="259">
        <f>VLOOKUP($B$4,'Z Code'!$A:$D,3,0)</f>
        <v>8</v>
      </c>
      <c r="F4" s="74" t="s">
        <v>387</v>
      </c>
      <c r="G4" s="75">
        <f>VLOOKUP($B$4,'Z AC'!$A:$N,2,0)</f>
        <v>213</v>
      </c>
      <c r="H4" s="75">
        <f>VLOOKUP($B$4,'Z AC'!$A:$N,3,0)</f>
        <v>333</v>
      </c>
      <c r="I4" s="75">
        <f>VLOOKUP($B$4,'Z AC'!$A:$N,4,0)</f>
        <v>380</v>
      </c>
      <c r="J4" s="75">
        <f>VLOOKUP($B$4,'Z AC'!$A:$N,5,0)</f>
        <v>451</v>
      </c>
      <c r="K4" s="75">
        <f>VLOOKUP($B$4,'Z AC'!$A:$N,6,0)</f>
        <v>323</v>
      </c>
      <c r="L4" s="75">
        <f>VLOOKUP($B$4,'Z AC'!$A:$N,7,0)</f>
        <v>71</v>
      </c>
      <c r="M4" s="75">
        <f>VLOOKUP($B$4,'Z AC'!$A:$N,8,0)</f>
        <v>0</v>
      </c>
      <c r="N4" s="75">
        <f>VLOOKUP($B$4,'Z AC'!$A:$N,9,0)</f>
        <v>0</v>
      </c>
      <c r="O4" s="75">
        <f>VLOOKUP($B$4,'Z AC'!$A:$N,10,0)</f>
        <v>0</v>
      </c>
      <c r="P4" s="75">
        <f>VLOOKUP($B$4,'Z AC'!$A:$N,11,0)</f>
        <v>0</v>
      </c>
      <c r="Q4" s="75">
        <f>VLOOKUP($B$4,'Z AC'!$A:$N,12,0)</f>
        <v>0</v>
      </c>
      <c r="R4" s="75">
        <f>VLOOKUP($B$4,'Z AC'!$A:$N,13,0)</f>
        <v>0</v>
      </c>
      <c r="S4" s="76">
        <f>SUM(G4:R4)</f>
        <v>1771</v>
      </c>
      <c r="T4" s="98"/>
      <c r="U4" s="27">
        <f>I4/$C$4</f>
        <v>13.103448275862069</v>
      </c>
    </row>
    <row r="5" spans="1:23" x14ac:dyDescent="0.3">
      <c r="A5" s="97"/>
      <c r="B5" s="260"/>
      <c r="C5" s="260"/>
      <c r="D5" s="260"/>
      <c r="E5" s="260"/>
      <c r="F5" s="74" t="s">
        <v>332</v>
      </c>
      <c r="G5" s="75">
        <f>VLOOKUP($B$4,'Z APY'!$A:$N,2,0)</f>
        <v>8</v>
      </c>
      <c r="H5" s="75">
        <f>VLOOKUP($B$4,'Z APY'!$A:$N,3,0)</f>
        <v>6</v>
      </c>
      <c r="I5" s="75">
        <f>VLOOKUP($B$4,'Z APY'!$A:$N,4,0)</f>
        <v>24</v>
      </c>
      <c r="J5" s="75">
        <f>VLOOKUP($B$4,'Z APY'!$A:$N,5,0)</f>
        <v>39</v>
      </c>
      <c r="K5" s="75">
        <f>VLOOKUP($B$4,'Z APY'!$A:$N,6,0)</f>
        <v>41</v>
      </c>
      <c r="L5" s="75">
        <f>VLOOKUP($B$4,'Z APY'!$A:$N,7,0)</f>
        <v>3</v>
      </c>
      <c r="M5" s="75">
        <f>VLOOKUP($B$4,'Z APY'!$A:$N,8,0)</f>
        <v>0</v>
      </c>
      <c r="N5" s="75">
        <f>VLOOKUP($B$4,'Z APY'!$A:$N,9,0)</f>
        <v>0</v>
      </c>
      <c r="O5" s="75">
        <f>VLOOKUP($B$4,'Z APY'!$A:$N,10,0)</f>
        <v>0</v>
      </c>
      <c r="P5" s="75">
        <f>VLOOKUP($B$4,'Z APY'!$A:$N,11,0)</f>
        <v>0</v>
      </c>
      <c r="Q5" s="75">
        <f>VLOOKUP($B$4,'Z APY'!$A:$N,12,0)</f>
        <v>0</v>
      </c>
      <c r="R5" s="75">
        <f>VLOOKUP($B$4,'Z APY'!$A:$N,13,0)</f>
        <v>0</v>
      </c>
      <c r="S5" s="76">
        <f>SUM(G5:R5)</f>
        <v>121</v>
      </c>
      <c r="T5" s="98"/>
      <c r="U5" s="27">
        <f>I5/$C$4</f>
        <v>0.82758620689655171</v>
      </c>
    </row>
    <row r="6" spans="1:23" x14ac:dyDescent="0.3">
      <c r="A6" s="97"/>
      <c r="B6" s="260"/>
      <c r="C6" s="260"/>
      <c r="D6" s="260"/>
      <c r="E6" s="260"/>
      <c r="F6" s="74" t="s">
        <v>336</v>
      </c>
      <c r="G6" s="75">
        <f>VLOOKUP($B$4,'Z JJBY'!$A:$N,2,0)</f>
        <v>40</v>
      </c>
      <c r="H6" s="75">
        <f>VLOOKUP($B$4,'Z JJBY'!$A:$N,3,0)</f>
        <v>35</v>
      </c>
      <c r="I6" s="75">
        <f>VLOOKUP($B$4,'Z JJBY'!$A:$N,4,0)</f>
        <v>31</v>
      </c>
      <c r="J6" s="75">
        <f>VLOOKUP($B$4,'Z JJBY'!$A:$N,5,0)</f>
        <v>29</v>
      </c>
      <c r="K6" s="75">
        <f>VLOOKUP($B$4,'Z JJBY'!$A:$N,6,0)</f>
        <v>20</v>
      </c>
      <c r="L6" s="75">
        <f>VLOOKUP($B$4,'Z JJBY'!$A:$N,7,0)</f>
        <v>4</v>
      </c>
      <c r="M6" s="75">
        <f>VLOOKUP($B$4,'Z JJBY'!$A:$N,8,0)</f>
        <v>0</v>
      </c>
      <c r="N6" s="75">
        <f>VLOOKUP($B$4,'Z JJBY'!$A:$N,9,0)</f>
        <v>0</v>
      </c>
      <c r="O6" s="75">
        <f>VLOOKUP($B$4,'Z JJBY'!$A:$N,10,0)</f>
        <v>0</v>
      </c>
      <c r="P6" s="75">
        <f>VLOOKUP($B$4,'Z JJBY'!$A:$N,11,0)</f>
        <v>0</v>
      </c>
      <c r="Q6" s="75">
        <f>VLOOKUP($B$4,'Z JJBY'!$A:$N,12,0)</f>
        <v>0</v>
      </c>
      <c r="R6" s="75">
        <f>VLOOKUP($B$4,'Z JJBY'!$A:$N,13,0)</f>
        <v>0</v>
      </c>
      <c r="S6" s="76">
        <f t="shared" ref="S6:S7" si="0">SUM(G6:R6)</f>
        <v>159</v>
      </c>
      <c r="T6" s="98"/>
      <c r="U6" s="27">
        <f t="shared" ref="U6" si="1">I6/$C$4</f>
        <v>1.0689655172413792</v>
      </c>
    </row>
    <row r="7" spans="1:23" x14ac:dyDescent="0.3">
      <c r="A7" s="97"/>
      <c r="B7" s="261"/>
      <c r="C7" s="261"/>
      <c r="D7" s="261"/>
      <c r="E7" s="261"/>
      <c r="F7" s="74" t="s">
        <v>337</v>
      </c>
      <c r="G7" s="75">
        <f>VLOOKUP($B$4,'Z SBY'!$A:$N,2,0)</f>
        <v>141</v>
      </c>
      <c r="H7" s="75">
        <f>VLOOKUP($B$4,'Z SBY'!$A:$N,3,0)</f>
        <v>206</v>
      </c>
      <c r="I7" s="75">
        <f>VLOOKUP($B$4,'Z SBY'!$A:$N,4,0)</f>
        <v>214</v>
      </c>
      <c r="J7" s="75">
        <f>VLOOKUP($B$4,'Z SBY'!$A:$N,5,0)</f>
        <v>290</v>
      </c>
      <c r="K7" s="75">
        <f>VLOOKUP($B$4,'Z SBY'!$A:$N,6,0)</f>
        <v>201</v>
      </c>
      <c r="L7" s="75">
        <f>VLOOKUP($B$4,'Z SBY'!$A:$N,7,0)</f>
        <v>43</v>
      </c>
      <c r="M7" s="75">
        <f>VLOOKUP($B$4,'Z SBY'!$A:$N,8,0)</f>
        <v>0</v>
      </c>
      <c r="N7" s="75">
        <f>VLOOKUP($B$4,'Z SBY'!$A:$N,9,0)</f>
        <v>0</v>
      </c>
      <c r="O7" s="75">
        <f>VLOOKUP($B$4,'Z SBY'!$A:$N,10,0)</f>
        <v>0</v>
      </c>
      <c r="P7" s="75">
        <f>VLOOKUP($B$4,'Z SBY'!$A:$N,11,0)</f>
        <v>0</v>
      </c>
      <c r="Q7" s="75">
        <f>VLOOKUP($B$4,'Z SBY'!$A:$N,12,0)</f>
        <v>0</v>
      </c>
      <c r="R7" s="75">
        <f>VLOOKUP($B$4,'Z SBY'!$A:$N,13,0)</f>
        <v>0</v>
      </c>
      <c r="S7" s="76">
        <f t="shared" si="0"/>
        <v>1095</v>
      </c>
      <c r="T7" s="98"/>
      <c r="U7" s="27">
        <f>I7/$C$4</f>
        <v>7.3793103448275863</v>
      </c>
      <c r="W7" s="93"/>
    </row>
    <row r="8" spans="1:23" ht="7.2" customHeight="1" x14ac:dyDescent="0.3">
      <c r="A8" s="97"/>
      <c r="B8" s="6"/>
      <c r="C8" s="6"/>
      <c r="D8" s="6"/>
      <c r="E8" s="6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/>
      <c r="T8" s="98"/>
      <c r="W8" s="92"/>
    </row>
    <row r="9" spans="1:23" x14ac:dyDescent="0.3">
      <c r="A9" s="97"/>
      <c r="B9" s="219" t="s">
        <v>393</v>
      </c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1"/>
      <c r="Q9" s="81" t="s">
        <v>394</v>
      </c>
      <c r="R9" s="257">
        <f ca="1">R2</f>
        <v>46271</v>
      </c>
      <c r="S9" s="258"/>
      <c r="T9" s="98"/>
    </row>
    <row r="10" spans="1:23" s="37" customFormat="1" ht="28.8" x14ac:dyDescent="0.3">
      <c r="A10" s="99"/>
      <c r="B10" s="68" t="s">
        <v>272</v>
      </c>
      <c r="C10" s="16" t="s">
        <v>287</v>
      </c>
      <c r="D10" s="16" t="s">
        <v>392</v>
      </c>
      <c r="E10" s="16" t="s">
        <v>395</v>
      </c>
      <c r="F10" s="68" t="s">
        <v>347</v>
      </c>
      <c r="G10" s="69">
        <v>46113</v>
      </c>
      <c r="H10" s="69">
        <v>46143</v>
      </c>
      <c r="I10" s="69">
        <v>46174</v>
      </c>
      <c r="J10" s="69">
        <v>46204</v>
      </c>
      <c r="K10" s="69">
        <v>46235</v>
      </c>
      <c r="L10" s="69">
        <v>46266</v>
      </c>
      <c r="M10" s="69">
        <v>46296</v>
      </c>
      <c r="N10" s="69">
        <v>46327</v>
      </c>
      <c r="O10" s="69">
        <v>46357</v>
      </c>
      <c r="P10" s="69">
        <v>46388</v>
      </c>
      <c r="Q10" s="69">
        <v>46419</v>
      </c>
      <c r="R10" s="69">
        <v>46447</v>
      </c>
      <c r="S10" s="68" t="s">
        <v>269</v>
      </c>
      <c r="T10" s="100"/>
    </row>
    <row r="11" spans="1:23" x14ac:dyDescent="0.3">
      <c r="A11" s="97"/>
      <c r="B11" s="259" t="s">
        <v>278</v>
      </c>
      <c r="C11" s="259">
        <f>D11+E11</f>
        <v>26</v>
      </c>
      <c r="D11" s="259">
        <f>VLOOKUP($B$11,'Z Code'!$A:$D,2,0)</f>
        <v>16</v>
      </c>
      <c r="E11" s="259">
        <f>VLOOKUP($B$11,'Z Code'!$A:$D,3,0)</f>
        <v>10</v>
      </c>
      <c r="F11" s="74" t="s">
        <v>387</v>
      </c>
      <c r="G11" s="75">
        <f>VLOOKUP($B$11,'Z AC'!$A:$N,2,0)</f>
        <v>186</v>
      </c>
      <c r="H11" s="75">
        <f>VLOOKUP($B$11,'Z AC'!$A:$N,3,0)</f>
        <v>577</v>
      </c>
      <c r="I11" s="75">
        <f>VLOOKUP($B$11,'Z AC'!$A:$N,4,0)</f>
        <v>296</v>
      </c>
      <c r="J11" s="75">
        <f>VLOOKUP($B$11,'Z AC'!$A:$N,5,0)</f>
        <v>426</v>
      </c>
      <c r="K11" s="75">
        <f>VLOOKUP($B$11,'Z AC'!$A:$N,6,0)</f>
        <v>265</v>
      </c>
      <c r="L11" s="75">
        <f>VLOOKUP($B$11,'Z AC'!$A:$N,7,0)</f>
        <v>44</v>
      </c>
      <c r="M11" s="75">
        <f>VLOOKUP($B$11,'Z AC'!$A:$N,8,0)</f>
        <v>0</v>
      </c>
      <c r="N11" s="75">
        <f>VLOOKUP($B$11,'Z AC'!$A:$N,9,0)</f>
        <v>0</v>
      </c>
      <c r="O11" s="75">
        <f>VLOOKUP($B$11,'Z AC'!$A:$N,10,0)</f>
        <v>0</v>
      </c>
      <c r="P11" s="75">
        <f>VLOOKUP($B$11,'Z AC'!$A:$N,11,0)</f>
        <v>0</v>
      </c>
      <c r="Q11" s="75">
        <f>VLOOKUP($B$11,'Z AC'!$A:$N,12,0)</f>
        <v>0</v>
      </c>
      <c r="R11" s="75">
        <f>VLOOKUP($B$11,'Z AC'!$A:$N,13,0)</f>
        <v>0</v>
      </c>
      <c r="S11" s="76">
        <f>SUM(G11:R11)</f>
        <v>1794</v>
      </c>
      <c r="T11" s="98"/>
    </row>
    <row r="12" spans="1:23" x14ac:dyDescent="0.3">
      <c r="A12" s="97"/>
      <c r="B12" s="260"/>
      <c r="C12" s="260"/>
      <c r="D12" s="260"/>
      <c r="E12" s="260"/>
      <c r="F12" s="74" t="s">
        <v>332</v>
      </c>
      <c r="G12" s="75">
        <f>VLOOKUP($B$11,'Z APY'!$A:$N,2,0)</f>
        <v>9</v>
      </c>
      <c r="H12" s="75">
        <f>VLOOKUP($B$11,'Z APY'!$A:$N,3,0)</f>
        <v>13</v>
      </c>
      <c r="I12" s="75">
        <f>VLOOKUP($B$11,'Z APY'!$A:$N,4,0)</f>
        <v>29</v>
      </c>
      <c r="J12" s="75">
        <f>VLOOKUP($B$11,'Z APY'!$A:$N,5,0)</f>
        <v>16</v>
      </c>
      <c r="K12" s="75">
        <f>VLOOKUP($B$11,'Z APY'!$A:$N,6,0)</f>
        <v>43</v>
      </c>
      <c r="L12" s="75">
        <f>VLOOKUP($B$11,'Z APY'!$A:$N,7,0)</f>
        <v>6</v>
      </c>
      <c r="M12" s="75">
        <f>VLOOKUP($B$11,'Z APY'!$A:$N,8,0)</f>
        <v>0</v>
      </c>
      <c r="N12" s="75">
        <f>VLOOKUP($B$11,'Z APY'!$A:$N,9,0)</f>
        <v>0</v>
      </c>
      <c r="O12" s="75">
        <f>VLOOKUP($B$11,'Z APY'!$A:$N,10,0)</f>
        <v>0</v>
      </c>
      <c r="P12" s="75">
        <f>VLOOKUP($B$11,'Z APY'!$A:$N,11,0)</f>
        <v>0</v>
      </c>
      <c r="Q12" s="75">
        <f>VLOOKUP($B$11,'Z APY'!$A:$N,12,0)</f>
        <v>0</v>
      </c>
      <c r="R12" s="75">
        <f>VLOOKUP($B$11,'Z APY'!$A:$N,13,0)</f>
        <v>0</v>
      </c>
      <c r="S12" s="76">
        <f>SUM(G12:R12)</f>
        <v>116</v>
      </c>
      <c r="T12" s="98"/>
    </row>
    <row r="13" spans="1:23" x14ac:dyDescent="0.3">
      <c r="A13" s="97"/>
      <c r="B13" s="260"/>
      <c r="C13" s="260"/>
      <c r="D13" s="260"/>
      <c r="E13" s="260"/>
      <c r="F13" s="74" t="s">
        <v>336</v>
      </c>
      <c r="G13" s="75">
        <f>VLOOKUP($B$11,'Z JJBY'!$A:$N,2,0)</f>
        <v>72</v>
      </c>
      <c r="H13" s="75">
        <f>VLOOKUP($B$11,'Z JJBY'!$A:$N,3,0)</f>
        <v>186</v>
      </c>
      <c r="I13" s="75">
        <f>VLOOKUP($B$11,'Z JJBY'!$A:$N,4,0)</f>
        <v>40</v>
      </c>
      <c r="J13" s="75">
        <f>VLOOKUP($B$11,'Z JJBY'!$A:$N,5,0)</f>
        <v>67</v>
      </c>
      <c r="K13" s="75">
        <f>VLOOKUP($B$11,'Z JJBY'!$A:$N,6,0)</f>
        <v>37</v>
      </c>
      <c r="L13" s="75">
        <f>VLOOKUP($B$11,'Z JJBY'!$A:$N,7,0)</f>
        <v>6</v>
      </c>
      <c r="M13" s="75">
        <f>VLOOKUP($B$11,'Z JJBY'!$A:$N,8,0)</f>
        <v>0</v>
      </c>
      <c r="N13" s="75">
        <f>VLOOKUP($B$11,'Z JJBY'!$A:$N,9,0)</f>
        <v>0</v>
      </c>
      <c r="O13" s="75">
        <f>VLOOKUP($B$11,'Z JJBY'!$A:$N,10,0)</f>
        <v>0</v>
      </c>
      <c r="P13" s="75">
        <f>VLOOKUP($B$11,'Z JJBY'!$A:$N,11,0)</f>
        <v>0</v>
      </c>
      <c r="Q13" s="75">
        <f>VLOOKUP($B$11,'Z JJBY'!$A:$N,12,0)</f>
        <v>0</v>
      </c>
      <c r="R13" s="75">
        <f>VLOOKUP($B$11,'Z JJBY'!$A:$N,13,0)</f>
        <v>0</v>
      </c>
      <c r="S13" s="76">
        <f t="shared" ref="S13:S14" si="2">SUM(G13:R13)</f>
        <v>408</v>
      </c>
      <c r="T13" s="98"/>
    </row>
    <row r="14" spans="1:23" x14ac:dyDescent="0.3">
      <c r="A14" s="97"/>
      <c r="B14" s="261"/>
      <c r="C14" s="261"/>
      <c r="D14" s="261"/>
      <c r="E14" s="261"/>
      <c r="F14" s="74" t="s">
        <v>337</v>
      </c>
      <c r="G14" s="75">
        <f>VLOOKUP($B$11,'Z SBY'!$A:$N,2,0)</f>
        <v>124</v>
      </c>
      <c r="H14" s="75">
        <f>VLOOKUP($B$11,'Z SBY'!$A:$N,3,0)</f>
        <v>437</v>
      </c>
      <c r="I14" s="75">
        <f>VLOOKUP($B$11,'Z SBY'!$A:$N,4,0)</f>
        <v>201</v>
      </c>
      <c r="J14" s="75">
        <f>VLOOKUP($B$11,'Z SBY'!$A:$N,5,0)</f>
        <v>267</v>
      </c>
      <c r="K14" s="75">
        <f>VLOOKUP($B$11,'Z SBY'!$A:$N,6,0)</f>
        <v>196</v>
      </c>
      <c r="L14" s="75">
        <f>VLOOKUP($B$11,'Z SBY'!$A:$N,7,0)</f>
        <v>29</v>
      </c>
      <c r="M14" s="75">
        <f>VLOOKUP($B$11,'Z SBY'!$A:$N,8,0)</f>
        <v>0</v>
      </c>
      <c r="N14" s="75">
        <f>VLOOKUP($B$11,'Z SBY'!$A:$N,9,0)</f>
        <v>0</v>
      </c>
      <c r="O14" s="75">
        <f>VLOOKUP($B$11,'Z SBY'!$A:$N,10,0)</f>
        <v>0</v>
      </c>
      <c r="P14" s="75">
        <f>VLOOKUP($B$11,'Z SBY'!$A:$N,11,0)</f>
        <v>0</v>
      </c>
      <c r="Q14" s="75">
        <f>VLOOKUP($B$11,'Z SBY'!$A:$N,12,0)</f>
        <v>0</v>
      </c>
      <c r="R14" s="75">
        <f>VLOOKUP($B$11,'Z SBY'!$A:$N,13,0)</f>
        <v>0</v>
      </c>
      <c r="S14" s="76">
        <f t="shared" si="2"/>
        <v>1254</v>
      </c>
      <c r="T14" s="98"/>
    </row>
    <row r="15" spans="1:23" ht="7.2" customHeight="1" x14ac:dyDescent="0.3">
      <c r="A15" s="97"/>
      <c r="B15" s="6"/>
      <c r="C15" s="6"/>
      <c r="D15" s="6"/>
      <c r="E15" s="6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3"/>
      <c r="T15" s="98"/>
      <c r="W15" s="92"/>
    </row>
    <row r="16" spans="1:23" x14ac:dyDescent="0.3">
      <c r="A16" s="97"/>
      <c r="B16" s="219" t="s">
        <v>393</v>
      </c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1"/>
      <c r="Q16" s="81" t="s">
        <v>394</v>
      </c>
      <c r="R16" s="257">
        <f ca="1">R2</f>
        <v>46271</v>
      </c>
      <c r="S16" s="258"/>
      <c r="T16" s="98"/>
    </row>
    <row r="17" spans="1:23" s="37" customFormat="1" ht="28.8" x14ac:dyDescent="0.3">
      <c r="A17" s="99"/>
      <c r="B17" s="68" t="s">
        <v>272</v>
      </c>
      <c r="C17" s="16" t="s">
        <v>287</v>
      </c>
      <c r="D17" s="16" t="s">
        <v>392</v>
      </c>
      <c r="E17" s="16" t="s">
        <v>395</v>
      </c>
      <c r="F17" s="68" t="s">
        <v>347</v>
      </c>
      <c r="G17" s="69">
        <v>46113</v>
      </c>
      <c r="H17" s="69">
        <v>46143</v>
      </c>
      <c r="I17" s="69">
        <v>46174</v>
      </c>
      <c r="J17" s="69">
        <v>46204</v>
      </c>
      <c r="K17" s="69">
        <v>46235</v>
      </c>
      <c r="L17" s="69">
        <v>46266</v>
      </c>
      <c r="M17" s="69">
        <v>46296</v>
      </c>
      <c r="N17" s="69">
        <v>46327</v>
      </c>
      <c r="O17" s="69">
        <v>46357</v>
      </c>
      <c r="P17" s="69">
        <v>46388</v>
      </c>
      <c r="Q17" s="69">
        <v>46419</v>
      </c>
      <c r="R17" s="69">
        <v>46447</v>
      </c>
      <c r="S17" s="68" t="s">
        <v>269</v>
      </c>
      <c r="T17" s="100"/>
    </row>
    <row r="18" spans="1:23" x14ac:dyDescent="0.3">
      <c r="A18" s="97"/>
      <c r="B18" s="259" t="s">
        <v>276</v>
      </c>
      <c r="C18" s="259">
        <f>D18+E18</f>
        <v>47</v>
      </c>
      <c r="D18" s="259">
        <f>VLOOKUP($B$18,'Z Code'!$A:$D,2,0)</f>
        <v>41</v>
      </c>
      <c r="E18" s="259">
        <f>VLOOKUP($B$18,'Z Code'!$A:$D,3,0)</f>
        <v>6</v>
      </c>
      <c r="F18" s="74" t="s">
        <v>387</v>
      </c>
      <c r="G18" s="75">
        <f>VLOOKUP($B$18,'Z AC'!$A:$N,2,0)</f>
        <v>188</v>
      </c>
      <c r="H18" s="75">
        <f>VLOOKUP($B$18,'Z AC'!$A:$N,3,0)</f>
        <v>522</v>
      </c>
      <c r="I18" s="75">
        <f>VLOOKUP($B$18,'Z AC'!$A:$N,4,0)</f>
        <v>455</v>
      </c>
      <c r="J18" s="75">
        <f>VLOOKUP($B$18,'Z AC'!$A:$N,5,0)</f>
        <v>463</v>
      </c>
      <c r="K18" s="75">
        <f>VLOOKUP($B$18,'Z AC'!$A:$N,6,0)</f>
        <v>347</v>
      </c>
      <c r="L18" s="75">
        <f>VLOOKUP($B$18,'Z AC'!$A:$N,7,0)</f>
        <v>48</v>
      </c>
      <c r="M18" s="75">
        <f>VLOOKUP($B$18,'Z AC'!$A:$N,8,0)</f>
        <v>0</v>
      </c>
      <c r="N18" s="75">
        <f>VLOOKUP($B$18,'Z AC'!$A:$N,9,0)</f>
        <v>0</v>
      </c>
      <c r="O18" s="75">
        <f>VLOOKUP($B$18,'Z AC'!$A:$N,10,0)</f>
        <v>0</v>
      </c>
      <c r="P18" s="75">
        <f>VLOOKUP($B$18,'Z AC'!$A:$N,11,0)</f>
        <v>0</v>
      </c>
      <c r="Q18" s="75">
        <f>VLOOKUP($B$18,'Z AC'!$A:$N,12,0)</f>
        <v>0</v>
      </c>
      <c r="R18" s="75">
        <f>VLOOKUP($B$18,'Z AC'!$A:$N,13,0)</f>
        <v>0</v>
      </c>
      <c r="S18" s="76">
        <f>SUM(G18:R18)</f>
        <v>2023</v>
      </c>
      <c r="T18" s="98"/>
    </row>
    <row r="19" spans="1:23" x14ac:dyDescent="0.3">
      <c r="A19" s="97"/>
      <c r="B19" s="260"/>
      <c r="C19" s="260"/>
      <c r="D19" s="260"/>
      <c r="E19" s="260"/>
      <c r="F19" s="74" t="s">
        <v>332</v>
      </c>
      <c r="G19" s="75">
        <f>VLOOKUP($B$18,'Z APY'!$A:$N,2,0)</f>
        <v>21</v>
      </c>
      <c r="H19" s="75">
        <f>VLOOKUP($B$18,'Z APY'!$A:$N,3,0)</f>
        <v>80</v>
      </c>
      <c r="I19" s="75">
        <f>VLOOKUP($B$18,'Z APY'!$A:$N,4,0)</f>
        <v>47</v>
      </c>
      <c r="J19" s="75">
        <f>VLOOKUP($B$18,'Z APY'!$A:$N,5,0)</f>
        <v>73</v>
      </c>
      <c r="K19" s="75">
        <f>VLOOKUP($B$18,'Z APY'!$A:$N,6,0)</f>
        <v>90</v>
      </c>
      <c r="L19" s="75">
        <f>VLOOKUP($B$18,'Z APY'!$A:$N,7,0)</f>
        <v>17</v>
      </c>
      <c r="M19" s="75">
        <f>VLOOKUP($B$18,'Z APY'!$A:$N,8,0)</f>
        <v>0</v>
      </c>
      <c r="N19" s="75">
        <f>VLOOKUP($B$18,'Z APY'!$A:$N,9,0)</f>
        <v>0</v>
      </c>
      <c r="O19" s="75">
        <f>VLOOKUP($B$18,'Z APY'!$A:$N,10,0)</f>
        <v>0</v>
      </c>
      <c r="P19" s="75">
        <f>VLOOKUP($B$18,'Z APY'!$A:$N,11,0)</f>
        <v>0</v>
      </c>
      <c r="Q19" s="75">
        <f>VLOOKUP($B$18,'Z APY'!$A:$N,13,0)</f>
        <v>0</v>
      </c>
      <c r="R19" s="75">
        <f>VLOOKUP($B$18,'Z APY'!$A:$N,13,0)</f>
        <v>0</v>
      </c>
      <c r="S19" s="76">
        <f>SUM(G19:R19)</f>
        <v>328</v>
      </c>
      <c r="T19" s="98"/>
    </row>
    <row r="20" spans="1:23" x14ac:dyDescent="0.3">
      <c r="A20" s="97"/>
      <c r="B20" s="260"/>
      <c r="C20" s="260"/>
      <c r="D20" s="260"/>
      <c r="E20" s="260"/>
      <c r="F20" s="74" t="s">
        <v>336</v>
      </c>
      <c r="G20" s="75">
        <f>VLOOKUP($B$18,'Z JJBY'!$A:$N,2,0)</f>
        <v>101</v>
      </c>
      <c r="H20" s="75">
        <f>VLOOKUP($B$18,'Z JJBY'!$A:$N,3,0)</f>
        <v>205</v>
      </c>
      <c r="I20" s="75">
        <f>VLOOKUP($B$18,'Z JJBY'!$A:$N,4,0)</f>
        <v>146</v>
      </c>
      <c r="J20" s="75">
        <f>VLOOKUP($B$18,'Z JJBY'!$A:$N,5,0)</f>
        <v>143</v>
      </c>
      <c r="K20" s="75">
        <f>VLOOKUP($B$18,'Z JJBY'!$A:$N,6,0)</f>
        <v>167</v>
      </c>
      <c r="L20" s="75">
        <f>VLOOKUP($B$18,'Z JJBY'!$A:$N,7,0)</f>
        <v>36</v>
      </c>
      <c r="M20" s="75">
        <f>VLOOKUP($B$18,'Z JJBY'!$A:$N,8,0)</f>
        <v>0</v>
      </c>
      <c r="N20" s="75">
        <f>VLOOKUP($B$18,'Z JJBY'!$A:$N,9,0)</f>
        <v>0</v>
      </c>
      <c r="O20" s="75">
        <f>VLOOKUP($B$18,'Z JJBY'!$A:$N,10,0)</f>
        <v>0</v>
      </c>
      <c r="P20" s="75">
        <f>VLOOKUP($B$18,'Z JJBY'!$A:$N,11,0)</f>
        <v>0</v>
      </c>
      <c r="Q20" s="75">
        <f>VLOOKUP($B$18,'Z JJBY'!$A:$N,12,0)</f>
        <v>0</v>
      </c>
      <c r="R20" s="75">
        <f>VLOOKUP($B$18,'Z JJBY'!$A:$N,13,0)</f>
        <v>0</v>
      </c>
      <c r="S20" s="76">
        <f t="shared" ref="S20:S21" si="3">SUM(G20:R20)</f>
        <v>798</v>
      </c>
      <c r="T20" s="98"/>
    </row>
    <row r="21" spans="1:23" x14ac:dyDescent="0.3">
      <c r="A21" s="97"/>
      <c r="B21" s="261"/>
      <c r="C21" s="261"/>
      <c r="D21" s="261"/>
      <c r="E21" s="261"/>
      <c r="F21" s="74" t="s">
        <v>337</v>
      </c>
      <c r="G21" s="75">
        <f>VLOOKUP($B$18,'Z SBY'!$A:$N,2,0)</f>
        <v>179</v>
      </c>
      <c r="H21" s="75">
        <f>VLOOKUP($B$18,'Z SBY'!$A:$N,3,0)</f>
        <v>492</v>
      </c>
      <c r="I21" s="75">
        <f>VLOOKUP($B$18,'Z SBY'!$A:$N,4,0)</f>
        <v>346</v>
      </c>
      <c r="J21" s="75">
        <f>VLOOKUP($B$18,'Z SBY'!$A:$N,5,0)</f>
        <v>355</v>
      </c>
      <c r="K21" s="75">
        <f>VLOOKUP($B$18,'Z SBY'!$A:$N,6,0)</f>
        <v>299</v>
      </c>
      <c r="L21" s="75">
        <f>VLOOKUP($B$18,'Z SBY'!$A:$N,7,0)</f>
        <v>52</v>
      </c>
      <c r="M21" s="75">
        <f>VLOOKUP($B$18,'Z SBY'!$A:$N,8,0)</f>
        <v>0</v>
      </c>
      <c r="N21" s="75">
        <f>VLOOKUP($B$18,'Z SBY'!$A:$N,9,0)</f>
        <v>0</v>
      </c>
      <c r="O21" s="75">
        <f>VLOOKUP($B$18,'Z SBY'!$A:$N,10,0)</f>
        <v>0</v>
      </c>
      <c r="P21" s="75">
        <f>VLOOKUP($B$18,'Z SBY'!$A:$N,11,0)</f>
        <v>0</v>
      </c>
      <c r="Q21" s="75">
        <f>VLOOKUP($B$18,'Z SBY'!$A:$N,12,0)</f>
        <v>0</v>
      </c>
      <c r="R21" s="75">
        <f>VLOOKUP($B$18,'Z SBY'!$A:$N,13,0)</f>
        <v>0</v>
      </c>
      <c r="S21" s="76">
        <f t="shared" si="3"/>
        <v>1723</v>
      </c>
      <c r="T21" s="98"/>
    </row>
    <row r="22" spans="1:23" ht="7.2" customHeight="1" x14ac:dyDescent="0.3">
      <c r="A22" s="97"/>
      <c r="B22" s="6"/>
      <c r="C22" s="6"/>
      <c r="D22" s="6"/>
      <c r="E22" s="6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3"/>
      <c r="T22" s="98"/>
      <c r="W22" s="92"/>
    </row>
    <row r="23" spans="1:23" x14ac:dyDescent="0.3">
      <c r="A23" s="97"/>
      <c r="B23" s="219" t="s">
        <v>393</v>
      </c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1"/>
      <c r="Q23" s="81" t="s">
        <v>394</v>
      </c>
      <c r="R23" s="257">
        <f ca="1">R2</f>
        <v>46271</v>
      </c>
      <c r="S23" s="258"/>
      <c r="T23" s="98"/>
    </row>
    <row r="24" spans="1:23" s="37" customFormat="1" ht="28.8" x14ac:dyDescent="0.3">
      <c r="A24" s="99"/>
      <c r="B24" s="68" t="s">
        <v>272</v>
      </c>
      <c r="C24" s="16" t="s">
        <v>287</v>
      </c>
      <c r="D24" s="16" t="s">
        <v>392</v>
      </c>
      <c r="E24" s="16" t="s">
        <v>395</v>
      </c>
      <c r="F24" s="68" t="s">
        <v>347</v>
      </c>
      <c r="G24" s="69">
        <v>46113</v>
      </c>
      <c r="H24" s="69">
        <v>46143</v>
      </c>
      <c r="I24" s="69">
        <v>46174</v>
      </c>
      <c r="J24" s="69">
        <v>46204</v>
      </c>
      <c r="K24" s="69">
        <v>46235</v>
      </c>
      <c r="L24" s="69">
        <v>46266</v>
      </c>
      <c r="M24" s="69">
        <v>46296</v>
      </c>
      <c r="N24" s="69">
        <v>46327</v>
      </c>
      <c r="O24" s="69">
        <v>46357</v>
      </c>
      <c r="P24" s="69">
        <v>46388</v>
      </c>
      <c r="Q24" s="69">
        <v>46419</v>
      </c>
      <c r="R24" s="69">
        <v>46447</v>
      </c>
      <c r="S24" s="68" t="s">
        <v>269</v>
      </c>
      <c r="T24" s="100"/>
    </row>
    <row r="25" spans="1:23" x14ac:dyDescent="0.3">
      <c r="A25" s="97"/>
      <c r="B25" s="259" t="s">
        <v>450</v>
      </c>
      <c r="C25" s="259">
        <f>D25+E25</f>
        <v>1</v>
      </c>
      <c r="D25" s="259">
        <f>VLOOKUP($B$25,'Z Code'!$A:$D,2,0)</f>
        <v>1</v>
      </c>
      <c r="E25" s="259">
        <f>VLOOKUP($B$25,'Z Code'!$A:$D,3,0)</f>
        <v>0</v>
      </c>
      <c r="F25" s="74" t="s">
        <v>387</v>
      </c>
      <c r="G25" s="75">
        <f>VLOOKUP($B$25,'Z AC'!$A:$N,2,0)</f>
        <v>0</v>
      </c>
      <c r="H25" s="75">
        <f>VLOOKUP($B$25,'Z AC'!$A:$N,3,0)</f>
        <v>0</v>
      </c>
      <c r="I25" s="75">
        <f>VLOOKUP($B$25,'Z AC'!$A:$N,4,0)</f>
        <v>0</v>
      </c>
      <c r="J25" s="75">
        <f>VLOOKUP($B$25,'Z AC'!$A:$N,5,0)</f>
        <v>0</v>
      </c>
      <c r="K25" s="75">
        <f>VLOOKUP($B$25,'Z AC'!$A:$N,6,0)</f>
        <v>0</v>
      </c>
      <c r="L25" s="75">
        <f>VLOOKUP($B$25,'Z AC'!$A:$N,7,0)</f>
        <v>1</v>
      </c>
      <c r="M25" s="75">
        <f>VLOOKUP($B$25,'Z AC'!$A:$N,8,0)</f>
        <v>0</v>
      </c>
      <c r="N25" s="75">
        <f>VLOOKUP($B$25,'Z AC'!$A:$N,9,0)</f>
        <v>0</v>
      </c>
      <c r="O25" s="75">
        <f>VLOOKUP($B$25,'Z AC'!$A:$N,10,0)</f>
        <v>0</v>
      </c>
      <c r="P25" s="75">
        <f>VLOOKUP($B$25,'Z AC'!$A:$N,11,0)</f>
        <v>0</v>
      </c>
      <c r="Q25" s="75">
        <f>VLOOKUP($B$25,'Z AC'!$A:$N,12,0)</f>
        <v>0</v>
      </c>
      <c r="R25" s="75">
        <f>VLOOKUP($B$25,'Z AC'!$A:$N,13,0)</f>
        <v>0</v>
      </c>
      <c r="S25" s="76">
        <f>SUM(G25:R25)</f>
        <v>1</v>
      </c>
      <c r="T25" s="98"/>
    </row>
    <row r="26" spans="1:23" x14ac:dyDescent="0.3">
      <c r="A26" s="97"/>
      <c r="B26" s="260"/>
      <c r="C26" s="260"/>
      <c r="D26" s="260"/>
      <c r="E26" s="260"/>
      <c r="F26" s="74" t="s">
        <v>332</v>
      </c>
      <c r="G26" s="75">
        <f>VLOOKUP($B$25,'Z APY'!$A:$N,2,0)</f>
        <v>0</v>
      </c>
      <c r="H26" s="75">
        <f>VLOOKUP($B$25,'Z APY'!$A:$N,3,0)</f>
        <v>0</v>
      </c>
      <c r="I26" s="75">
        <f>VLOOKUP($B$25,'Z APY'!$A:$N,4,0)</f>
        <v>0</v>
      </c>
      <c r="J26" s="75">
        <f>VLOOKUP($B$25,'Z APY'!$A:$N,5,0)</f>
        <v>0</v>
      </c>
      <c r="K26" s="75">
        <f>VLOOKUP($B$25,'Z APY'!$A:$N,6,0)</f>
        <v>0</v>
      </c>
      <c r="L26" s="75">
        <f>VLOOKUP($B$25,'Z APY'!$A:$N,7,0)</f>
        <v>0</v>
      </c>
      <c r="M26" s="75">
        <f>VLOOKUP($B$25,'Z APY'!$A:$N,8,0)</f>
        <v>0</v>
      </c>
      <c r="N26" s="75">
        <f>VLOOKUP($B$25,'Z APY'!$A:$N,9,0)</f>
        <v>0</v>
      </c>
      <c r="O26" s="75">
        <f>VLOOKUP($B$25,'Z APY'!$A:$N,10,0)</f>
        <v>0</v>
      </c>
      <c r="P26" s="75">
        <f>VLOOKUP($B$25,'Z APY'!$A:$N,11,0)</f>
        <v>0</v>
      </c>
      <c r="Q26" s="75">
        <f>VLOOKUP($B$25,'Z APY'!$A:$N,12,0)</f>
        <v>0</v>
      </c>
      <c r="R26" s="75">
        <f>VLOOKUP($B$25,'Z APY'!$A:$N,13,0)</f>
        <v>0</v>
      </c>
      <c r="S26" s="76">
        <f>SUM(G26:R26)</f>
        <v>0</v>
      </c>
      <c r="T26" s="98"/>
    </row>
    <row r="27" spans="1:23" x14ac:dyDescent="0.3">
      <c r="A27" s="97"/>
      <c r="B27" s="260"/>
      <c r="C27" s="260"/>
      <c r="D27" s="260"/>
      <c r="E27" s="260"/>
      <c r="F27" s="74" t="s">
        <v>336</v>
      </c>
      <c r="G27" s="75">
        <f>VLOOKUP($B$25,'Z JJBY'!$A:$N,2,0)</f>
        <v>0</v>
      </c>
      <c r="H27" s="75">
        <f>VLOOKUP($B$25,'Z JJBY'!$A:$N,3,0)</f>
        <v>0</v>
      </c>
      <c r="I27" s="75">
        <f>VLOOKUP($B$25,'Z JJBY'!$A:$N,4,0)</f>
        <v>0</v>
      </c>
      <c r="J27" s="75">
        <f>VLOOKUP($B$25,'Z JJBY'!$A:$N,5,0)</f>
        <v>0</v>
      </c>
      <c r="K27" s="75">
        <f>VLOOKUP($B$25,'Z JJBY'!$A:$N,6,0)</f>
        <v>0</v>
      </c>
      <c r="L27" s="75">
        <f>VLOOKUP($B$25,'Z JJBY'!$A:$N,7,0)</f>
        <v>0</v>
      </c>
      <c r="M27" s="75">
        <f>VLOOKUP($B$25,'Z JJBY'!$A:$N,8,0)</f>
        <v>0</v>
      </c>
      <c r="N27" s="75">
        <f>VLOOKUP($B$25,'Z JJBY'!$A:$N,9,0)</f>
        <v>0</v>
      </c>
      <c r="O27" s="75">
        <f>VLOOKUP($B$25,'Z JJBY'!$A:$N,10,0)</f>
        <v>0</v>
      </c>
      <c r="P27" s="75">
        <f>VLOOKUP($B$25,'Z JJBY'!$A:$N,11,0)</f>
        <v>0</v>
      </c>
      <c r="Q27" s="75">
        <f>VLOOKUP($B$25,'Z JJBY'!$A:$N,12,0)</f>
        <v>0</v>
      </c>
      <c r="R27" s="75">
        <f>VLOOKUP($B$25,'Z JJBY'!$A:$N,13,0)</f>
        <v>0</v>
      </c>
      <c r="S27" s="76">
        <f t="shared" ref="S27:S28" si="4">SUM(G27:R27)</f>
        <v>0</v>
      </c>
      <c r="T27" s="98"/>
    </row>
    <row r="28" spans="1:23" x14ac:dyDescent="0.3">
      <c r="A28" s="97"/>
      <c r="B28" s="261"/>
      <c r="C28" s="261"/>
      <c r="D28" s="261"/>
      <c r="E28" s="261"/>
      <c r="F28" s="74" t="s">
        <v>337</v>
      </c>
      <c r="G28" s="75">
        <f>VLOOKUP($B$25,'Z SBY'!$A:$N,2,0)</f>
        <v>0</v>
      </c>
      <c r="H28" s="75">
        <f>VLOOKUP($B$25,'Z SBY'!$A:$N,3,0)</f>
        <v>0</v>
      </c>
      <c r="I28" s="75">
        <f>VLOOKUP($B$25,'Z SBY'!$A:$N,4,0)</f>
        <v>0</v>
      </c>
      <c r="J28" s="75">
        <f>VLOOKUP($B$25,'Z SBY'!$A:$N,5,0)</f>
        <v>0</v>
      </c>
      <c r="K28" s="75">
        <f>VLOOKUP($B$25,'Z SBY'!$A:$N,6,0)</f>
        <v>0</v>
      </c>
      <c r="L28" s="75">
        <f>VLOOKUP($B$25,'Z SBY'!$A:$N,7,0)</f>
        <v>0</v>
      </c>
      <c r="M28" s="75">
        <f>VLOOKUP($B$25,'Z SBY'!$A:$N,8,0)</f>
        <v>0</v>
      </c>
      <c r="N28" s="75">
        <f>VLOOKUP($B$25,'Z SBY'!$A:$N,9,0)</f>
        <v>0</v>
      </c>
      <c r="O28" s="75">
        <f>VLOOKUP($B$25,'Z SBY'!$A:$N,10,0)</f>
        <v>0</v>
      </c>
      <c r="P28" s="75">
        <f>VLOOKUP($B$25,'Z SBY'!$A:$N,11,0)</f>
        <v>0</v>
      </c>
      <c r="Q28" s="75">
        <f>VLOOKUP($B$25,'Z SBY'!$A:$N,12,0)</f>
        <v>0</v>
      </c>
      <c r="R28" s="75">
        <f>VLOOKUP($B$25,'Z SBY'!$A:$N,13,0)</f>
        <v>0</v>
      </c>
      <c r="S28" s="76">
        <f t="shared" si="4"/>
        <v>0</v>
      </c>
      <c r="T28" s="98"/>
    </row>
    <row r="29" spans="1:23" ht="7.2" customHeight="1" x14ac:dyDescent="0.3">
      <c r="A29" s="97"/>
      <c r="B29" s="6"/>
      <c r="C29" s="6"/>
      <c r="D29" s="6"/>
      <c r="E29" s="6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3"/>
      <c r="T29" s="98"/>
      <c r="W29" s="92"/>
    </row>
    <row r="30" spans="1:23" x14ac:dyDescent="0.3">
      <c r="A30" s="97"/>
      <c r="B30" s="219" t="s">
        <v>393</v>
      </c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1"/>
      <c r="Q30" s="81" t="s">
        <v>394</v>
      </c>
      <c r="R30" s="257">
        <f ca="1">R2</f>
        <v>46271</v>
      </c>
      <c r="S30" s="258"/>
      <c r="T30" s="98"/>
    </row>
    <row r="31" spans="1:23" s="37" customFormat="1" ht="28.8" x14ac:dyDescent="0.3">
      <c r="A31" s="99"/>
      <c r="B31" s="68" t="s">
        <v>269</v>
      </c>
      <c r="C31" s="16" t="s">
        <v>287</v>
      </c>
      <c r="D31" s="16" t="s">
        <v>392</v>
      </c>
      <c r="E31" s="16" t="s">
        <v>395</v>
      </c>
      <c r="F31" s="68" t="s">
        <v>347</v>
      </c>
      <c r="G31" s="69">
        <v>46113</v>
      </c>
      <c r="H31" s="69">
        <v>46143</v>
      </c>
      <c r="I31" s="69">
        <v>46174</v>
      </c>
      <c r="J31" s="69">
        <v>46204</v>
      </c>
      <c r="K31" s="69">
        <v>46235</v>
      </c>
      <c r="L31" s="69">
        <v>46266</v>
      </c>
      <c r="M31" s="69">
        <v>46296</v>
      </c>
      <c r="N31" s="69">
        <v>46327</v>
      </c>
      <c r="O31" s="69">
        <v>46357</v>
      </c>
      <c r="P31" s="69">
        <v>46388</v>
      </c>
      <c r="Q31" s="69">
        <v>46419</v>
      </c>
      <c r="R31" s="69">
        <v>46447</v>
      </c>
      <c r="S31" s="68" t="s">
        <v>269</v>
      </c>
      <c r="T31" s="100"/>
    </row>
    <row r="32" spans="1:23" x14ac:dyDescent="0.3">
      <c r="A32" s="97"/>
      <c r="B32" s="262" t="s">
        <v>437</v>
      </c>
      <c r="C32" s="259">
        <f>C4+C11+C18</f>
        <v>102</v>
      </c>
      <c r="D32" s="259">
        <f t="shared" ref="D32:E32" si="5">D4+D11+D18</f>
        <v>78</v>
      </c>
      <c r="E32" s="259">
        <f t="shared" si="5"/>
        <v>24</v>
      </c>
      <c r="F32" s="74" t="s">
        <v>387</v>
      </c>
      <c r="G32" s="75">
        <f>G4+G11+G18+G25</f>
        <v>587</v>
      </c>
      <c r="H32" s="75">
        <f t="shared" ref="H32:R32" si="6">H4+H11+H18+H25</f>
        <v>1432</v>
      </c>
      <c r="I32" s="75">
        <f t="shared" si="6"/>
        <v>1131</v>
      </c>
      <c r="J32" s="75">
        <f t="shared" si="6"/>
        <v>1340</v>
      </c>
      <c r="K32" s="75">
        <f t="shared" si="6"/>
        <v>935</v>
      </c>
      <c r="L32" s="75">
        <f t="shared" si="6"/>
        <v>164</v>
      </c>
      <c r="M32" s="75">
        <f t="shared" si="6"/>
        <v>0</v>
      </c>
      <c r="N32" s="75">
        <f t="shared" si="6"/>
        <v>0</v>
      </c>
      <c r="O32" s="75">
        <f t="shared" si="6"/>
        <v>0</v>
      </c>
      <c r="P32" s="75">
        <f t="shared" si="6"/>
        <v>0</v>
      </c>
      <c r="Q32" s="75">
        <f t="shared" si="6"/>
        <v>0</v>
      </c>
      <c r="R32" s="75">
        <f t="shared" si="6"/>
        <v>0</v>
      </c>
      <c r="S32" s="76">
        <f>SUM(G32:R32)</f>
        <v>5589</v>
      </c>
      <c r="T32" s="98"/>
    </row>
    <row r="33" spans="1:20" x14ac:dyDescent="0.3">
      <c r="A33" s="97"/>
      <c r="B33" s="263"/>
      <c r="C33" s="260"/>
      <c r="D33" s="260"/>
      <c r="E33" s="260"/>
      <c r="F33" s="74" t="s">
        <v>332</v>
      </c>
      <c r="G33" s="75">
        <f t="shared" ref="G33:R34" si="7">G5+G12+G19+G26</f>
        <v>38</v>
      </c>
      <c r="H33" s="75">
        <f t="shared" si="7"/>
        <v>99</v>
      </c>
      <c r="I33" s="75">
        <f t="shared" si="7"/>
        <v>100</v>
      </c>
      <c r="J33" s="75">
        <f t="shared" si="7"/>
        <v>128</v>
      </c>
      <c r="K33" s="75">
        <f t="shared" si="7"/>
        <v>174</v>
      </c>
      <c r="L33" s="75">
        <f t="shared" si="7"/>
        <v>26</v>
      </c>
      <c r="M33" s="75">
        <f t="shared" si="7"/>
        <v>0</v>
      </c>
      <c r="N33" s="75">
        <f t="shared" si="7"/>
        <v>0</v>
      </c>
      <c r="O33" s="75">
        <f t="shared" si="7"/>
        <v>0</v>
      </c>
      <c r="P33" s="75">
        <f t="shared" si="7"/>
        <v>0</v>
      </c>
      <c r="Q33" s="75">
        <f t="shared" si="7"/>
        <v>0</v>
      </c>
      <c r="R33" s="75">
        <f t="shared" si="7"/>
        <v>0</v>
      </c>
      <c r="S33" s="76">
        <f>SUM(G33:R33)</f>
        <v>565</v>
      </c>
      <c r="T33" s="98"/>
    </row>
    <row r="34" spans="1:20" x14ac:dyDescent="0.3">
      <c r="A34" s="97"/>
      <c r="B34" s="263"/>
      <c r="C34" s="260"/>
      <c r="D34" s="260"/>
      <c r="E34" s="260"/>
      <c r="F34" s="74" t="s">
        <v>336</v>
      </c>
      <c r="G34" s="75">
        <f t="shared" si="7"/>
        <v>213</v>
      </c>
      <c r="H34" s="75">
        <f t="shared" si="7"/>
        <v>426</v>
      </c>
      <c r="I34" s="75">
        <f t="shared" si="7"/>
        <v>217</v>
      </c>
      <c r="J34" s="75">
        <f t="shared" si="7"/>
        <v>239</v>
      </c>
      <c r="K34" s="75">
        <f t="shared" si="7"/>
        <v>224</v>
      </c>
      <c r="L34" s="75">
        <f t="shared" si="7"/>
        <v>46</v>
      </c>
      <c r="M34" s="75">
        <f t="shared" si="7"/>
        <v>0</v>
      </c>
      <c r="N34" s="75">
        <f t="shared" si="7"/>
        <v>0</v>
      </c>
      <c r="O34" s="75">
        <f t="shared" si="7"/>
        <v>0</v>
      </c>
      <c r="P34" s="75">
        <f t="shared" si="7"/>
        <v>0</v>
      </c>
      <c r="Q34" s="75">
        <f t="shared" si="7"/>
        <v>0</v>
      </c>
      <c r="R34" s="75">
        <f t="shared" si="7"/>
        <v>0</v>
      </c>
      <c r="S34" s="76">
        <f t="shared" ref="S34:S35" si="8">SUM(G34:R34)</f>
        <v>1365</v>
      </c>
      <c r="T34" s="98"/>
    </row>
    <row r="35" spans="1:20" x14ac:dyDescent="0.3">
      <c r="A35" s="97"/>
      <c r="B35" s="264"/>
      <c r="C35" s="261"/>
      <c r="D35" s="261"/>
      <c r="E35" s="261"/>
      <c r="F35" s="74" t="s">
        <v>337</v>
      </c>
      <c r="G35" s="75">
        <f>G7+G14+G21+G28</f>
        <v>444</v>
      </c>
      <c r="H35" s="75">
        <f t="shared" ref="H35:R35" si="9">H7+H14+H21+H28</f>
        <v>1135</v>
      </c>
      <c r="I35" s="75">
        <f t="shared" si="9"/>
        <v>761</v>
      </c>
      <c r="J35" s="75">
        <f t="shared" si="9"/>
        <v>912</v>
      </c>
      <c r="K35" s="75">
        <f t="shared" si="9"/>
        <v>696</v>
      </c>
      <c r="L35" s="75">
        <f t="shared" si="9"/>
        <v>124</v>
      </c>
      <c r="M35" s="75">
        <f t="shared" si="9"/>
        <v>0</v>
      </c>
      <c r="N35" s="75">
        <f t="shared" si="9"/>
        <v>0</v>
      </c>
      <c r="O35" s="75">
        <f t="shared" si="9"/>
        <v>0</v>
      </c>
      <c r="P35" s="75">
        <f t="shared" si="9"/>
        <v>0</v>
      </c>
      <c r="Q35" s="75">
        <f t="shared" si="9"/>
        <v>0</v>
      </c>
      <c r="R35" s="75">
        <f t="shared" si="9"/>
        <v>0</v>
      </c>
      <c r="S35" s="76">
        <f t="shared" si="8"/>
        <v>4072</v>
      </c>
      <c r="T35" s="98"/>
    </row>
    <row r="36" spans="1:20" x14ac:dyDescent="0.3">
      <c r="A36" s="97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8"/>
    </row>
    <row r="37" spans="1:20" s="37" customFormat="1" ht="28.8" x14ac:dyDescent="0.3">
      <c r="A37" s="99"/>
      <c r="B37" s="68" t="s">
        <v>347</v>
      </c>
      <c r="C37" s="68" t="s">
        <v>330</v>
      </c>
      <c r="D37" s="16" t="s">
        <v>392</v>
      </c>
      <c r="E37" s="16" t="s">
        <v>395</v>
      </c>
      <c r="F37" s="68" t="s">
        <v>390</v>
      </c>
      <c r="G37" s="68" t="s">
        <v>332</v>
      </c>
      <c r="H37" s="68" t="s">
        <v>388</v>
      </c>
      <c r="I37" s="68" t="s">
        <v>389</v>
      </c>
      <c r="T37" s="100"/>
    </row>
    <row r="38" spans="1:20" x14ac:dyDescent="0.3">
      <c r="A38" s="97"/>
      <c r="B38" s="78" t="s">
        <v>391</v>
      </c>
      <c r="C38" s="78">
        <f>C4+C11+C18+C25</f>
        <v>103</v>
      </c>
      <c r="D38" s="78">
        <f t="shared" ref="D38:E38" si="10">D4+D11+D18+D25</f>
        <v>79</v>
      </c>
      <c r="E38" s="78">
        <f t="shared" si="10"/>
        <v>24</v>
      </c>
      <c r="F38" s="79">
        <f>S4+S11+S18+S25</f>
        <v>5589</v>
      </c>
      <c r="G38" s="79">
        <f>S5+S12+S19+S26</f>
        <v>565</v>
      </c>
      <c r="H38" s="79">
        <f>S6+S13+S20+S27</f>
        <v>1365</v>
      </c>
      <c r="I38" s="79">
        <f>S7+S14+S21+S28</f>
        <v>4072</v>
      </c>
      <c r="T38" s="98"/>
    </row>
    <row r="39" spans="1:20" x14ac:dyDescent="0.3">
      <c r="A39" s="97"/>
      <c r="B39" s="80" t="s">
        <v>277</v>
      </c>
      <c r="C39" s="77">
        <f>C4/$C$38</f>
        <v>0.28155339805825241</v>
      </c>
      <c r="D39" s="77">
        <f>D4/D38</f>
        <v>0.26582278481012656</v>
      </c>
      <c r="E39" s="77">
        <f>E4/E38</f>
        <v>0.33333333333333331</v>
      </c>
      <c r="F39" s="77">
        <f>S4/F38</f>
        <v>0.3168724279835391</v>
      </c>
      <c r="G39" s="77">
        <f>S5/G38</f>
        <v>0.21415929203539824</v>
      </c>
      <c r="H39" s="77">
        <f>S6/H38</f>
        <v>0.11648351648351649</v>
      </c>
      <c r="I39" s="77">
        <f>S7/I38</f>
        <v>0.26890962671905699</v>
      </c>
      <c r="T39" s="98"/>
    </row>
    <row r="40" spans="1:20" x14ac:dyDescent="0.3">
      <c r="A40" s="97"/>
      <c r="B40" s="80" t="s">
        <v>278</v>
      </c>
      <c r="C40" s="77">
        <f>C11/C38</f>
        <v>0.25242718446601942</v>
      </c>
      <c r="D40" s="77">
        <f>D11/D38</f>
        <v>0.20253164556962025</v>
      </c>
      <c r="E40" s="77">
        <f>E11/E38</f>
        <v>0.41666666666666669</v>
      </c>
      <c r="F40" s="77">
        <f>S11/F38</f>
        <v>0.32098765432098764</v>
      </c>
      <c r="G40" s="77">
        <f>S12/G38</f>
        <v>0.20530973451327433</v>
      </c>
      <c r="H40" s="77">
        <f>S13/H38</f>
        <v>0.29890109890109889</v>
      </c>
      <c r="I40" s="77">
        <f>S14/I38</f>
        <v>0.30795677799607074</v>
      </c>
      <c r="T40" s="98"/>
    </row>
    <row r="41" spans="1:20" x14ac:dyDescent="0.3">
      <c r="A41" s="97"/>
      <c r="B41" s="80" t="s">
        <v>276</v>
      </c>
      <c r="C41" s="77">
        <f>C18/C38</f>
        <v>0.4563106796116505</v>
      </c>
      <c r="D41" s="77">
        <f>D18/D38</f>
        <v>0.51898734177215189</v>
      </c>
      <c r="E41" s="77">
        <f>E18/E38</f>
        <v>0.25</v>
      </c>
      <c r="F41" s="77">
        <f>S18/F38</f>
        <v>0.36196099481123634</v>
      </c>
      <c r="G41" s="77">
        <f>S19/G38</f>
        <v>0.58053097345132743</v>
      </c>
      <c r="H41" s="77">
        <f>S20/H38</f>
        <v>0.58461538461538465</v>
      </c>
      <c r="I41" s="77">
        <f>S21/I38</f>
        <v>0.42313359528487232</v>
      </c>
      <c r="T41" s="98"/>
    </row>
    <row r="42" spans="1:20" x14ac:dyDescent="0.3">
      <c r="A42" s="101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3"/>
    </row>
  </sheetData>
  <mergeCells count="30">
    <mergeCell ref="R2:S2"/>
    <mergeCell ref="B2:P2"/>
    <mergeCell ref="R9:S9"/>
    <mergeCell ref="R16:S16"/>
    <mergeCell ref="C11:C14"/>
    <mergeCell ref="E11:E14"/>
    <mergeCell ref="C18:C21"/>
    <mergeCell ref="E18:E21"/>
    <mergeCell ref="D4:D7"/>
    <mergeCell ref="D11:D14"/>
    <mergeCell ref="D18:D21"/>
    <mergeCell ref="B9:P9"/>
    <mergeCell ref="B16:P16"/>
    <mergeCell ref="E4:E7"/>
    <mergeCell ref="C4:C7"/>
    <mergeCell ref="B4:B7"/>
    <mergeCell ref="B11:B14"/>
    <mergeCell ref="B18:B21"/>
    <mergeCell ref="B30:P30"/>
    <mergeCell ref="R30:S30"/>
    <mergeCell ref="B32:B35"/>
    <mergeCell ref="C32:C35"/>
    <mergeCell ref="D32:D35"/>
    <mergeCell ref="E32:E35"/>
    <mergeCell ref="B23:P23"/>
    <mergeCell ref="R23:S23"/>
    <mergeCell ref="B25:B28"/>
    <mergeCell ref="C25:C28"/>
    <mergeCell ref="D25:D28"/>
    <mergeCell ref="E25:E28"/>
  </mergeCells>
  <conditionalFormatting sqref="C39:E41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9:F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:H4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9:I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0579-2441-4291-BFAC-D4489FB52C45}">
  <sheetPr>
    <pageSetUpPr fitToPage="1"/>
  </sheetPr>
  <dimension ref="B2:AK115"/>
  <sheetViews>
    <sheetView showGridLines="0" tabSelected="1" zoomScaleNormal="100" workbookViewId="0">
      <selection activeCell="R15" sqref="R15"/>
    </sheetView>
  </sheetViews>
  <sheetFormatPr defaultColWidth="8.88671875" defaultRowHeight="14.4" x14ac:dyDescent="0.3"/>
  <cols>
    <col min="1" max="1" width="3.33203125" style="2" customWidth="1"/>
    <col min="2" max="2" width="3.44140625" style="6" bestFit="1" customWidth="1"/>
    <col min="3" max="3" width="23.77734375" style="2" bestFit="1" customWidth="1"/>
    <col min="4" max="4" width="7.44140625" style="6" bestFit="1" customWidth="1"/>
    <col min="5" max="9" width="9" style="6" bestFit="1" customWidth="1"/>
    <col min="10" max="10" width="6.77734375" style="6" bestFit="1" customWidth="1"/>
    <col min="11" max="11" width="6.5546875" style="6" bestFit="1" customWidth="1"/>
    <col min="12" max="12" width="7.109375" style="6" hidden="1" customWidth="1"/>
    <col min="13" max="13" width="6.77734375" style="6" hidden="1" customWidth="1"/>
    <col min="14" max="14" width="6.44140625" style="6" hidden="1" customWidth="1"/>
    <col min="15" max="15" width="6.6640625" style="6" hidden="1" customWidth="1"/>
    <col min="16" max="16" width="7.109375" style="6" hidden="1" customWidth="1"/>
    <col min="17" max="17" width="10" style="6" bestFit="1" customWidth="1"/>
    <col min="18" max="18" width="14" style="6" bestFit="1" customWidth="1"/>
    <col min="19" max="19" width="3.33203125" style="2" customWidth="1"/>
    <col min="20" max="21" width="10.33203125" style="2" hidden="1" customWidth="1"/>
    <col min="22" max="22" width="4" style="2" hidden="1" customWidth="1"/>
    <col min="23" max="23" width="3.44140625" style="6" bestFit="1" customWidth="1"/>
    <col min="24" max="24" width="23.77734375" style="2" bestFit="1" customWidth="1"/>
    <col min="25" max="25" width="6.6640625" style="6" bestFit="1" customWidth="1"/>
    <col min="26" max="26" width="7.44140625" style="6" bestFit="1" customWidth="1"/>
    <col min="27" max="27" width="6.5546875" style="6" bestFit="1" customWidth="1"/>
    <col min="28" max="28" width="5.88671875" style="6" bestFit="1" customWidth="1"/>
    <col min="29" max="29" width="7" style="6" bestFit="1" customWidth="1"/>
    <col min="30" max="30" width="6.77734375" style="6" bestFit="1" customWidth="1"/>
    <col min="31" max="31" width="6.5546875" style="6" bestFit="1" customWidth="1"/>
    <col min="32" max="32" width="7.109375" style="6" bestFit="1" customWidth="1"/>
    <col min="33" max="33" width="6.77734375" style="6" bestFit="1" customWidth="1"/>
    <col min="34" max="34" width="6.44140625" style="6" bestFit="1" customWidth="1"/>
    <col min="35" max="35" width="6.6640625" style="6" bestFit="1" customWidth="1"/>
    <col min="36" max="36" width="7.109375" style="6" bestFit="1" customWidth="1"/>
    <col min="37" max="37" width="6.109375" style="6" bestFit="1" customWidth="1"/>
    <col min="38" max="38" width="3.33203125" style="2" customWidth="1"/>
    <col min="39" max="16384" width="8.88671875" style="2"/>
  </cols>
  <sheetData>
    <row r="2" spans="2:37" x14ac:dyDescent="0.3">
      <c r="B2" s="265" t="s">
        <v>288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W2" s="265" t="s">
        <v>438</v>
      </c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</row>
    <row r="3" spans="2:37" s="17" customFormat="1" ht="28.8" x14ac:dyDescent="0.3">
      <c r="B3" s="16" t="s">
        <v>279</v>
      </c>
      <c r="C3" s="16" t="s">
        <v>264</v>
      </c>
      <c r="D3" s="16" t="s">
        <v>280</v>
      </c>
      <c r="E3" s="3">
        <v>46113</v>
      </c>
      <c r="F3" s="3">
        <v>46143</v>
      </c>
      <c r="G3" s="3">
        <v>46174</v>
      </c>
      <c r="H3" s="3">
        <v>46204</v>
      </c>
      <c r="I3" s="3">
        <v>46235</v>
      </c>
      <c r="J3" s="3">
        <v>46266</v>
      </c>
      <c r="K3" s="3">
        <v>46296</v>
      </c>
      <c r="L3" s="3">
        <v>46327</v>
      </c>
      <c r="M3" s="3">
        <v>46357</v>
      </c>
      <c r="N3" s="3">
        <v>46388</v>
      </c>
      <c r="O3" s="3">
        <v>46419</v>
      </c>
      <c r="P3" s="3">
        <v>46447</v>
      </c>
      <c r="Q3" s="16" t="s">
        <v>281</v>
      </c>
      <c r="R3" s="16" t="s">
        <v>282</v>
      </c>
      <c r="W3" s="16" t="s">
        <v>279</v>
      </c>
      <c r="X3" s="16" t="s">
        <v>264</v>
      </c>
      <c r="Y3" s="3">
        <v>46113</v>
      </c>
      <c r="Z3" s="3">
        <v>46143</v>
      </c>
      <c r="AA3" s="3">
        <v>46174</v>
      </c>
      <c r="AB3" s="3">
        <v>46204</v>
      </c>
      <c r="AC3" s="3">
        <v>46235</v>
      </c>
      <c r="AD3" s="3">
        <v>46266</v>
      </c>
      <c r="AE3" s="3">
        <v>46296</v>
      </c>
      <c r="AF3" s="3">
        <v>46327</v>
      </c>
      <c r="AG3" s="3">
        <v>46357</v>
      </c>
      <c r="AH3" s="3">
        <v>46388</v>
      </c>
      <c r="AI3" s="3">
        <v>46419</v>
      </c>
      <c r="AJ3" s="3">
        <v>46447</v>
      </c>
      <c r="AK3" s="16" t="s">
        <v>443</v>
      </c>
    </row>
    <row r="4" spans="2:37" x14ac:dyDescent="0.3">
      <c r="B4" s="18">
        <f t="shared" ref="B4:B17" si="0">ROW()-ROW($B$3)</f>
        <v>1</v>
      </c>
      <c r="C4" s="19" t="s">
        <v>98</v>
      </c>
      <c r="D4" s="20">
        <f>VLOOKUP(C4,'AC Pivot'!$A:$O,2,0)</f>
        <v>540</v>
      </c>
      <c r="E4" s="21">
        <f>VLOOKUP(C4,'AC Pivot'!$A:$O,3,0)</f>
        <v>66</v>
      </c>
      <c r="F4" s="21">
        <f>VLOOKUP(C4,'AC Pivot'!$A:$O,4,0)</f>
        <v>81</v>
      </c>
      <c r="G4" s="21">
        <f>VLOOKUP(C4,'AC Pivot'!$A:$O,5,0)</f>
        <v>104</v>
      </c>
      <c r="H4" s="21">
        <f>VLOOKUP(C4,'AC Pivot'!$A:$O,6,0)</f>
        <v>142</v>
      </c>
      <c r="I4" s="21">
        <f>VLOOKUP(C4,'AC Pivot'!$A:$O,7,0)</f>
        <v>69</v>
      </c>
      <c r="J4" s="21">
        <f>VLOOKUP(C4,'AC Pivot'!$A:$O,8,0)</f>
        <v>10</v>
      </c>
      <c r="K4" s="21">
        <f>VLOOKUP(C4,'AC Pivot'!$A:$O,9,0)</f>
        <v>0</v>
      </c>
      <c r="L4" s="21">
        <f>VLOOKUP(C4,'AC Pivot'!$A:$O,10,0)</f>
        <v>0</v>
      </c>
      <c r="M4" s="21">
        <f>VLOOKUP(C4,'AC Pivot'!$A:$O,11,0)</f>
        <v>0</v>
      </c>
      <c r="N4" s="21">
        <f>VLOOKUP(C4,'AC Pivot'!$A:$O,12,0)</f>
        <v>0</v>
      </c>
      <c r="O4" s="21">
        <f>VLOOKUP(C4,'AC Pivot'!$A:$O,13,0)</f>
        <v>0</v>
      </c>
      <c r="P4" s="21">
        <f>VLOOKUP(C4,'AC Pivot'!$A:$O,14,0)</f>
        <v>0</v>
      </c>
      <c r="Q4" s="22">
        <f t="shared" ref="Q4:Q17" si="1">SUM(E4:P4)</f>
        <v>472</v>
      </c>
      <c r="R4" s="23">
        <f t="shared" ref="R4:R17" si="2">Q4/D4</f>
        <v>0.87407407407407411</v>
      </c>
      <c r="T4" s="24"/>
      <c r="U4" s="25"/>
      <c r="V4" s="25"/>
      <c r="W4" s="18">
        <f t="shared" ref="W4:W17" si="3">ROW()-ROW($B$3)</f>
        <v>1</v>
      </c>
      <c r="X4" s="19" t="str">
        <f>C4</f>
        <v>Shyamalesh Sarkar</v>
      </c>
      <c r="Y4" s="21">
        <f>VLOOKUP(X4,'AC Pivot'!$Q:$AD,2,0)</f>
        <v>3</v>
      </c>
      <c r="Z4" s="21">
        <f>VLOOKUP(X4,'AC Pivot'!$Q:$AD,3,0)</f>
        <v>3</v>
      </c>
      <c r="AA4" s="21">
        <f>VLOOKUP(X4,'AC Pivot'!$Q:$AD,4,0)</f>
        <v>3</v>
      </c>
      <c r="AB4" s="21">
        <f>VLOOKUP(X4,'AC Pivot'!$Q:$AD,5,0)</f>
        <v>3</v>
      </c>
      <c r="AC4" s="21">
        <f>VLOOKUP(X4,'AC Pivot'!$Q:$AD,6,0)</f>
        <v>3</v>
      </c>
      <c r="AD4" s="21">
        <f>VLOOKUP(X4,'AC Pivot'!$Q:$AD,7,0)</f>
        <v>3</v>
      </c>
      <c r="AE4" s="21">
        <f>VLOOKUP(X4,'AC Pivot'!$Q:$AD,8,0)</f>
        <v>0</v>
      </c>
      <c r="AF4" s="21">
        <f>VLOOKUP(X4,'AC Pivot'!$Q:$AD,9,0)</f>
        <v>0</v>
      </c>
      <c r="AG4" s="21">
        <f>VLOOKUP(X4,'AC Pivot'!$Q:$AD,10,0)</f>
        <v>0</v>
      </c>
      <c r="AH4" s="21">
        <f>VLOOKUP(X4,'AC Pivot'!$Q:$AD,11,0)</f>
        <v>0</v>
      </c>
      <c r="AI4" s="21">
        <f>VLOOKUP(X4,'AC Pivot'!$Q:$AD,12,0)</f>
        <v>0</v>
      </c>
      <c r="AJ4" s="21">
        <f>VLOOKUP(X4,'AC Pivot'!$Q:$AD,13,0)</f>
        <v>0</v>
      </c>
      <c r="AK4" s="22">
        <f>VLOOKUP(X4,'AC Pivot'!$Q:$AD,14,0)</f>
        <v>3</v>
      </c>
    </row>
    <row r="5" spans="2:37" x14ac:dyDescent="0.3">
      <c r="B5" s="18">
        <f t="shared" si="0"/>
        <v>2</v>
      </c>
      <c r="C5" s="19" t="s">
        <v>97</v>
      </c>
      <c r="D5" s="20">
        <f>VLOOKUP(C5,'AC Pivot'!$A:$O,2,0)</f>
        <v>840</v>
      </c>
      <c r="E5" s="21">
        <f>VLOOKUP(C5,'AC Pivot'!$A:$O,3,0)</f>
        <v>81</v>
      </c>
      <c r="F5" s="21">
        <f>VLOOKUP(C5,'AC Pivot'!$A:$O,4,0)</f>
        <v>145</v>
      </c>
      <c r="G5" s="21">
        <f>VLOOKUP(C5,'AC Pivot'!$A:$O,5,0)</f>
        <v>81</v>
      </c>
      <c r="H5" s="21">
        <f>VLOOKUP(C5,'AC Pivot'!$A:$O,6,0)</f>
        <v>92</v>
      </c>
      <c r="I5" s="21">
        <f>VLOOKUP(C5,'AC Pivot'!$A:$O,7,0)</f>
        <v>89</v>
      </c>
      <c r="J5" s="21">
        <f>VLOOKUP(C5,'AC Pivot'!$A:$O,8,0)</f>
        <v>10</v>
      </c>
      <c r="K5" s="21">
        <f>VLOOKUP(C5,'AC Pivot'!$A:$O,9,0)</f>
        <v>0</v>
      </c>
      <c r="L5" s="21">
        <f>VLOOKUP(C5,'AC Pivot'!$A:$O,10,0)</f>
        <v>0</v>
      </c>
      <c r="M5" s="21">
        <f>VLOOKUP(C5,'AC Pivot'!$A:$O,11,0)</f>
        <v>0</v>
      </c>
      <c r="N5" s="21">
        <f>VLOOKUP(C5,'AC Pivot'!$A:$O,12,0)</f>
        <v>0</v>
      </c>
      <c r="O5" s="21">
        <f>VLOOKUP(C5,'AC Pivot'!$A:$O,13,0)</f>
        <v>0</v>
      </c>
      <c r="P5" s="21">
        <f>VLOOKUP(C5,'AC Pivot'!$A:$O,14,0)</f>
        <v>0</v>
      </c>
      <c r="Q5" s="22">
        <f t="shared" si="1"/>
        <v>498</v>
      </c>
      <c r="R5" s="23">
        <f t="shared" si="2"/>
        <v>0.59285714285714286</v>
      </c>
      <c r="T5" s="24"/>
      <c r="U5" s="25"/>
      <c r="V5" s="25"/>
      <c r="W5" s="18">
        <f t="shared" si="3"/>
        <v>2</v>
      </c>
      <c r="X5" s="19" t="str">
        <f t="shared" ref="X5:X17" si="4">C5</f>
        <v>Chandi Charan Mahato</v>
      </c>
      <c r="Y5" s="21">
        <f>VLOOKUP(X5,'AC Pivot'!$Q:$AD,2,0)</f>
        <v>4</v>
      </c>
      <c r="Z5" s="21">
        <f>VLOOKUP(X5,'AC Pivot'!$Q:$AD,3,0)</f>
        <v>5</v>
      </c>
      <c r="AA5" s="21">
        <f>VLOOKUP(X5,'AC Pivot'!$Q:$AD,4,0)</f>
        <v>4</v>
      </c>
      <c r="AB5" s="21">
        <f>VLOOKUP(X5,'AC Pivot'!$Q:$AD,5,0)</f>
        <v>4</v>
      </c>
      <c r="AC5" s="21">
        <f>VLOOKUP(X5,'AC Pivot'!$Q:$AD,6,0)</f>
        <v>4</v>
      </c>
      <c r="AD5" s="21">
        <f>VLOOKUP(X5,'AC Pivot'!$Q:$AD,7,0)</f>
        <v>3</v>
      </c>
      <c r="AE5" s="21">
        <f>VLOOKUP(X5,'AC Pivot'!$Q:$AD,8,0)</f>
        <v>0</v>
      </c>
      <c r="AF5" s="21">
        <f>VLOOKUP(X5,'AC Pivot'!$Q:$AD,9,0)</f>
        <v>0</v>
      </c>
      <c r="AG5" s="21">
        <f>VLOOKUP(X5,'AC Pivot'!$Q:$AD,10,0)</f>
        <v>0</v>
      </c>
      <c r="AH5" s="21">
        <f>VLOOKUP(X5,'AC Pivot'!$Q:$AD,11,0)</f>
        <v>0</v>
      </c>
      <c r="AI5" s="21">
        <f>VLOOKUP(X5,'AC Pivot'!$Q:$AD,12,0)</f>
        <v>0</v>
      </c>
      <c r="AJ5" s="21">
        <f>VLOOKUP(X5,'AC Pivot'!$Q:$AD,13,0)</f>
        <v>0</v>
      </c>
      <c r="AK5" s="22">
        <f>VLOOKUP(X5,'AC Pivot'!$Q:$AD,14,0)</f>
        <v>5</v>
      </c>
    </row>
    <row r="6" spans="2:37" x14ac:dyDescent="0.3">
      <c r="B6" s="18">
        <f t="shared" si="0"/>
        <v>3</v>
      </c>
      <c r="C6" s="19" t="s">
        <v>101</v>
      </c>
      <c r="D6" s="20">
        <f>VLOOKUP(C6,'AC Pivot'!$A:$O,2,0)</f>
        <v>360</v>
      </c>
      <c r="E6" s="21">
        <f>VLOOKUP(C6,'AC Pivot'!$A:$O,3,0)</f>
        <v>25</v>
      </c>
      <c r="F6" s="21">
        <f>VLOOKUP(C6,'AC Pivot'!$A:$O,4,0)</f>
        <v>50</v>
      </c>
      <c r="G6" s="21">
        <f>VLOOKUP(C6,'AC Pivot'!$A:$O,5,0)</f>
        <v>24</v>
      </c>
      <c r="H6" s="21">
        <f>VLOOKUP(C6,'AC Pivot'!$A:$O,6,0)</f>
        <v>47</v>
      </c>
      <c r="I6" s="21">
        <f>VLOOKUP(C6,'AC Pivot'!$A:$O,7,0)</f>
        <v>33</v>
      </c>
      <c r="J6" s="21">
        <f>VLOOKUP(C6,'AC Pivot'!$A:$O,8,0)</f>
        <v>9</v>
      </c>
      <c r="K6" s="21">
        <f>VLOOKUP(C6,'AC Pivot'!$A:$O,9,0)</f>
        <v>0</v>
      </c>
      <c r="L6" s="21">
        <f>VLOOKUP(C6,'AC Pivot'!$A:$O,10,0)</f>
        <v>0</v>
      </c>
      <c r="M6" s="21">
        <f>VLOOKUP(C6,'AC Pivot'!$A:$O,11,0)</f>
        <v>0</v>
      </c>
      <c r="N6" s="21">
        <f>VLOOKUP(C6,'AC Pivot'!$A:$O,12,0)</f>
        <v>0</v>
      </c>
      <c r="O6" s="21">
        <f>VLOOKUP(C6,'AC Pivot'!$A:$O,13,0)</f>
        <v>0</v>
      </c>
      <c r="P6" s="21">
        <f>VLOOKUP(C6,'AC Pivot'!$A:$O,14,0)</f>
        <v>0</v>
      </c>
      <c r="Q6" s="22">
        <f t="shared" si="1"/>
        <v>188</v>
      </c>
      <c r="R6" s="23">
        <f t="shared" si="2"/>
        <v>0.52222222222222225</v>
      </c>
      <c r="W6" s="18">
        <f t="shared" si="3"/>
        <v>3</v>
      </c>
      <c r="X6" s="19" t="str">
        <f t="shared" si="4"/>
        <v>Pijush Singha</v>
      </c>
      <c r="Y6" s="21">
        <f>VLOOKUP(X6,'AC Pivot'!$Q:$AD,2,0)</f>
        <v>2</v>
      </c>
      <c r="Z6" s="21">
        <f>VLOOKUP(X6,'AC Pivot'!$Q:$AD,3,0)</f>
        <v>2</v>
      </c>
      <c r="AA6" s="21">
        <f>VLOOKUP(X6,'AC Pivot'!$Q:$AD,4,0)</f>
        <v>2</v>
      </c>
      <c r="AB6" s="21">
        <f>VLOOKUP(X6,'AC Pivot'!$Q:$AD,5,0)</f>
        <v>2</v>
      </c>
      <c r="AC6" s="21">
        <f>VLOOKUP(X6,'AC Pivot'!$Q:$AD,6,0)</f>
        <v>2</v>
      </c>
      <c r="AD6" s="21">
        <f>VLOOKUP(X6,'AC Pivot'!$Q:$AD,7,0)</f>
        <v>2</v>
      </c>
      <c r="AE6" s="21">
        <f>VLOOKUP(X6,'AC Pivot'!$Q:$AD,8,0)</f>
        <v>0</v>
      </c>
      <c r="AF6" s="21">
        <f>VLOOKUP(X6,'AC Pivot'!$Q:$AD,9,0)</f>
        <v>0</v>
      </c>
      <c r="AG6" s="21">
        <f>VLOOKUP(X6,'AC Pivot'!$Q:$AD,10,0)</f>
        <v>0</v>
      </c>
      <c r="AH6" s="21">
        <f>VLOOKUP(X6,'AC Pivot'!$Q:$AD,11,0)</f>
        <v>0</v>
      </c>
      <c r="AI6" s="21">
        <f>VLOOKUP(X6,'AC Pivot'!$Q:$AD,12,0)</f>
        <v>0</v>
      </c>
      <c r="AJ6" s="21">
        <f>VLOOKUP(X6,'AC Pivot'!$Q:$AD,13,0)</f>
        <v>0</v>
      </c>
      <c r="AK6" s="22">
        <f>VLOOKUP(X6,'AC Pivot'!$Q:$AD,14,0)</f>
        <v>2</v>
      </c>
    </row>
    <row r="7" spans="2:37" x14ac:dyDescent="0.3">
      <c r="B7" s="18">
        <f t="shared" si="0"/>
        <v>4</v>
      </c>
      <c r="C7" s="19" t="s">
        <v>96</v>
      </c>
      <c r="D7" s="20">
        <f>VLOOKUP(C7,'AC Pivot'!$A:$O,2,0)</f>
        <v>2220</v>
      </c>
      <c r="E7" s="21">
        <f>VLOOKUP(C7,'AC Pivot'!$A:$O,3,0)</f>
        <v>92</v>
      </c>
      <c r="F7" s="21">
        <f>VLOOKUP(C7,'AC Pivot'!$A:$O,4,0)</f>
        <v>386</v>
      </c>
      <c r="G7" s="21">
        <f>VLOOKUP(C7,'AC Pivot'!$A:$O,5,0)</f>
        <v>176</v>
      </c>
      <c r="H7" s="21">
        <f>VLOOKUP(C7,'AC Pivot'!$A:$O,6,0)</f>
        <v>301</v>
      </c>
      <c r="I7" s="21">
        <f>VLOOKUP(C7,'AC Pivot'!$A:$O,7,0)</f>
        <v>137</v>
      </c>
      <c r="J7" s="21">
        <f>VLOOKUP(C7,'AC Pivot'!$A:$O,8,0)</f>
        <v>21</v>
      </c>
      <c r="K7" s="21">
        <f>VLOOKUP(C7,'AC Pivot'!$A:$O,9,0)</f>
        <v>0</v>
      </c>
      <c r="L7" s="21">
        <f>VLOOKUP(C7,'AC Pivot'!$A:$O,10,0)</f>
        <v>0</v>
      </c>
      <c r="M7" s="21">
        <f>VLOOKUP(C7,'AC Pivot'!$A:$O,11,0)</f>
        <v>0</v>
      </c>
      <c r="N7" s="21">
        <f>VLOOKUP(C7,'AC Pivot'!$A:$O,12,0)</f>
        <v>0</v>
      </c>
      <c r="O7" s="21">
        <f>VLOOKUP(C7,'AC Pivot'!$A:$O,13,0)</f>
        <v>0</v>
      </c>
      <c r="P7" s="21">
        <f>VLOOKUP(C7,'AC Pivot'!$A:$O,14,0)</f>
        <v>0</v>
      </c>
      <c r="Q7" s="22">
        <f t="shared" si="1"/>
        <v>1113</v>
      </c>
      <c r="R7" s="23">
        <f t="shared" si="2"/>
        <v>0.50135135135135134</v>
      </c>
      <c r="T7" s="26"/>
      <c r="U7" s="27"/>
      <c r="W7" s="18">
        <f t="shared" si="3"/>
        <v>4</v>
      </c>
      <c r="X7" s="19" t="str">
        <f t="shared" si="4"/>
        <v>Sunil Biswas</v>
      </c>
      <c r="Y7" s="21">
        <f>VLOOKUP(X7,'AC Pivot'!$Q:$AD,2,0)</f>
        <v>13</v>
      </c>
      <c r="Z7" s="21">
        <f>VLOOKUP(X7,'AC Pivot'!$Q:$AD,3,0)</f>
        <v>11</v>
      </c>
      <c r="AA7" s="21">
        <f>VLOOKUP(X7,'AC Pivot'!$Q:$AD,4,0)</f>
        <v>12</v>
      </c>
      <c r="AB7" s="21">
        <f>VLOOKUP(X7,'AC Pivot'!$Q:$AD,5,0)</f>
        <v>13</v>
      </c>
      <c r="AC7" s="21">
        <f>VLOOKUP(X7,'AC Pivot'!$Q:$AD,6,0)</f>
        <v>12</v>
      </c>
      <c r="AD7" s="21">
        <f>VLOOKUP(X7,'AC Pivot'!$Q:$AD,7,0)</f>
        <v>9</v>
      </c>
      <c r="AE7" s="21">
        <f>VLOOKUP(X7,'AC Pivot'!$Q:$AD,8,0)</f>
        <v>0</v>
      </c>
      <c r="AF7" s="21">
        <f>VLOOKUP(X7,'AC Pivot'!$Q:$AD,9,0)</f>
        <v>0</v>
      </c>
      <c r="AG7" s="21">
        <f>VLOOKUP(X7,'AC Pivot'!$Q:$AD,10,0)</f>
        <v>0</v>
      </c>
      <c r="AH7" s="21">
        <f>VLOOKUP(X7,'AC Pivot'!$Q:$AD,11,0)</f>
        <v>0</v>
      </c>
      <c r="AI7" s="21">
        <f>VLOOKUP(X7,'AC Pivot'!$Q:$AD,12,0)</f>
        <v>0</v>
      </c>
      <c r="AJ7" s="21">
        <f>VLOOKUP(X7,'AC Pivot'!$Q:$AD,13,0)</f>
        <v>0</v>
      </c>
      <c r="AK7" s="22">
        <f>VLOOKUP(X7,'AC Pivot'!$Q:$AD,14,0)</f>
        <v>15</v>
      </c>
    </row>
    <row r="8" spans="2:37" x14ac:dyDescent="0.3">
      <c r="B8" s="18">
        <f t="shared" si="0"/>
        <v>5</v>
      </c>
      <c r="C8" s="19" t="s">
        <v>103</v>
      </c>
      <c r="D8" s="20">
        <f>VLOOKUP(C8,'AC Pivot'!$A:$O,2,0)</f>
        <v>180</v>
      </c>
      <c r="E8" s="21">
        <f>VLOOKUP(C8,'AC Pivot'!$A:$O,3,0)</f>
        <v>13</v>
      </c>
      <c r="F8" s="21">
        <f>VLOOKUP(C8,'AC Pivot'!$A:$O,4,0)</f>
        <v>20</v>
      </c>
      <c r="G8" s="21">
        <f>VLOOKUP(C8,'AC Pivot'!$A:$O,5,0)</f>
        <v>9</v>
      </c>
      <c r="H8" s="21">
        <f>VLOOKUP(C8,'AC Pivot'!$A:$O,6,0)</f>
        <v>19</v>
      </c>
      <c r="I8" s="21">
        <f>VLOOKUP(C8,'AC Pivot'!$A:$O,7,0)</f>
        <v>14</v>
      </c>
      <c r="J8" s="21">
        <f>VLOOKUP(C8,'AC Pivot'!$A:$O,8,0)</f>
        <v>1</v>
      </c>
      <c r="K8" s="21">
        <f>VLOOKUP(C8,'AC Pivot'!$A:$O,9,0)</f>
        <v>0</v>
      </c>
      <c r="L8" s="21">
        <f>VLOOKUP(C8,'AC Pivot'!$A:$O,10,0)</f>
        <v>0</v>
      </c>
      <c r="M8" s="21">
        <f>VLOOKUP(C8,'AC Pivot'!$A:$O,11,0)</f>
        <v>0</v>
      </c>
      <c r="N8" s="21">
        <f>VLOOKUP(C8,'AC Pivot'!$A:$O,12,0)</f>
        <v>0</v>
      </c>
      <c r="O8" s="21">
        <f>VLOOKUP(C8,'AC Pivot'!$A:$O,13,0)</f>
        <v>0</v>
      </c>
      <c r="P8" s="21">
        <f>VLOOKUP(C8,'AC Pivot'!$A:$O,14,0)</f>
        <v>0</v>
      </c>
      <c r="Q8" s="22">
        <f t="shared" si="1"/>
        <v>76</v>
      </c>
      <c r="R8" s="23">
        <f t="shared" si="2"/>
        <v>0.42222222222222222</v>
      </c>
      <c r="T8" s="26"/>
      <c r="U8" s="27"/>
      <c r="W8" s="18">
        <f t="shared" si="3"/>
        <v>5</v>
      </c>
      <c r="X8" s="19" t="str">
        <f t="shared" si="4"/>
        <v>Sanjoy Paul</v>
      </c>
      <c r="Y8" s="21">
        <f>VLOOKUP(X8,'AC Pivot'!$Q:$AD,2,0)</f>
        <v>1</v>
      </c>
      <c r="Z8" s="21">
        <f>VLOOKUP(X8,'AC Pivot'!$Q:$AD,3,0)</f>
        <v>1</v>
      </c>
      <c r="AA8" s="21">
        <f>VLOOKUP(X8,'AC Pivot'!$Q:$AD,4,0)</f>
        <v>1</v>
      </c>
      <c r="AB8" s="21">
        <f>VLOOKUP(X8,'AC Pivot'!$Q:$AD,5,0)</f>
        <v>1</v>
      </c>
      <c r="AC8" s="21">
        <f>VLOOKUP(X8,'AC Pivot'!$Q:$AD,6,0)</f>
        <v>1</v>
      </c>
      <c r="AD8" s="21">
        <f>VLOOKUP(X8,'AC Pivot'!$Q:$AD,7,0)</f>
        <v>1</v>
      </c>
      <c r="AE8" s="21">
        <f>VLOOKUP(X8,'AC Pivot'!$Q:$AD,8,0)</f>
        <v>0</v>
      </c>
      <c r="AF8" s="21">
        <f>VLOOKUP(X8,'AC Pivot'!$Q:$AD,9,0)</f>
        <v>0</v>
      </c>
      <c r="AG8" s="21">
        <f>VLOOKUP(X8,'AC Pivot'!$Q:$AD,10,0)</f>
        <v>0</v>
      </c>
      <c r="AH8" s="21">
        <f>VLOOKUP(X8,'AC Pivot'!$Q:$AD,11,0)</f>
        <v>0</v>
      </c>
      <c r="AI8" s="21">
        <f>VLOOKUP(X8,'AC Pivot'!$Q:$AD,12,0)</f>
        <v>0</v>
      </c>
      <c r="AJ8" s="21">
        <f>VLOOKUP(X8,'AC Pivot'!$Q:$AD,13,0)</f>
        <v>0</v>
      </c>
      <c r="AK8" s="22">
        <f>VLOOKUP(X8,'AC Pivot'!$Q:$AD,14,0)</f>
        <v>1</v>
      </c>
    </row>
    <row r="9" spans="2:37" x14ac:dyDescent="0.3">
      <c r="B9" s="18">
        <f t="shared" si="0"/>
        <v>6</v>
      </c>
      <c r="C9" s="19" t="s">
        <v>100</v>
      </c>
      <c r="D9" s="20">
        <f>VLOOKUP(C9,'AC Pivot'!$A:$O,2,0)</f>
        <v>360</v>
      </c>
      <c r="E9" s="21">
        <f>VLOOKUP(C9,'AC Pivot'!$A:$O,3,0)</f>
        <v>18</v>
      </c>
      <c r="F9" s="21">
        <f>VLOOKUP(C9,'AC Pivot'!$A:$O,4,0)</f>
        <v>35</v>
      </c>
      <c r="G9" s="21">
        <f>VLOOKUP(C9,'AC Pivot'!$A:$O,5,0)</f>
        <v>31</v>
      </c>
      <c r="H9" s="21">
        <f>VLOOKUP(C9,'AC Pivot'!$A:$O,6,0)</f>
        <v>34</v>
      </c>
      <c r="I9" s="21">
        <f>VLOOKUP(C9,'AC Pivot'!$A:$O,7,0)</f>
        <v>21</v>
      </c>
      <c r="J9" s="21">
        <f>VLOOKUP(C9,'AC Pivot'!$A:$O,8,0)</f>
        <v>10</v>
      </c>
      <c r="K9" s="21">
        <f>VLOOKUP(C9,'AC Pivot'!$A:$O,9,0)</f>
        <v>0</v>
      </c>
      <c r="L9" s="21">
        <f>VLOOKUP(C9,'AC Pivot'!$A:$O,10,0)</f>
        <v>0</v>
      </c>
      <c r="M9" s="21">
        <f>VLOOKUP(C9,'AC Pivot'!$A:$O,11,0)</f>
        <v>0</v>
      </c>
      <c r="N9" s="21">
        <f>VLOOKUP(C9,'AC Pivot'!$A:$O,12,0)</f>
        <v>0</v>
      </c>
      <c r="O9" s="21">
        <f>VLOOKUP(C9,'AC Pivot'!$A:$O,13,0)</f>
        <v>0</v>
      </c>
      <c r="P9" s="21">
        <f>VLOOKUP(C9,'AC Pivot'!$A:$O,14,0)</f>
        <v>0</v>
      </c>
      <c r="Q9" s="22">
        <f t="shared" si="1"/>
        <v>149</v>
      </c>
      <c r="R9" s="23">
        <f t="shared" si="2"/>
        <v>0.41388888888888886</v>
      </c>
      <c r="T9" s="26"/>
      <c r="U9" s="27"/>
      <c r="W9" s="18">
        <f t="shared" si="3"/>
        <v>6</v>
      </c>
      <c r="X9" s="19" t="str">
        <f t="shared" si="4"/>
        <v>Rajiul Momin</v>
      </c>
      <c r="Y9" s="21">
        <f>VLOOKUP(X9,'AC Pivot'!$Q:$AD,2,0)</f>
        <v>2</v>
      </c>
      <c r="Z9" s="21">
        <f>VLOOKUP(X9,'AC Pivot'!$Q:$AD,3,0)</f>
        <v>2</v>
      </c>
      <c r="AA9" s="21">
        <f>VLOOKUP(X9,'AC Pivot'!$Q:$AD,4,0)</f>
        <v>2</v>
      </c>
      <c r="AB9" s="21">
        <f>VLOOKUP(X9,'AC Pivot'!$Q:$AD,5,0)</f>
        <v>2</v>
      </c>
      <c r="AC9" s="21">
        <f>VLOOKUP(X9,'AC Pivot'!$Q:$AD,6,0)</f>
        <v>2</v>
      </c>
      <c r="AD9" s="21">
        <f>VLOOKUP(X9,'AC Pivot'!$Q:$AD,7,0)</f>
        <v>2</v>
      </c>
      <c r="AE9" s="21">
        <f>VLOOKUP(X9,'AC Pivot'!$Q:$AD,8,0)</f>
        <v>0</v>
      </c>
      <c r="AF9" s="21">
        <f>VLOOKUP(X9,'AC Pivot'!$Q:$AD,9,0)</f>
        <v>0</v>
      </c>
      <c r="AG9" s="21">
        <f>VLOOKUP(X9,'AC Pivot'!$Q:$AD,10,0)</f>
        <v>0</v>
      </c>
      <c r="AH9" s="21">
        <f>VLOOKUP(X9,'AC Pivot'!$Q:$AD,11,0)</f>
        <v>0</v>
      </c>
      <c r="AI9" s="21">
        <f>VLOOKUP(X9,'AC Pivot'!$Q:$AD,12,0)</f>
        <v>0</v>
      </c>
      <c r="AJ9" s="21">
        <f>VLOOKUP(X9,'AC Pivot'!$Q:$AD,13,0)</f>
        <v>0</v>
      </c>
      <c r="AK9" s="22">
        <f>VLOOKUP(X9,'AC Pivot'!$Q:$AD,14,0)</f>
        <v>2</v>
      </c>
    </row>
    <row r="10" spans="2:37" x14ac:dyDescent="0.3">
      <c r="B10" s="18">
        <f t="shared" si="0"/>
        <v>7</v>
      </c>
      <c r="C10" s="19" t="s">
        <v>93</v>
      </c>
      <c r="D10" s="20">
        <f>VLOOKUP(C10,'AC Pivot'!$A:$O,2,0)</f>
        <v>960</v>
      </c>
      <c r="E10" s="21">
        <f>VLOOKUP(C10,'AC Pivot'!$A:$O,3,0)</f>
        <v>39</v>
      </c>
      <c r="F10" s="21">
        <f>VLOOKUP(C10,'AC Pivot'!$A:$O,4,0)</f>
        <v>66</v>
      </c>
      <c r="G10" s="21">
        <f>VLOOKUP(C10,'AC Pivot'!$A:$O,5,0)</f>
        <v>86</v>
      </c>
      <c r="H10" s="21">
        <f>VLOOKUP(C10,'AC Pivot'!$A:$O,6,0)</f>
        <v>103</v>
      </c>
      <c r="I10" s="21">
        <f>VLOOKUP(C10,'AC Pivot'!$A:$O,7,0)</f>
        <v>87</v>
      </c>
      <c r="J10" s="21">
        <f>VLOOKUP(C10,'AC Pivot'!$A:$O,8,0)</f>
        <v>13</v>
      </c>
      <c r="K10" s="21">
        <f>VLOOKUP(C10,'AC Pivot'!$A:$O,9,0)</f>
        <v>0</v>
      </c>
      <c r="L10" s="21">
        <f>VLOOKUP(C10,'AC Pivot'!$A:$O,10,0)</f>
        <v>0</v>
      </c>
      <c r="M10" s="21">
        <f>VLOOKUP(C10,'AC Pivot'!$A:$O,11,0)</f>
        <v>0</v>
      </c>
      <c r="N10" s="21">
        <f>VLOOKUP(C10,'AC Pivot'!$A:$O,12,0)</f>
        <v>0</v>
      </c>
      <c r="O10" s="21">
        <f>VLOOKUP(C10,'AC Pivot'!$A:$O,13,0)</f>
        <v>0</v>
      </c>
      <c r="P10" s="21">
        <f>VLOOKUP(C10,'AC Pivot'!$A:$O,14,0)</f>
        <v>0</v>
      </c>
      <c r="Q10" s="22">
        <f t="shared" si="1"/>
        <v>394</v>
      </c>
      <c r="R10" s="23">
        <f t="shared" si="2"/>
        <v>0.41041666666666665</v>
      </c>
      <c r="W10" s="18">
        <f t="shared" si="3"/>
        <v>7</v>
      </c>
      <c r="X10" s="19" t="str">
        <f t="shared" si="4"/>
        <v>Manindra Nath Barman</v>
      </c>
      <c r="Y10" s="21">
        <f>VLOOKUP(X10,'AC Pivot'!$Q:$AD,2,0)</f>
        <v>3</v>
      </c>
      <c r="Z10" s="21">
        <f>VLOOKUP(X10,'AC Pivot'!$Q:$AD,3,0)</f>
        <v>3</v>
      </c>
      <c r="AA10" s="21">
        <f>VLOOKUP(X10,'AC Pivot'!$Q:$AD,4,0)</f>
        <v>4</v>
      </c>
      <c r="AB10" s="21">
        <f>VLOOKUP(X10,'AC Pivot'!$Q:$AD,5,0)</f>
        <v>6</v>
      </c>
      <c r="AC10" s="21">
        <f>VLOOKUP(X10,'AC Pivot'!$Q:$AD,6,0)</f>
        <v>6</v>
      </c>
      <c r="AD10" s="21">
        <f>VLOOKUP(X10,'AC Pivot'!$Q:$AD,7,0)</f>
        <v>5</v>
      </c>
      <c r="AE10" s="21">
        <f>VLOOKUP(X10,'AC Pivot'!$Q:$AD,8,0)</f>
        <v>0</v>
      </c>
      <c r="AF10" s="21">
        <f>VLOOKUP(X10,'AC Pivot'!$Q:$AD,9,0)</f>
        <v>0</v>
      </c>
      <c r="AG10" s="21">
        <f>VLOOKUP(X10,'AC Pivot'!$Q:$AD,10,0)</f>
        <v>0</v>
      </c>
      <c r="AH10" s="21">
        <f>VLOOKUP(X10,'AC Pivot'!$Q:$AD,11,0)</f>
        <v>0</v>
      </c>
      <c r="AI10" s="21">
        <f>VLOOKUP(X10,'AC Pivot'!$Q:$AD,12,0)</f>
        <v>0</v>
      </c>
      <c r="AJ10" s="21">
        <f>VLOOKUP(X10,'AC Pivot'!$Q:$AD,13,0)</f>
        <v>0</v>
      </c>
      <c r="AK10" s="22">
        <f>VLOOKUP(X10,'AC Pivot'!$Q:$AD,14,0)</f>
        <v>7</v>
      </c>
    </row>
    <row r="11" spans="2:37" x14ac:dyDescent="0.3">
      <c r="B11" s="18">
        <f t="shared" si="0"/>
        <v>8</v>
      </c>
      <c r="C11" s="19" t="s">
        <v>345</v>
      </c>
      <c r="D11" s="20">
        <f>VLOOKUP(C11,'AC Pivot'!$A:$O,2,0)</f>
        <v>1140</v>
      </c>
      <c r="E11" s="21">
        <f>VLOOKUP(C11,'AC Pivot'!$A:$O,3,0)</f>
        <v>48</v>
      </c>
      <c r="F11" s="21">
        <f>VLOOKUP(C11,'AC Pivot'!$A:$O,4,0)</f>
        <v>71</v>
      </c>
      <c r="G11" s="21">
        <f>VLOOKUP(C11,'AC Pivot'!$A:$O,5,0)</f>
        <v>92</v>
      </c>
      <c r="H11" s="21">
        <f>VLOOKUP(C11,'AC Pivot'!$A:$O,6,0)</f>
        <v>83</v>
      </c>
      <c r="I11" s="21">
        <f>VLOOKUP(C11,'AC Pivot'!$A:$O,7,0)</f>
        <v>85</v>
      </c>
      <c r="J11" s="21">
        <f>VLOOKUP(C11,'AC Pivot'!$A:$O,8,0)</f>
        <v>18</v>
      </c>
      <c r="K11" s="21">
        <f>VLOOKUP(C11,'AC Pivot'!$A:$O,9,0)</f>
        <v>0</v>
      </c>
      <c r="L11" s="21">
        <f>VLOOKUP(C11,'AC Pivot'!$A:$O,10,0)</f>
        <v>0</v>
      </c>
      <c r="M11" s="21">
        <f>VLOOKUP(C11,'AC Pivot'!$A:$O,11,0)</f>
        <v>0</v>
      </c>
      <c r="N11" s="21">
        <f>VLOOKUP(C11,'AC Pivot'!$A:$O,12,0)</f>
        <v>0</v>
      </c>
      <c r="O11" s="21">
        <f>VLOOKUP(C11,'AC Pivot'!$A:$O,13,0)</f>
        <v>0</v>
      </c>
      <c r="P11" s="21">
        <f>VLOOKUP(C11,'AC Pivot'!$A:$O,14,0)</f>
        <v>0</v>
      </c>
      <c r="Q11" s="22">
        <f t="shared" si="1"/>
        <v>397</v>
      </c>
      <c r="R11" s="23">
        <f t="shared" si="2"/>
        <v>0.34824561403508769</v>
      </c>
      <c r="W11" s="18">
        <f t="shared" si="3"/>
        <v>8</v>
      </c>
      <c r="X11" s="19" t="str">
        <f t="shared" si="4"/>
        <v>Under Office (Birbhum)</v>
      </c>
      <c r="Y11" s="21">
        <f>VLOOKUP(X11,'AC Pivot'!$Q:$AD,2,0)</f>
        <v>7</v>
      </c>
      <c r="Z11" s="21">
        <f>VLOOKUP(X11,'AC Pivot'!$Q:$AD,3,0)</f>
        <v>6</v>
      </c>
      <c r="AA11" s="21">
        <f>VLOOKUP(X11,'AC Pivot'!$Q:$AD,4,0)</f>
        <v>6</v>
      </c>
      <c r="AB11" s="21">
        <f>VLOOKUP(X11,'AC Pivot'!$Q:$AD,5,0)</f>
        <v>6</v>
      </c>
      <c r="AC11" s="21">
        <f>VLOOKUP(X11,'AC Pivot'!$Q:$AD,6,0)</f>
        <v>6</v>
      </c>
      <c r="AD11" s="21">
        <f>VLOOKUP(X11,'AC Pivot'!$Q:$AD,7,0)</f>
        <v>5</v>
      </c>
      <c r="AE11" s="21">
        <f>VLOOKUP(X11,'AC Pivot'!$Q:$AD,8,0)</f>
        <v>0</v>
      </c>
      <c r="AF11" s="21">
        <f>VLOOKUP(X11,'AC Pivot'!$Q:$AD,9,0)</f>
        <v>0</v>
      </c>
      <c r="AG11" s="21">
        <f>VLOOKUP(X11,'AC Pivot'!$Q:$AD,10,0)</f>
        <v>0</v>
      </c>
      <c r="AH11" s="21">
        <f>VLOOKUP(X11,'AC Pivot'!$Q:$AD,11,0)</f>
        <v>0</v>
      </c>
      <c r="AI11" s="21">
        <f>VLOOKUP(X11,'AC Pivot'!$Q:$AD,12,0)</f>
        <v>0</v>
      </c>
      <c r="AJ11" s="21">
        <f>VLOOKUP(X11,'AC Pivot'!$Q:$AD,13,0)</f>
        <v>0</v>
      </c>
      <c r="AK11" s="22">
        <f>VLOOKUP(X11,'AC Pivot'!$Q:$AD,14,0)</f>
        <v>7</v>
      </c>
    </row>
    <row r="12" spans="2:37" x14ac:dyDescent="0.3">
      <c r="B12" s="18">
        <f t="shared" si="0"/>
        <v>9</v>
      </c>
      <c r="C12" s="19" t="s">
        <v>102</v>
      </c>
      <c r="D12" s="20">
        <f>VLOOKUP(C12,'AC Pivot'!$A:$O,2,0)</f>
        <v>540</v>
      </c>
      <c r="E12" s="21">
        <f>VLOOKUP(C12,'AC Pivot'!$A:$O,3,0)</f>
        <v>13</v>
      </c>
      <c r="F12" s="21">
        <f>VLOOKUP(C12,'AC Pivot'!$A:$O,4,0)</f>
        <v>46</v>
      </c>
      <c r="G12" s="21">
        <f>VLOOKUP(C12,'AC Pivot'!$A:$O,5,0)</f>
        <v>39</v>
      </c>
      <c r="H12" s="21">
        <f>VLOOKUP(C12,'AC Pivot'!$A:$O,6,0)</f>
        <v>33</v>
      </c>
      <c r="I12" s="21">
        <f>VLOOKUP(C12,'AC Pivot'!$A:$O,7,0)</f>
        <v>39</v>
      </c>
      <c r="J12" s="21">
        <f>VLOOKUP(C12,'AC Pivot'!$A:$O,8,0)</f>
        <v>13</v>
      </c>
      <c r="K12" s="21">
        <f>VLOOKUP(C12,'AC Pivot'!$A:$O,9,0)</f>
        <v>0</v>
      </c>
      <c r="L12" s="21">
        <f>VLOOKUP(C12,'AC Pivot'!$A:$O,10,0)</f>
        <v>0</v>
      </c>
      <c r="M12" s="21">
        <f>VLOOKUP(C12,'AC Pivot'!$A:$O,11,0)</f>
        <v>0</v>
      </c>
      <c r="N12" s="21">
        <f>VLOOKUP(C12,'AC Pivot'!$A:$O,12,0)</f>
        <v>0</v>
      </c>
      <c r="O12" s="21">
        <f>VLOOKUP(C12,'AC Pivot'!$A:$O,13,0)</f>
        <v>0</v>
      </c>
      <c r="P12" s="21">
        <f>VLOOKUP(C12,'AC Pivot'!$A:$O,14,0)</f>
        <v>0</v>
      </c>
      <c r="Q12" s="22">
        <f t="shared" si="1"/>
        <v>183</v>
      </c>
      <c r="R12" s="23">
        <f t="shared" si="2"/>
        <v>0.33888888888888891</v>
      </c>
      <c r="W12" s="18">
        <f t="shared" si="3"/>
        <v>9</v>
      </c>
      <c r="X12" s="19" t="str">
        <f t="shared" si="4"/>
        <v>Rajendra Kumar Bapari</v>
      </c>
      <c r="Y12" s="21">
        <f>VLOOKUP(X12,'AC Pivot'!$Q:$AD,2,0)</f>
        <v>2</v>
      </c>
      <c r="Z12" s="21">
        <f>VLOOKUP(X12,'AC Pivot'!$Q:$AD,3,0)</f>
        <v>3</v>
      </c>
      <c r="AA12" s="21">
        <f>VLOOKUP(X12,'AC Pivot'!$Q:$AD,4,0)</f>
        <v>3</v>
      </c>
      <c r="AB12" s="21">
        <f>VLOOKUP(X12,'AC Pivot'!$Q:$AD,5,0)</f>
        <v>3</v>
      </c>
      <c r="AC12" s="21">
        <f>VLOOKUP(X12,'AC Pivot'!$Q:$AD,6,0)</f>
        <v>3</v>
      </c>
      <c r="AD12" s="21">
        <f>VLOOKUP(X12,'AC Pivot'!$Q:$AD,7,0)</f>
        <v>3</v>
      </c>
      <c r="AE12" s="21">
        <f>VLOOKUP(X12,'AC Pivot'!$Q:$AD,8,0)</f>
        <v>0</v>
      </c>
      <c r="AF12" s="21">
        <f>VLOOKUP(X12,'AC Pivot'!$Q:$AD,9,0)</f>
        <v>0</v>
      </c>
      <c r="AG12" s="21">
        <f>VLOOKUP(X12,'AC Pivot'!$Q:$AD,10,0)</f>
        <v>0</v>
      </c>
      <c r="AH12" s="21">
        <f>VLOOKUP(X12,'AC Pivot'!$Q:$AD,11,0)</f>
        <v>0</v>
      </c>
      <c r="AI12" s="21">
        <f>VLOOKUP(X12,'AC Pivot'!$Q:$AD,12,0)</f>
        <v>0</v>
      </c>
      <c r="AJ12" s="21">
        <f>VLOOKUP(X12,'AC Pivot'!$Q:$AD,13,0)</f>
        <v>0</v>
      </c>
      <c r="AK12" s="22">
        <f>VLOOKUP(X12,'AC Pivot'!$Q:$AD,14,0)</f>
        <v>3</v>
      </c>
    </row>
    <row r="13" spans="2:37" x14ac:dyDescent="0.3">
      <c r="B13" s="18">
        <f t="shared" si="0"/>
        <v>10</v>
      </c>
      <c r="C13" s="19" t="s">
        <v>455</v>
      </c>
      <c r="D13" s="20">
        <f>VLOOKUP(C13,'AC Pivot'!$A:$O,2,0)</f>
        <v>2760</v>
      </c>
      <c r="E13" s="21">
        <f>VLOOKUP(C13,'AC Pivot'!$A:$O,3,0)</f>
        <v>78</v>
      </c>
      <c r="F13" s="21">
        <f>VLOOKUP(C13,'AC Pivot'!$A:$O,4,0)</f>
        <v>249</v>
      </c>
      <c r="G13" s="21">
        <f>VLOOKUP(C13,'AC Pivot'!$A:$O,5,0)</f>
        <v>223</v>
      </c>
      <c r="H13" s="21">
        <f>VLOOKUP(C13,'AC Pivot'!$A:$O,6,0)</f>
        <v>211</v>
      </c>
      <c r="I13" s="21">
        <f>VLOOKUP(C13,'AC Pivot'!$A:$O,7,0)</f>
        <v>143</v>
      </c>
      <c r="J13" s="21">
        <f>VLOOKUP(C13,'AC Pivot'!$A:$O,8,0)</f>
        <v>18</v>
      </c>
      <c r="K13" s="21">
        <f>VLOOKUP(C13,'AC Pivot'!$A:$O,9,0)</f>
        <v>0</v>
      </c>
      <c r="L13" s="21">
        <f>VLOOKUP(C13,'AC Pivot'!$A:$O,10,0)</f>
        <v>0</v>
      </c>
      <c r="M13" s="21">
        <f>VLOOKUP(C13,'AC Pivot'!$A:$O,11,0)</f>
        <v>0</v>
      </c>
      <c r="N13" s="21">
        <f>VLOOKUP(C13,'AC Pivot'!$A:$O,12,0)</f>
        <v>0</v>
      </c>
      <c r="O13" s="21">
        <f>VLOOKUP(C13,'AC Pivot'!$A:$O,13,0)</f>
        <v>0</v>
      </c>
      <c r="P13" s="21">
        <f>VLOOKUP(C13,'AC Pivot'!$A:$O,14,0)</f>
        <v>0</v>
      </c>
      <c r="Q13" s="22">
        <f t="shared" si="1"/>
        <v>922</v>
      </c>
      <c r="R13" s="23">
        <f t="shared" si="2"/>
        <v>0.33405797101449275</v>
      </c>
      <c r="W13" s="18">
        <f t="shared" si="3"/>
        <v>10</v>
      </c>
      <c r="X13" s="19" t="str">
        <f t="shared" si="4"/>
        <v>Souvik Maity</v>
      </c>
      <c r="Y13" s="21">
        <f>VLOOKUP(X13,'AC Pivot'!$Q:$AD,2,0)</f>
        <v>15</v>
      </c>
      <c r="Z13" s="21">
        <f>VLOOKUP(X13,'AC Pivot'!$Q:$AD,3,0)</f>
        <v>15</v>
      </c>
      <c r="AA13" s="21">
        <f>VLOOKUP(X13,'AC Pivot'!$Q:$AD,4,0)</f>
        <v>14</v>
      </c>
      <c r="AB13" s="21">
        <f>VLOOKUP(X13,'AC Pivot'!$Q:$AD,5,0)</f>
        <v>14</v>
      </c>
      <c r="AC13" s="21">
        <f>VLOOKUP(X13,'AC Pivot'!$Q:$AD,6,0)</f>
        <v>14</v>
      </c>
      <c r="AD13" s="21">
        <f>VLOOKUP(X13,'AC Pivot'!$Q:$AD,7,0)</f>
        <v>8</v>
      </c>
      <c r="AE13" s="21">
        <f>VLOOKUP(X13,'AC Pivot'!$Q:$AD,8,0)</f>
        <v>0</v>
      </c>
      <c r="AF13" s="21">
        <f>VLOOKUP(X13,'AC Pivot'!$Q:$AD,9,0)</f>
        <v>0</v>
      </c>
      <c r="AG13" s="21">
        <f>VLOOKUP(X13,'AC Pivot'!$Q:$AD,10,0)</f>
        <v>0</v>
      </c>
      <c r="AH13" s="21">
        <f>VLOOKUP(X13,'AC Pivot'!$Q:$AD,11,0)</f>
        <v>0</v>
      </c>
      <c r="AI13" s="21">
        <f>VLOOKUP(X13,'AC Pivot'!$Q:$AD,12,0)</f>
        <v>0</v>
      </c>
      <c r="AJ13" s="21">
        <f>VLOOKUP(X13,'AC Pivot'!$Q:$AD,13,0)</f>
        <v>0</v>
      </c>
      <c r="AK13" s="22">
        <f>VLOOKUP(X13,'AC Pivot'!$Q:$AD,14,0)</f>
        <v>16</v>
      </c>
    </row>
    <row r="14" spans="2:37" x14ac:dyDescent="0.3">
      <c r="B14" s="18">
        <f t="shared" si="0"/>
        <v>11</v>
      </c>
      <c r="C14" s="19" t="s">
        <v>457</v>
      </c>
      <c r="D14" s="20">
        <f>VLOOKUP(C14,'AC Pivot'!$A:$O,2,0)</f>
        <v>3420</v>
      </c>
      <c r="E14" s="21">
        <f>VLOOKUP(C14,'AC Pivot'!$A:$O,3,0)</f>
        <v>97</v>
      </c>
      <c r="F14" s="21">
        <f>VLOOKUP(C14,'AC Pivot'!$A:$O,4,0)</f>
        <v>245</v>
      </c>
      <c r="G14" s="21">
        <f>VLOOKUP(C14,'AC Pivot'!$A:$O,5,0)</f>
        <v>204</v>
      </c>
      <c r="H14" s="21">
        <f>VLOOKUP(C14,'AC Pivot'!$A:$O,6,0)</f>
        <v>196</v>
      </c>
      <c r="I14" s="21">
        <f>VLOOKUP(C14,'AC Pivot'!$A:$O,7,0)</f>
        <v>179</v>
      </c>
      <c r="J14" s="21">
        <f>VLOOKUP(C14,'AC Pivot'!$A:$O,8,0)</f>
        <v>28</v>
      </c>
      <c r="K14" s="21">
        <f>VLOOKUP(C14,'AC Pivot'!$A:$O,9,0)</f>
        <v>0</v>
      </c>
      <c r="L14" s="21">
        <f>VLOOKUP(C14,'AC Pivot'!$A:$O,10,0)</f>
        <v>0</v>
      </c>
      <c r="M14" s="21">
        <f>VLOOKUP(C14,'AC Pivot'!$A:$O,11,0)</f>
        <v>0</v>
      </c>
      <c r="N14" s="21">
        <f>VLOOKUP(C14,'AC Pivot'!$A:$O,12,0)</f>
        <v>0</v>
      </c>
      <c r="O14" s="21">
        <f>VLOOKUP(C14,'AC Pivot'!$A:$O,13,0)</f>
        <v>0</v>
      </c>
      <c r="P14" s="21">
        <f>VLOOKUP(C14,'AC Pivot'!$A:$O,14,0)</f>
        <v>0</v>
      </c>
      <c r="Q14" s="22">
        <f t="shared" si="1"/>
        <v>949</v>
      </c>
      <c r="R14" s="23">
        <f t="shared" si="2"/>
        <v>0.27748538011695906</v>
      </c>
      <c r="W14" s="18">
        <f t="shared" si="3"/>
        <v>11</v>
      </c>
      <c r="X14" s="19" t="str">
        <f t="shared" si="4"/>
        <v>Under Office (W Medinipur)</v>
      </c>
      <c r="Y14" s="21">
        <f>VLOOKUP(X14,'AC Pivot'!$Q:$AD,2,0)</f>
        <v>15</v>
      </c>
      <c r="Z14" s="21">
        <f>VLOOKUP(X14,'AC Pivot'!$Q:$AD,3,0)</f>
        <v>19</v>
      </c>
      <c r="AA14" s="21">
        <f>VLOOKUP(X14,'AC Pivot'!$Q:$AD,4,0)</f>
        <v>18</v>
      </c>
      <c r="AB14" s="21">
        <f>VLOOKUP(X14,'AC Pivot'!$Q:$AD,5,0)</f>
        <v>16</v>
      </c>
      <c r="AC14" s="21">
        <f>VLOOKUP(X14,'AC Pivot'!$Q:$AD,6,0)</f>
        <v>18</v>
      </c>
      <c r="AD14" s="21">
        <f>VLOOKUP(X14,'AC Pivot'!$Q:$AD,7,0)</f>
        <v>12</v>
      </c>
      <c r="AE14" s="21">
        <f>VLOOKUP(X14,'AC Pivot'!$Q:$AD,8,0)</f>
        <v>0</v>
      </c>
      <c r="AF14" s="21">
        <f>VLOOKUP(X14,'AC Pivot'!$Q:$AD,9,0)</f>
        <v>0</v>
      </c>
      <c r="AG14" s="21">
        <f>VLOOKUP(X14,'AC Pivot'!$Q:$AD,10,0)</f>
        <v>0</v>
      </c>
      <c r="AH14" s="21">
        <f>VLOOKUP(X14,'AC Pivot'!$Q:$AD,11,0)</f>
        <v>0</v>
      </c>
      <c r="AI14" s="21">
        <f>VLOOKUP(X14,'AC Pivot'!$Q:$AD,12,0)</f>
        <v>0</v>
      </c>
      <c r="AJ14" s="21">
        <f>VLOOKUP(X14,'AC Pivot'!$Q:$AD,13,0)</f>
        <v>0</v>
      </c>
      <c r="AK14" s="22">
        <f>VLOOKUP(X14,'AC Pivot'!$Q:$AD,14,0)</f>
        <v>19</v>
      </c>
    </row>
    <row r="15" spans="2:37" x14ac:dyDescent="0.3">
      <c r="B15" s="18">
        <f t="shared" si="0"/>
        <v>12</v>
      </c>
      <c r="C15" s="19" t="s">
        <v>99</v>
      </c>
      <c r="D15" s="20">
        <f>VLOOKUP(C15,'AC Pivot'!$A:$O,2,0)</f>
        <v>540</v>
      </c>
      <c r="E15" s="21">
        <f>VLOOKUP(C15,'AC Pivot'!$A:$O,3,0)</f>
        <v>4</v>
      </c>
      <c r="F15" s="21">
        <f>VLOOKUP(C15,'AC Pivot'!$A:$O,4,0)</f>
        <v>10</v>
      </c>
      <c r="G15" s="21">
        <f>VLOOKUP(C15,'AC Pivot'!$A:$O,5,0)</f>
        <v>34</v>
      </c>
      <c r="H15" s="21">
        <f>VLOOKUP(C15,'AC Pivot'!$A:$O,6,0)</f>
        <v>23</v>
      </c>
      <c r="I15" s="21">
        <f>VLOOKUP(C15,'AC Pivot'!$A:$O,7,0)</f>
        <v>14</v>
      </c>
      <c r="J15" s="21">
        <f>VLOOKUP(C15,'AC Pivot'!$A:$O,8,0)</f>
        <v>10</v>
      </c>
      <c r="K15" s="21">
        <f>VLOOKUP(C15,'AC Pivot'!$A:$O,9,0)</f>
        <v>0</v>
      </c>
      <c r="L15" s="21">
        <f>VLOOKUP(C15,'AC Pivot'!$A:$O,10,0)</f>
        <v>0</v>
      </c>
      <c r="M15" s="21">
        <f>VLOOKUP(C15,'AC Pivot'!$A:$O,11,0)</f>
        <v>0</v>
      </c>
      <c r="N15" s="21">
        <f>VLOOKUP(C15,'AC Pivot'!$A:$O,12,0)</f>
        <v>0</v>
      </c>
      <c r="O15" s="21">
        <f>VLOOKUP(C15,'AC Pivot'!$A:$O,13,0)</f>
        <v>0</v>
      </c>
      <c r="P15" s="21">
        <f>VLOOKUP(C15,'AC Pivot'!$A:$O,14,0)</f>
        <v>0</v>
      </c>
      <c r="Q15" s="22">
        <f t="shared" si="1"/>
        <v>95</v>
      </c>
      <c r="R15" s="23">
        <f t="shared" si="2"/>
        <v>0.17592592592592593</v>
      </c>
      <c r="W15" s="18">
        <f t="shared" si="3"/>
        <v>12</v>
      </c>
      <c r="X15" s="19" t="str">
        <f t="shared" si="4"/>
        <v>Avi Sk</v>
      </c>
      <c r="Y15" s="21">
        <f>VLOOKUP(X15,'AC Pivot'!$Q:$AD,2,0)</f>
        <v>2</v>
      </c>
      <c r="Z15" s="21">
        <f>VLOOKUP(X15,'AC Pivot'!$Q:$AD,3,0)</f>
        <v>2</v>
      </c>
      <c r="AA15" s="21">
        <f>VLOOKUP(X15,'AC Pivot'!$Q:$AD,4,0)</f>
        <v>3</v>
      </c>
      <c r="AB15" s="21">
        <f>VLOOKUP(X15,'AC Pivot'!$Q:$AD,5,0)</f>
        <v>3</v>
      </c>
      <c r="AC15" s="21">
        <f>VLOOKUP(X15,'AC Pivot'!$Q:$AD,6,0)</f>
        <v>3</v>
      </c>
      <c r="AD15" s="21">
        <f>VLOOKUP(X15,'AC Pivot'!$Q:$AD,7,0)</f>
        <v>2</v>
      </c>
      <c r="AE15" s="21">
        <f>VLOOKUP(X15,'AC Pivot'!$Q:$AD,8,0)</f>
        <v>0</v>
      </c>
      <c r="AF15" s="21">
        <f>VLOOKUP(X15,'AC Pivot'!$Q:$AD,9,0)</f>
        <v>0</v>
      </c>
      <c r="AG15" s="21">
        <f>VLOOKUP(X15,'AC Pivot'!$Q:$AD,10,0)</f>
        <v>0</v>
      </c>
      <c r="AH15" s="21">
        <f>VLOOKUP(X15,'AC Pivot'!$Q:$AD,11,0)</f>
        <v>0</v>
      </c>
      <c r="AI15" s="21">
        <f>VLOOKUP(X15,'AC Pivot'!$Q:$AD,12,0)</f>
        <v>0</v>
      </c>
      <c r="AJ15" s="21">
        <f>VLOOKUP(X15,'AC Pivot'!$Q:$AD,13,0)</f>
        <v>0</v>
      </c>
      <c r="AK15" s="22">
        <f>VLOOKUP(X15,'AC Pivot'!$Q:$AD,14,0)</f>
        <v>3</v>
      </c>
    </row>
    <row r="16" spans="2:37" x14ac:dyDescent="0.3">
      <c r="B16" s="18">
        <f t="shared" si="0"/>
        <v>13</v>
      </c>
      <c r="C16" s="19" t="s">
        <v>95</v>
      </c>
      <c r="D16" s="20">
        <f>VLOOKUP(C16,'AC Pivot'!$A:$O,2,0)</f>
        <v>1020</v>
      </c>
      <c r="E16" s="21">
        <f>VLOOKUP(C16,'AC Pivot'!$A:$O,3,0)</f>
        <v>13</v>
      </c>
      <c r="F16" s="21">
        <f>VLOOKUP(C16,'AC Pivot'!$A:$O,4,0)</f>
        <v>28</v>
      </c>
      <c r="G16" s="21">
        <f>VLOOKUP(C16,'AC Pivot'!$A:$O,5,0)</f>
        <v>28</v>
      </c>
      <c r="H16" s="21">
        <f>VLOOKUP(C16,'AC Pivot'!$A:$O,6,0)</f>
        <v>56</v>
      </c>
      <c r="I16" s="21">
        <f>VLOOKUP(C16,'AC Pivot'!$A:$O,7,0)</f>
        <v>25</v>
      </c>
      <c r="J16" s="21">
        <f>VLOOKUP(C16,'AC Pivot'!$A:$O,8,0)</f>
        <v>2</v>
      </c>
      <c r="K16" s="21">
        <f>VLOOKUP(C16,'AC Pivot'!$A:$O,9,0)</f>
        <v>0</v>
      </c>
      <c r="L16" s="21">
        <f>VLOOKUP(C16,'AC Pivot'!$A:$O,10,0)</f>
        <v>0</v>
      </c>
      <c r="M16" s="21">
        <f>VLOOKUP(C16,'AC Pivot'!$A:$O,11,0)</f>
        <v>0</v>
      </c>
      <c r="N16" s="21">
        <f>VLOOKUP(C16,'AC Pivot'!$A:$O,12,0)</f>
        <v>0</v>
      </c>
      <c r="O16" s="21">
        <f>VLOOKUP(C16,'AC Pivot'!$A:$O,13,0)</f>
        <v>0</v>
      </c>
      <c r="P16" s="21">
        <f>VLOOKUP(C16,'AC Pivot'!$A:$O,14,0)</f>
        <v>0</v>
      </c>
      <c r="Q16" s="22">
        <f t="shared" si="1"/>
        <v>152</v>
      </c>
      <c r="R16" s="23">
        <f t="shared" si="2"/>
        <v>0.14901960784313725</v>
      </c>
      <c r="W16" s="18">
        <f t="shared" si="3"/>
        <v>13</v>
      </c>
      <c r="X16" s="19" t="str">
        <f t="shared" si="4"/>
        <v>Santanu Bera</v>
      </c>
      <c r="Y16" s="21">
        <f>VLOOKUP(X16,'AC Pivot'!$Q:$AD,2,0)</f>
        <v>3</v>
      </c>
      <c r="Z16" s="21">
        <f>VLOOKUP(X16,'AC Pivot'!$Q:$AD,3,0)</f>
        <v>4</v>
      </c>
      <c r="AA16" s="21">
        <f>VLOOKUP(X16,'AC Pivot'!$Q:$AD,4,0)</f>
        <v>4</v>
      </c>
      <c r="AB16" s="21">
        <f>VLOOKUP(X16,'AC Pivot'!$Q:$AD,5,0)</f>
        <v>5</v>
      </c>
      <c r="AC16" s="21">
        <f>VLOOKUP(X16,'AC Pivot'!$Q:$AD,6,0)</f>
        <v>3</v>
      </c>
      <c r="AD16" s="21">
        <f>VLOOKUP(X16,'AC Pivot'!$Q:$AD,7,0)</f>
        <v>2</v>
      </c>
      <c r="AE16" s="21">
        <f>VLOOKUP(X16,'AC Pivot'!$Q:$AD,8,0)</f>
        <v>0</v>
      </c>
      <c r="AF16" s="21">
        <f>VLOOKUP(X16,'AC Pivot'!$Q:$AD,9,0)</f>
        <v>0</v>
      </c>
      <c r="AG16" s="21">
        <f>VLOOKUP(X16,'AC Pivot'!$Q:$AD,10,0)</f>
        <v>0</v>
      </c>
      <c r="AH16" s="21">
        <f>VLOOKUP(X16,'AC Pivot'!$Q:$AD,11,0)</f>
        <v>0</v>
      </c>
      <c r="AI16" s="21">
        <f>VLOOKUP(X16,'AC Pivot'!$Q:$AD,12,0)</f>
        <v>0</v>
      </c>
      <c r="AJ16" s="21">
        <f>VLOOKUP(X16,'AC Pivot'!$Q:$AD,13,0)</f>
        <v>0</v>
      </c>
      <c r="AK16" s="22">
        <f>VLOOKUP(X16,'AC Pivot'!$Q:$AD,14,0)</f>
        <v>5</v>
      </c>
    </row>
    <row r="17" spans="2:37" x14ac:dyDescent="0.3">
      <c r="B17" s="18">
        <f t="shared" si="0"/>
        <v>14</v>
      </c>
      <c r="C17" s="19" t="s">
        <v>449</v>
      </c>
      <c r="D17" s="20">
        <f>VLOOKUP(C17,'AC Pivot'!$A:$O,2,0)</f>
        <v>60</v>
      </c>
      <c r="E17" s="21">
        <f>VLOOKUP(C17,'AC Pivot'!$A:$O,3,0)</f>
        <v>0</v>
      </c>
      <c r="F17" s="21">
        <f>VLOOKUP(C17,'AC Pivot'!$A:$O,4,0)</f>
        <v>0</v>
      </c>
      <c r="G17" s="21">
        <f>VLOOKUP(C17,'AC Pivot'!$A:$O,5,0)</f>
        <v>0</v>
      </c>
      <c r="H17" s="21">
        <f>VLOOKUP(C17,'AC Pivot'!$A:$O,6,0)</f>
        <v>0</v>
      </c>
      <c r="I17" s="21">
        <f>VLOOKUP(C17,'AC Pivot'!$A:$O,7,0)</f>
        <v>0</v>
      </c>
      <c r="J17" s="21">
        <f>VLOOKUP(C17,'AC Pivot'!$A:$O,8,0)</f>
        <v>1</v>
      </c>
      <c r="K17" s="21">
        <f>VLOOKUP(C17,'AC Pivot'!$A:$O,9,0)</f>
        <v>0</v>
      </c>
      <c r="L17" s="21">
        <f>VLOOKUP(C17,'AC Pivot'!$A:$O,10,0)</f>
        <v>0</v>
      </c>
      <c r="M17" s="21">
        <f>VLOOKUP(C17,'AC Pivot'!$A:$O,11,0)</f>
        <v>0</v>
      </c>
      <c r="N17" s="21">
        <f>VLOOKUP(C17,'AC Pivot'!$A:$O,12,0)</f>
        <v>0</v>
      </c>
      <c r="O17" s="21">
        <f>VLOOKUP(C17,'AC Pivot'!$A:$O,13,0)</f>
        <v>0</v>
      </c>
      <c r="P17" s="21">
        <f>VLOOKUP(C17,'AC Pivot'!$A:$O,14,0)</f>
        <v>0</v>
      </c>
      <c r="Q17" s="22">
        <f t="shared" si="1"/>
        <v>1</v>
      </c>
      <c r="R17" s="23">
        <f t="shared" si="2"/>
        <v>1.6666666666666666E-2</v>
      </c>
      <c r="W17" s="18">
        <f t="shared" si="3"/>
        <v>14</v>
      </c>
      <c r="X17" s="19" t="str">
        <f t="shared" si="4"/>
        <v>Mousumi Sarkar</v>
      </c>
      <c r="Y17" s="21">
        <f>VLOOKUP(X17,'AC Pivot'!$Q:$AD,2,0)</f>
        <v>0</v>
      </c>
      <c r="Z17" s="21">
        <f>VLOOKUP(X17,'AC Pivot'!$Q:$AD,3,0)</f>
        <v>0</v>
      </c>
      <c r="AA17" s="21">
        <f>VLOOKUP(X17,'AC Pivot'!$Q:$AD,4,0)</f>
        <v>0</v>
      </c>
      <c r="AB17" s="21">
        <f>VLOOKUP(X17,'AC Pivot'!$Q:$AD,5,0)</f>
        <v>0</v>
      </c>
      <c r="AC17" s="21">
        <f>VLOOKUP(X17,'AC Pivot'!$Q:$AD,6,0)</f>
        <v>0</v>
      </c>
      <c r="AD17" s="21">
        <f>VLOOKUP(X17,'AC Pivot'!$Q:$AD,7,0)</f>
        <v>1</v>
      </c>
      <c r="AE17" s="21">
        <f>VLOOKUP(X17,'AC Pivot'!$Q:$AD,8,0)</f>
        <v>0</v>
      </c>
      <c r="AF17" s="21">
        <f>VLOOKUP(X17,'AC Pivot'!$Q:$AD,9,0)</f>
        <v>0</v>
      </c>
      <c r="AG17" s="21">
        <f>VLOOKUP(X17,'AC Pivot'!$Q:$AD,10,0)</f>
        <v>0</v>
      </c>
      <c r="AH17" s="21">
        <f>VLOOKUP(X17,'AC Pivot'!$Q:$AD,11,0)</f>
        <v>0</v>
      </c>
      <c r="AI17" s="21">
        <f>VLOOKUP(X17,'AC Pivot'!$Q:$AD,12,0)</f>
        <v>0</v>
      </c>
      <c r="AJ17" s="21">
        <f>VLOOKUP(X17,'AC Pivot'!$Q:$AD,13,0)</f>
        <v>0</v>
      </c>
      <c r="AK17" s="22">
        <f>VLOOKUP(X17,'AC Pivot'!$Q:$AD,14,0)</f>
        <v>1</v>
      </c>
    </row>
    <row r="18" spans="2:37" ht="3" customHeight="1" x14ac:dyDescent="0.3">
      <c r="R18" s="28"/>
    </row>
    <row r="19" spans="2:37" x14ac:dyDescent="0.3">
      <c r="B19" s="215" t="s">
        <v>283</v>
      </c>
      <c r="C19" s="216"/>
      <c r="D19" s="29">
        <f t="shared" ref="D19:Q19" si="5">SUM(D4:D17)</f>
        <v>14940</v>
      </c>
      <c r="E19" s="29">
        <f t="shared" si="5"/>
        <v>587</v>
      </c>
      <c r="F19" s="29">
        <f t="shared" si="5"/>
        <v>1432</v>
      </c>
      <c r="G19" s="29">
        <f t="shared" si="5"/>
        <v>1131</v>
      </c>
      <c r="H19" s="29">
        <f t="shared" si="5"/>
        <v>1340</v>
      </c>
      <c r="I19" s="29">
        <f t="shared" si="5"/>
        <v>935</v>
      </c>
      <c r="J19" s="29">
        <f t="shared" si="5"/>
        <v>164</v>
      </c>
      <c r="K19" s="29">
        <f t="shared" si="5"/>
        <v>0</v>
      </c>
      <c r="L19" s="29">
        <f t="shared" si="5"/>
        <v>0</v>
      </c>
      <c r="M19" s="29">
        <f t="shared" si="5"/>
        <v>0</v>
      </c>
      <c r="N19" s="29">
        <f t="shared" si="5"/>
        <v>0</v>
      </c>
      <c r="O19" s="29">
        <f t="shared" si="5"/>
        <v>0</v>
      </c>
      <c r="P19" s="29">
        <f t="shared" si="5"/>
        <v>0</v>
      </c>
      <c r="Q19" s="29">
        <f t="shared" si="5"/>
        <v>5589</v>
      </c>
      <c r="R19" s="30">
        <f>Q19/D19</f>
        <v>0.37409638554216867</v>
      </c>
      <c r="W19" s="215" t="s">
        <v>283</v>
      </c>
      <c r="X19" s="216"/>
      <c r="Y19" s="29">
        <f t="shared" ref="Y19:AK19" si="6">SUM(Y4:Y17)</f>
        <v>72</v>
      </c>
      <c r="Z19" s="29">
        <f t="shared" si="6"/>
        <v>76</v>
      </c>
      <c r="AA19" s="29">
        <f t="shared" si="6"/>
        <v>76</v>
      </c>
      <c r="AB19" s="29">
        <f t="shared" si="6"/>
        <v>78</v>
      </c>
      <c r="AC19" s="29">
        <f t="shared" si="6"/>
        <v>77</v>
      </c>
      <c r="AD19" s="29">
        <f t="shared" si="6"/>
        <v>58</v>
      </c>
      <c r="AE19" s="29">
        <f t="shared" si="6"/>
        <v>0</v>
      </c>
      <c r="AF19" s="29">
        <f t="shared" si="6"/>
        <v>0</v>
      </c>
      <c r="AG19" s="29">
        <f t="shared" si="6"/>
        <v>0</v>
      </c>
      <c r="AH19" s="29">
        <f t="shared" si="6"/>
        <v>0</v>
      </c>
      <c r="AI19" s="29">
        <f t="shared" si="6"/>
        <v>0</v>
      </c>
      <c r="AJ19" s="29">
        <f t="shared" si="6"/>
        <v>0</v>
      </c>
      <c r="AK19" s="29">
        <f t="shared" si="6"/>
        <v>89</v>
      </c>
    </row>
    <row r="21" spans="2:37" x14ac:dyDescent="0.3">
      <c r="B21" s="265" t="s">
        <v>320</v>
      </c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W21" s="265" t="s">
        <v>439</v>
      </c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</row>
    <row r="22" spans="2:37" s="17" customFormat="1" ht="28.8" x14ac:dyDescent="0.3">
      <c r="B22" s="16" t="s">
        <v>279</v>
      </c>
      <c r="C22" s="16" t="s">
        <v>264</v>
      </c>
      <c r="D22" s="16" t="s">
        <v>280</v>
      </c>
      <c r="E22" s="3">
        <v>46113</v>
      </c>
      <c r="F22" s="3">
        <v>46143</v>
      </c>
      <c r="G22" s="3">
        <v>46174</v>
      </c>
      <c r="H22" s="3">
        <v>46204</v>
      </c>
      <c r="I22" s="3">
        <v>46235</v>
      </c>
      <c r="J22" s="3">
        <v>46266</v>
      </c>
      <c r="K22" s="3">
        <v>46296</v>
      </c>
      <c r="L22" s="3">
        <v>46327</v>
      </c>
      <c r="M22" s="3">
        <v>46357</v>
      </c>
      <c r="N22" s="3">
        <v>46388</v>
      </c>
      <c r="O22" s="3">
        <v>46419</v>
      </c>
      <c r="P22" s="3">
        <v>46447</v>
      </c>
      <c r="Q22" s="16" t="s">
        <v>284</v>
      </c>
      <c r="R22" s="16" t="s">
        <v>282</v>
      </c>
      <c r="W22" s="16" t="s">
        <v>279</v>
      </c>
      <c r="X22" s="16" t="s">
        <v>264</v>
      </c>
      <c r="Y22" s="3">
        <v>46113</v>
      </c>
      <c r="Z22" s="3">
        <v>46143</v>
      </c>
      <c r="AA22" s="3">
        <v>46174</v>
      </c>
      <c r="AB22" s="3">
        <v>46204</v>
      </c>
      <c r="AC22" s="3">
        <v>46235</v>
      </c>
      <c r="AD22" s="3">
        <v>46266</v>
      </c>
      <c r="AE22" s="3">
        <v>46296</v>
      </c>
      <c r="AF22" s="3">
        <v>46327</v>
      </c>
      <c r="AG22" s="3">
        <v>46357</v>
      </c>
      <c r="AH22" s="3">
        <v>46388</v>
      </c>
      <c r="AI22" s="3">
        <v>46419</v>
      </c>
      <c r="AJ22" s="3">
        <v>46447</v>
      </c>
      <c r="AK22" s="16" t="s">
        <v>443</v>
      </c>
    </row>
    <row r="23" spans="2:37" x14ac:dyDescent="0.3">
      <c r="B23" s="18">
        <f t="shared" ref="B23:B36" si="7">ROW()-ROW($B$22)</f>
        <v>1</v>
      </c>
      <c r="C23" s="19" t="s">
        <v>102</v>
      </c>
      <c r="D23" s="20">
        <f>VLOOKUP(C23,'APY Pivot'!$A:$O,2,0)</f>
        <v>270</v>
      </c>
      <c r="E23" s="21">
        <f>VLOOKUP(C23,'APY Pivot'!$A:$O,3,0)</f>
        <v>4</v>
      </c>
      <c r="F23" s="21">
        <f>VLOOKUP(C23,'APY Pivot'!$A:$O,4,0)</f>
        <v>6</v>
      </c>
      <c r="G23" s="21">
        <f>VLOOKUP(C23,'APY Pivot'!$A:$O,5,0)</f>
        <v>13</v>
      </c>
      <c r="H23" s="21">
        <f>VLOOKUP(C23,'APY Pivot'!$A:$O,6,0)</f>
        <v>10</v>
      </c>
      <c r="I23" s="21">
        <f>VLOOKUP(C23,'APY Pivot'!$A:$O,7,0)</f>
        <v>18</v>
      </c>
      <c r="J23" s="21">
        <f>VLOOKUP(C23,'APY Pivot'!$A:$O,8,0)</f>
        <v>3</v>
      </c>
      <c r="K23" s="21">
        <f>VLOOKUP(C23,'APY Pivot'!$A:$O,9,0)</f>
        <v>0</v>
      </c>
      <c r="L23" s="21">
        <f>VLOOKUP(C23,'APY Pivot'!$A:$O,10,0)</f>
        <v>0</v>
      </c>
      <c r="M23" s="21">
        <f>VLOOKUP(C23,'APY Pivot'!$A:$O,11,0)</f>
        <v>0</v>
      </c>
      <c r="N23" s="21">
        <f>VLOOKUP(C23,'APY Pivot'!$A:$O,12,0)</f>
        <v>0</v>
      </c>
      <c r="O23" s="21">
        <f>VLOOKUP(C23,'APY Pivot'!$A:$O,13,0)</f>
        <v>0</v>
      </c>
      <c r="P23" s="21">
        <f>VLOOKUP(C23,'APY Pivot'!$A:$O,14,0)</f>
        <v>0</v>
      </c>
      <c r="Q23" s="22">
        <f t="shared" ref="Q23:Q36" si="8">SUM(E23:P23)</f>
        <v>54</v>
      </c>
      <c r="R23" s="23">
        <f t="shared" ref="R23:R36" si="9">Q23/D23</f>
        <v>0.2</v>
      </c>
      <c r="T23" s="24"/>
      <c r="U23" s="25"/>
      <c r="V23" s="25"/>
      <c r="W23" s="18">
        <f t="shared" ref="W23:W36" si="10">ROW()-ROW($B$22)</f>
        <v>1</v>
      </c>
      <c r="X23" s="19" t="str">
        <f>C23</f>
        <v>Rajendra Kumar Bapari</v>
      </c>
      <c r="Y23" s="21">
        <f>VLOOKUP(X23,'APY Pivot'!$Q:$AD,2,0)</f>
        <v>2</v>
      </c>
      <c r="Z23" s="21">
        <f>VLOOKUP(X23,'APY Pivot'!$Q:$AD,3,0)</f>
        <v>2</v>
      </c>
      <c r="AA23" s="21">
        <f>VLOOKUP(X23,'APY Pivot'!$Q:$AD,4,0)</f>
        <v>3</v>
      </c>
      <c r="AB23" s="21">
        <f>VLOOKUP(X23,'APY Pivot'!$Q:$AD,5,0)</f>
        <v>3</v>
      </c>
      <c r="AC23" s="21">
        <f>VLOOKUP(X23,'APY Pivot'!$Q:$AD,6,0)</f>
        <v>3</v>
      </c>
      <c r="AD23" s="21">
        <f>VLOOKUP(X23,'APY Pivot'!$Q:$AD,7,0)</f>
        <v>2</v>
      </c>
      <c r="AE23" s="21">
        <f>VLOOKUP(X23,'APY Pivot'!$Q:$AD,8,0)</f>
        <v>0</v>
      </c>
      <c r="AF23" s="21">
        <f>VLOOKUP(X23,'APY Pivot'!$Q:$AD,9,0)</f>
        <v>0</v>
      </c>
      <c r="AG23" s="21">
        <f>VLOOKUP(X23,'APY Pivot'!$Q:$AD,10,0)</f>
        <v>0</v>
      </c>
      <c r="AH23" s="21">
        <f>VLOOKUP(X23,'APY Pivot'!$Q:$AD,11,0)</f>
        <v>0</v>
      </c>
      <c r="AI23" s="21">
        <f>VLOOKUP(X23,'APY Pivot'!$Q:$AD,12,0)</f>
        <v>0</v>
      </c>
      <c r="AJ23" s="21">
        <f>VLOOKUP(X23,'APY Pivot'!$Q:$AD,13,0)</f>
        <v>0</v>
      </c>
      <c r="AK23" s="22">
        <f>VLOOKUP(X23,'APY Pivot'!$Q:$AD,14,0)</f>
        <v>3</v>
      </c>
    </row>
    <row r="24" spans="2:37" x14ac:dyDescent="0.3">
      <c r="B24" s="18">
        <f t="shared" si="7"/>
        <v>2</v>
      </c>
      <c r="C24" s="19" t="s">
        <v>100</v>
      </c>
      <c r="D24" s="20">
        <f>VLOOKUP(C24,'APY Pivot'!$A:$O,2,0)</f>
        <v>180</v>
      </c>
      <c r="E24" s="21">
        <f>VLOOKUP(C24,'APY Pivot'!$A:$O,3,0)</f>
        <v>0</v>
      </c>
      <c r="F24" s="21">
        <f>VLOOKUP(C24,'APY Pivot'!$A:$O,4,0)</f>
        <v>0</v>
      </c>
      <c r="G24" s="21">
        <f>VLOOKUP(C24,'APY Pivot'!$A:$O,5,0)</f>
        <v>16</v>
      </c>
      <c r="H24" s="21">
        <f>VLOOKUP(C24,'APY Pivot'!$A:$O,6,0)</f>
        <v>5</v>
      </c>
      <c r="I24" s="21">
        <f>VLOOKUP(C24,'APY Pivot'!$A:$O,7,0)</f>
        <v>10</v>
      </c>
      <c r="J24" s="21">
        <f>VLOOKUP(C24,'APY Pivot'!$A:$O,8,0)</f>
        <v>1</v>
      </c>
      <c r="K24" s="21">
        <f>VLOOKUP(C24,'APY Pivot'!$A:$O,9,0)</f>
        <v>0</v>
      </c>
      <c r="L24" s="21">
        <f>VLOOKUP(C24,'APY Pivot'!$A:$O,10,0)</f>
        <v>0</v>
      </c>
      <c r="M24" s="21">
        <f>VLOOKUP(C24,'APY Pivot'!$A:$O,11,0)</f>
        <v>0</v>
      </c>
      <c r="N24" s="21">
        <f>VLOOKUP(C24,'APY Pivot'!$A:$O,12,0)</f>
        <v>0</v>
      </c>
      <c r="O24" s="21">
        <f>VLOOKUP(C24,'APY Pivot'!$A:$O,13,0)</f>
        <v>0</v>
      </c>
      <c r="P24" s="21">
        <f>VLOOKUP(C24,'APY Pivot'!$A:$O,14,0)</f>
        <v>0</v>
      </c>
      <c r="Q24" s="22">
        <f t="shared" si="8"/>
        <v>32</v>
      </c>
      <c r="R24" s="23">
        <f t="shared" si="9"/>
        <v>0.17777777777777778</v>
      </c>
      <c r="T24" s="24"/>
      <c r="U24" s="25"/>
      <c r="V24" s="25"/>
      <c r="W24" s="18">
        <f t="shared" si="10"/>
        <v>2</v>
      </c>
      <c r="X24" s="19" t="str">
        <f t="shared" ref="X24:X36" si="11">C24</f>
        <v>Rajiul Momin</v>
      </c>
      <c r="Y24" s="21">
        <f>VLOOKUP(X24,'APY Pivot'!$Q:$AD,2,0)</f>
        <v>0</v>
      </c>
      <c r="Z24" s="21">
        <f>VLOOKUP(X24,'APY Pivot'!$Q:$AD,3,0)</f>
        <v>0</v>
      </c>
      <c r="AA24" s="21">
        <f>VLOOKUP(X24,'APY Pivot'!$Q:$AD,4,0)</f>
        <v>2</v>
      </c>
      <c r="AB24" s="21">
        <f>VLOOKUP(X24,'APY Pivot'!$Q:$AD,5,0)</f>
        <v>1</v>
      </c>
      <c r="AC24" s="21">
        <f>VLOOKUP(X24,'APY Pivot'!$Q:$AD,6,0)</f>
        <v>1</v>
      </c>
      <c r="AD24" s="21">
        <f>VLOOKUP(X24,'APY Pivot'!$Q:$AD,7,0)</f>
        <v>1</v>
      </c>
      <c r="AE24" s="21">
        <f>VLOOKUP(X24,'APY Pivot'!$Q:$AD,8,0)</f>
        <v>0</v>
      </c>
      <c r="AF24" s="21">
        <f>VLOOKUP(X24,'APY Pivot'!$Q:$AD,9,0)</f>
        <v>0</v>
      </c>
      <c r="AG24" s="21">
        <f>VLOOKUP(X24,'APY Pivot'!$Q:$AD,10,0)</f>
        <v>0</v>
      </c>
      <c r="AH24" s="21">
        <f>VLOOKUP(X24,'APY Pivot'!$Q:$AD,11,0)</f>
        <v>0</v>
      </c>
      <c r="AI24" s="21">
        <f>VLOOKUP(X24,'APY Pivot'!$Q:$AD,12,0)</f>
        <v>0</v>
      </c>
      <c r="AJ24" s="21">
        <f>VLOOKUP(X24,'APY Pivot'!$Q:$AD,13,0)</f>
        <v>0</v>
      </c>
      <c r="AK24" s="22">
        <f>VLOOKUP(X24,'APY Pivot'!$Q:$AD,14,0)</f>
        <v>2</v>
      </c>
    </row>
    <row r="25" spans="2:37" x14ac:dyDescent="0.3">
      <c r="B25" s="18">
        <f t="shared" si="7"/>
        <v>3</v>
      </c>
      <c r="C25" s="19" t="s">
        <v>457</v>
      </c>
      <c r="D25" s="20">
        <f>VLOOKUP(C25,'APY Pivot'!$A:$O,2,0)</f>
        <v>1710</v>
      </c>
      <c r="E25" s="21">
        <f>VLOOKUP(C25,'APY Pivot'!$A:$O,3,0)</f>
        <v>14</v>
      </c>
      <c r="F25" s="21">
        <f>VLOOKUP(C25,'APY Pivot'!$A:$O,4,0)</f>
        <v>49</v>
      </c>
      <c r="G25" s="21">
        <f>VLOOKUP(C25,'APY Pivot'!$A:$O,5,0)</f>
        <v>27</v>
      </c>
      <c r="H25" s="21">
        <f>VLOOKUP(C25,'APY Pivot'!$A:$O,6,0)</f>
        <v>46</v>
      </c>
      <c r="I25" s="21">
        <f>VLOOKUP(C25,'APY Pivot'!$A:$O,7,0)</f>
        <v>46</v>
      </c>
      <c r="J25" s="21">
        <f>VLOOKUP(C25,'APY Pivot'!$A:$O,8,0)</f>
        <v>14</v>
      </c>
      <c r="K25" s="21">
        <f>VLOOKUP(C25,'APY Pivot'!$A:$O,9,0)</f>
        <v>0</v>
      </c>
      <c r="L25" s="21">
        <f>VLOOKUP(C25,'APY Pivot'!$A:$O,10,0)</f>
        <v>0</v>
      </c>
      <c r="M25" s="21">
        <f>VLOOKUP(C25,'APY Pivot'!$A:$O,11,0)</f>
        <v>0</v>
      </c>
      <c r="N25" s="21">
        <f>VLOOKUP(C25,'APY Pivot'!$A:$O,12,0)</f>
        <v>0</v>
      </c>
      <c r="O25" s="21">
        <f>VLOOKUP(C25,'APY Pivot'!$A:$O,13,0)</f>
        <v>0</v>
      </c>
      <c r="P25" s="21">
        <f>VLOOKUP(C25,'APY Pivot'!$A:$O,14,0)</f>
        <v>0</v>
      </c>
      <c r="Q25" s="22">
        <f t="shared" si="8"/>
        <v>196</v>
      </c>
      <c r="R25" s="23">
        <f t="shared" si="9"/>
        <v>0.11461988304093568</v>
      </c>
      <c r="W25" s="18">
        <f t="shared" si="10"/>
        <v>3</v>
      </c>
      <c r="X25" s="19" t="str">
        <f t="shared" si="11"/>
        <v>Under Office (W Medinipur)</v>
      </c>
      <c r="Y25" s="21">
        <f>VLOOKUP(X25,'APY Pivot'!$Q:$AD,2,0)</f>
        <v>2</v>
      </c>
      <c r="Z25" s="21">
        <f>VLOOKUP(X25,'APY Pivot'!$Q:$AD,3,0)</f>
        <v>5</v>
      </c>
      <c r="AA25" s="21">
        <f>VLOOKUP(X25,'APY Pivot'!$Q:$AD,4,0)</f>
        <v>10</v>
      </c>
      <c r="AB25" s="21">
        <f>VLOOKUP(X25,'APY Pivot'!$Q:$AD,5,0)</f>
        <v>10</v>
      </c>
      <c r="AC25" s="21">
        <f>VLOOKUP(X25,'APY Pivot'!$Q:$AD,6,0)</f>
        <v>12</v>
      </c>
      <c r="AD25" s="21">
        <f>VLOOKUP(X25,'APY Pivot'!$Q:$AD,7,0)</f>
        <v>3</v>
      </c>
      <c r="AE25" s="21">
        <f>VLOOKUP(X25,'APY Pivot'!$Q:$AD,8,0)</f>
        <v>0</v>
      </c>
      <c r="AF25" s="21">
        <f>VLOOKUP(X25,'APY Pivot'!$Q:$AD,9,0)</f>
        <v>0</v>
      </c>
      <c r="AG25" s="21">
        <f>VLOOKUP(X25,'APY Pivot'!$Q:$AD,10,0)</f>
        <v>0</v>
      </c>
      <c r="AH25" s="21">
        <f>VLOOKUP(X25,'APY Pivot'!$Q:$AD,11,0)</f>
        <v>0</v>
      </c>
      <c r="AI25" s="21">
        <f>VLOOKUP(X25,'APY Pivot'!$Q:$AD,12,0)</f>
        <v>0</v>
      </c>
      <c r="AJ25" s="21">
        <f>VLOOKUP(X25,'APY Pivot'!$Q:$AD,13,0)</f>
        <v>0</v>
      </c>
      <c r="AK25" s="22">
        <f>VLOOKUP(X25,'APY Pivot'!$Q:$AD,14,0)</f>
        <v>18</v>
      </c>
    </row>
    <row r="26" spans="2:37" x14ac:dyDescent="0.3">
      <c r="B26" s="18">
        <f t="shared" si="7"/>
        <v>4</v>
      </c>
      <c r="C26" s="19" t="s">
        <v>103</v>
      </c>
      <c r="D26" s="20">
        <f>VLOOKUP(C26,'APY Pivot'!$A:$O,2,0)</f>
        <v>90</v>
      </c>
      <c r="E26" s="21">
        <f>VLOOKUP(C26,'APY Pivot'!$A:$O,3,0)</f>
        <v>1</v>
      </c>
      <c r="F26" s="21">
        <f>VLOOKUP(C26,'APY Pivot'!$A:$O,4,0)</f>
        <v>0</v>
      </c>
      <c r="G26" s="21">
        <f>VLOOKUP(C26,'APY Pivot'!$A:$O,5,0)</f>
        <v>1</v>
      </c>
      <c r="H26" s="21">
        <f>VLOOKUP(C26,'APY Pivot'!$A:$O,6,0)</f>
        <v>6</v>
      </c>
      <c r="I26" s="21">
        <f>VLOOKUP(C26,'APY Pivot'!$A:$O,7,0)</f>
        <v>1</v>
      </c>
      <c r="J26" s="21">
        <f>VLOOKUP(C26,'APY Pivot'!$A:$O,8,0)</f>
        <v>0</v>
      </c>
      <c r="K26" s="21">
        <f>VLOOKUP(C26,'APY Pivot'!$A:$O,9,0)</f>
        <v>0</v>
      </c>
      <c r="L26" s="21">
        <f>VLOOKUP(C26,'APY Pivot'!$A:$O,10,0)</f>
        <v>0</v>
      </c>
      <c r="M26" s="21">
        <f>VLOOKUP(C26,'APY Pivot'!$A:$O,11,0)</f>
        <v>0</v>
      </c>
      <c r="N26" s="21">
        <f>VLOOKUP(C26,'APY Pivot'!$A:$O,12,0)</f>
        <v>0</v>
      </c>
      <c r="O26" s="21">
        <f>VLOOKUP(C26,'APY Pivot'!$A:$O,13,0)</f>
        <v>0</v>
      </c>
      <c r="P26" s="21">
        <f>VLOOKUP(C26,'APY Pivot'!$A:$O,14,0)</f>
        <v>0</v>
      </c>
      <c r="Q26" s="22">
        <f t="shared" si="8"/>
        <v>9</v>
      </c>
      <c r="R26" s="23">
        <f t="shared" si="9"/>
        <v>0.1</v>
      </c>
      <c r="W26" s="18">
        <f t="shared" si="10"/>
        <v>4</v>
      </c>
      <c r="X26" s="19" t="str">
        <f t="shared" si="11"/>
        <v>Sanjoy Paul</v>
      </c>
      <c r="Y26" s="21">
        <f>VLOOKUP(X26,'APY Pivot'!$Q:$AD,2,0)</f>
        <v>1</v>
      </c>
      <c r="Z26" s="21">
        <f>VLOOKUP(X26,'APY Pivot'!$Q:$AD,3,0)</f>
        <v>0</v>
      </c>
      <c r="AA26" s="21">
        <f>VLOOKUP(X26,'APY Pivot'!$Q:$AD,4,0)</f>
        <v>1</v>
      </c>
      <c r="AB26" s="21">
        <f>VLOOKUP(X26,'APY Pivot'!$Q:$AD,5,0)</f>
        <v>1</v>
      </c>
      <c r="AC26" s="21">
        <f>VLOOKUP(X26,'APY Pivot'!$Q:$AD,6,0)</f>
        <v>1</v>
      </c>
      <c r="AD26" s="21">
        <f>VLOOKUP(X26,'APY Pivot'!$Q:$AD,7,0)</f>
        <v>0</v>
      </c>
      <c r="AE26" s="21">
        <f>VLOOKUP(X26,'APY Pivot'!$Q:$AD,8,0)</f>
        <v>0</v>
      </c>
      <c r="AF26" s="21">
        <f>VLOOKUP(X26,'APY Pivot'!$Q:$AD,9,0)</f>
        <v>0</v>
      </c>
      <c r="AG26" s="21">
        <f>VLOOKUP(X26,'APY Pivot'!$Q:$AD,10,0)</f>
        <v>0</v>
      </c>
      <c r="AH26" s="21">
        <f>VLOOKUP(X26,'APY Pivot'!$Q:$AD,11,0)</f>
        <v>0</v>
      </c>
      <c r="AI26" s="21">
        <f>VLOOKUP(X26,'APY Pivot'!$Q:$AD,12,0)</f>
        <v>0</v>
      </c>
      <c r="AJ26" s="21">
        <f>VLOOKUP(X26,'APY Pivot'!$Q:$AD,13,0)</f>
        <v>0</v>
      </c>
      <c r="AK26" s="22">
        <f>VLOOKUP(X26,'APY Pivot'!$Q:$AD,14,0)</f>
        <v>1</v>
      </c>
    </row>
    <row r="27" spans="2:37" x14ac:dyDescent="0.3">
      <c r="B27" s="18">
        <f t="shared" si="7"/>
        <v>5</v>
      </c>
      <c r="C27" s="19" t="s">
        <v>98</v>
      </c>
      <c r="D27" s="20">
        <f>VLOOKUP(C27,'APY Pivot'!$A:$O,2,0)</f>
        <v>270</v>
      </c>
      <c r="E27" s="21">
        <f>VLOOKUP(C27,'APY Pivot'!$A:$O,3,0)</f>
        <v>0</v>
      </c>
      <c r="F27" s="21">
        <f>VLOOKUP(C27,'APY Pivot'!$A:$O,4,0)</f>
        <v>3</v>
      </c>
      <c r="G27" s="21">
        <f>VLOOKUP(C27,'APY Pivot'!$A:$O,5,0)</f>
        <v>0</v>
      </c>
      <c r="H27" s="21">
        <f>VLOOKUP(C27,'APY Pivot'!$A:$O,6,0)</f>
        <v>5</v>
      </c>
      <c r="I27" s="21">
        <f>VLOOKUP(C27,'APY Pivot'!$A:$O,7,0)</f>
        <v>15</v>
      </c>
      <c r="J27" s="21">
        <f>VLOOKUP(C27,'APY Pivot'!$A:$O,8,0)</f>
        <v>2</v>
      </c>
      <c r="K27" s="21">
        <f>VLOOKUP(C27,'APY Pivot'!$A:$O,9,0)</f>
        <v>0</v>
      </c>
      <c r="L27" s="21">
        <f>VLOOKUP(C27,'APY Pivot'!$A:$O,10,0)</f>
        <v>0</v>
      </c>
      <c r="M27" s="21">
        <f>VLOOKUP(C27,'APY Pivot'!$A:$O,11,0)</f>
        <v>0</v>
      </c>
      <c r="N27" s="21">
        <f>VLOOKUP(C27,'APY Pivot'!$A:$O,12,0)</f>
        <v>0</v>
      </c>
      <c r="O27" s="21">
        <f>VLOOKUP(C27,'APY Pivot'!$A:$O,13,0)</f>
        <v>0</v>
      </c>
      <c r="P27" s="21">
        <f>VLOOKUP(C27,'APY Pivot'!$A:$O,14,0)</f>
        <v>0</v>
      </c>
      <c r="Q27" s="22">
        <f t="shared" si="8"/>
        <v>25</v>
      </c>
      <c r="R27" s="23">
        <f t="shared" si="9"/>
        <v>9.2592592592592587E-2</v>
      </c>
      <c r="T27" s="26"/>
      <c r="U27" s="27"/>
      <c r="W27" s="18">
        <f t="shared" si="10"/>
        <v>5</v>
      </c>
      <c r="X27" s="19" t="str">
        <f t="shared" si="11"/>
        <v>Shyamalesh Sarkar</v>
      </c>
      <c r="Y27" s="21">
        <f>VLOOKUP(X27,'APY Pivot'!$Q:$AD,2,0)</f>
        <v>0</v>
      </c>
      <c r="Z27" s="21">
        <f>VLOOKUP(X27,'APY Pivot'!$Q:$AD,3,0)</f>
        <v>2</v>
      </c>
      <c r="AA27" s="21">
        <f>VLOOKUP(X27,'APY Pivot'!$Q:$AD,4,0)</f>
        <v>0</v>
      </c>
      <c r="AB27" s="21">
        <f>VLOOKUP(X27,'APY Pivot'!$Q:$AD,5,0)</f>
        <v>3</v>
      </c>
      <c r="AC27" s="21">
        <f>VLOOKUP(X27,'APY Pivot'!$Q:$AD,6,0)</f>
        <v>3</v>
      </c>
      <c r="AD27" s="21">
        <f>VLOOKUP(X27,'APY Pivot'!$Q:$AD,7,0)</f>
        <v>1</v>
      </c>
      <c r="AE27" s="21">
        <f>VLOOKUP(X27,'APY Pivot'!$Q:$AD,8,0)</f>
        <v>0</v>
      </c>
      <c r="AF27" s="21">
        <f>VLOOKUP(X27,'APY Pivot'!$Q:$AD,9,0)</f>
        <v>0</v>
      </c>
      <c r="AG27" s="21">
        <f>VLOOKUP(X27,'APY Pivot'!$Q:$AD,10,0)</f>
        <v>0</v>
      </c>
      <c r="AH27" s="21">
        <f>VLOOKUP(X27,'APY Pivot'!$Q:$AD,11,0)</f>
        <v>0</v>
      </c>
      <c r="AI27" s="21">
        <f>VLOOKUP(X27,'APY Pivot'!$Q:$AD,12,0)</f>
        <v>0</v>
      </c>
      <c r="AJ27" s="21">
        <f>VLOOKUP(X27,'APY Pivot'!$Q:$AD,13,0)</f>
        <v>0</v>
      </c>
      <c r="AK27" s="22">
        <f>VLOOKUP(X27,'APY Pivot'!$Q:$AD,14,0)</f>
        <v>3</v>
      </c>
    </row>
    <row r="28" spans="2:37" x14ac:dyDescent="0.3">
      <c r="B28" s="18">
        <f t="shared" si="7"/>
        <v>6</v>
      </c>
      <c r="C28" s="19" t="s">
        <v>455</v>
      </c>
      <c r="D28" s="20">
        <f>VLOOKUP(C28,'APY Pivot'!$A:$O,2,0)</f>
        <v>1380</v>
      </c>
      <c r="E28" s="21">
        <f>VLOOKUP(C28,'APY Pivot'!$A:$O,3,0)</f>
        <v>7</v>
      </c>
      <c r="F28" s="21">
        <f>VLOOKUP(C28,'APY Pivot'!$A:$O,4,0)</f>
        <v>31</v>
      </c>
      <c r="G28" s="21">
        <f>VLOOKUP(C28,'APY Pivot'!$A:$O,5,0)</f>
        <v>20</v>
      </c>
      <c r="H28" s="21">
        <f>VLOOKUP(C28,'APY Pivot'!$A:$O,6,0)</f>
        <v>24</v>
      </c>
      <c r="I28" s="21">
        <f>VLOOKUP(C28,'APY Pivot'!$A:$O,7,0)</f>
        <v>37</v>
      </c>
      <c r="J28" s="21">
        <f>VLOOKUP(C28,'APY Pivot'!$A:$O,8,0)</f>
        <v>2</v>
      </c>
      <c r="K28" s="21">
        <f>VLOOKUP(C28,'APY Pivot'!$A:$O,9,0)</f>
        <v>0</v>
      </c>
      <c r="L28" s="21">
        <f>VLOOKUP(C28,'APY Pivot'!$A:$O,10,0)</f>
        <v>0</v>
      </c>
      <c r="M28" s="21">
        <f>VLOOKUP(C28,'APY Pivot'!$A:$O,11,0)</f>
        <v>0</v>
      </c>
      <c r="N28" s="21">
        <f>VLOOKUP(C28,'APY Pivot'!$A:$O,12,0)</f>
        <v>0</v>
      </c>
      <c r="O28" s="21">
        <f>VLOOKUP(C28,'APY Pivot'!$A:$O,13,0)</f>
        <v>0</v>
      </c>
      <c r="P28" s="21">
        <f>VLOOKUP(C28,'APY Pivot'!$A:$O,14,0)</f>
        <v>0</v>
      </c>
      <c r="Q28" s="22">
        <f t="shared" si="8"/>
        <v>121</v>
      </c>
      <c r="R28" s="23">
        <f t="shared" si="9"/>
        <v>8.7681159420289853E-2</v>
      </c>
      <c r="T28" s="26"/>
      <c r="U28" s="27"/>
      <c r="W28" s="18">
        <f t="shared" si="10"/>
        <v>6</v>
      </c>
      <c r="X28" s="19" t="str">
        <f t="shared" si="11"/>
        <v>Souvik Maity</v>
      </c>
      <c r="Y28" s="21">
        <f>VLOOKUP(X28,'APY Pivot'!$Q:$AD,2,0)</f>
        <v>3</v>
      </c>
      <c r="Z28" s="21">
        <f>VLOOKUP(X28,'APY Pivot'!$Q:$AD,3,0)</f>
        <v>5</v>
      </c>
      <c r="AA28" s="21">
        <f>VLOOKUP(X28,'APY Pivot'!$Q:$AD,4,0)</f>
        <v>7</v>
      </c>
      <c r="AB28" s="21">
        <f>VLOOKUP(X28,'APY Pivot'!$Q:$AD,5,0)</f>
        <v>9</v>
      </c>
      <c r="AC28" s="21">
        <f>VLOOKUP(X28,'APY Pivot'!$Q:$AD,6,0)</f>
        <v>9</v>
      </c>
      <c r="AD28" s="21">
        <f>VLOOKUP(X28,'APY Pivot'!$Q:$AD,7,0)</f>
        <v>1</v>
      </c>
      <c r="AE28" s="21">
        <f>VLOOKUP(X28,'APY Pivot'!$Q:$AD,8,0)</f>
        <v>0</v>
      </c>
      <c r="AF28" s="21">
        <f>VLOOKUP(X28,'APY Pivot'!$Q:$AD,9,0)</f>
        <v>0</v>
      </c>
      <c r="AG28" s="21">
        <f>VLOOKUP(X28,'APY Pivot'!$Q:$AD,10,0)</f>
        <v>0</v>
      </c>
      <c r="AH28" s="21">
        <f>VLOOKUP(X28,'APY Pivot'!$Q:$AD,11,0)</f>
        <v>0</v>
      </c>
      <c r="AI28" s="21">
        <f>VLOOKUP(X28,'APY Pivot'!$Q:$AD,12,0)</f>
        <v>0</v>
      </c>
      <c r="AJ28" s="21">
        <f>VLOOKUP(X28,'APY Pivot'!$Q:$AD,13,0)</f>
        <v>0</v>
      </c>
      <c r="AK28" s="22">
        <f>VLOOKUP(X28,'APY Pivot'!$Q:$AD,14,0)</f>
        <v>12</v>
      </c>
    </row>
    <row r="29" spans="2:37" x14ac:dyDescent="0.3">
      <c r="B29" s="18">
        <f t="shared" si="7"/>
        <v>7</v>
      </c>
      <c r="C29" s="19" t="s">
        <v>97</v>
      </c>
      <c r="D29" s="20">
        <f>VLOOKUP(C29,'APY Pivot'!$A:$O,2,0)</f>
        <v>420</v>
      </c>
      <c r="E29" s="21">
        <f>VLOOKUP(C29,'APY Pivot'!$A:$O,3,0)</f>
        <v>2</v>
      </c>
      <c r="F29" s="21">
        <f>VLOOKUP(C29,'APY Pivot'!$A:$O,4,0)</f>
        <v>4</v>
      </c>
      <c r="G29" s="21">
        <f>VLOOKUP(C29,'APY Pivot'!$A:$O,5,0)</f>
        <v>6</v>
      </c>
      <c r="H29" s="21">
        <f>VLOOKUP(C29,'APY Pivot'!$A:$O,6,0)</f>
        <v>3</v>
      </c>
      <c r="I29" s="21">
        <f>VLOOKUP(C29,'APY Pivot'!$A:$O,7,0)</f>
        <v>5</v>
      </c>
      <c r="J29" s="21">
        <f>VLOOKUP(C29,'APY Pivot'!$A:$O,8,0)</f>
        <v>0</v>
      </c>
      <c r="K29" s="21">
        <f>VLOOKUP(C29,'APY Pivot'!$A:$O,9,0)</f>
        <v>0</v>
      </c>
      <c r="L29" s="21">
        <f>VLOOKUP(C29,'APY Pivot'!$A:$O,10,0)</f>
        <v>0</v>
      </c>
      <c r="M29" s="21">
        <f>VLOOKUP(C29,'APY Pivot'!$A:$O,11,0)</f>
        <v>0</v>
      </c>
      <c r="N29" s="21">
        <f>VLOOKUP(C29,'APY Pivot'!$A:$O,12,0)</f>
        <v>0</v>
      </c>
      <c r="O29" s="21">
        <f>VLOOKUP(C29,'APY Pivot'!$A:$O,13,0)</f>
        <v>0</v>
      </c>
      <c r="P29" s="21">
        <f>VLOOKUP(C29,'APY Pivot'!$A:$O,14,0)</f>
        <v>0</v>
      </c>
      <c r="Q29" s="22">
        <f t="shared" si="8"/>
        <v>20</v>
      </c>
      <c r="R29" s="23">
        <f t="shared" si="9"/>
        <v>4.7619047619047616E-2</v>
      </c>
      <c r="W29" s="18">
        <f t="shared" si="10"/>
        <v>7</v>
      </c>
      <c r="X29" s="19" t="str">
        <f t="shared" si="11"/>
        <v>Chandi Charan Mahato</v>
      </c>
      <c r="Y29" s="21">
        <f>VLOOKUP(X29,'APY Pivot'!$Q:$AD,2,0)</f>
        <v>1</v>
      </c>
      <c r="Z29" s="21">
        <f>VLOOKUP(X29,'APY Pivot'!$Q:$AD,3,0)</f>
        <v>2</v>
      </c>
      <c r="AA29" s="21">
        <f>VLOOKUP(X29,'APY Pivot'!$Q:$AD,4,0)</f>
        <v>2</v>
      </c>
      <c r="AB29" s="21">
        <f>VLOOKUP(X29,'APY Pivot'!$Q:$AD,5,0)</f>
        <v>3</v>
      </c>
      <c r="AC29" s="21">
        <f>VLOOKUP(X29,'APY Pivot'!$Q:$AD,6,0)</f>
        <v>2</v>
      </c>
      <c r="AD29" s="21">
        <f>VLOOKUP(X29,'APY Pivot'!$Q:$AD,7,0)</f>
        <v>0</v>
      </c>
      <c r="AE29" s="21">
        <f>VLOOKUP(X29,'APY Pivot'!$Q:$AD,8,0)</f>
        <v>0</v>
      </c>
      <c r="AF29" s="21">
        <f>VLOOKUP(X29,'APY Pivot'!$Q:$AD,9,0)</f>
        <v>0</v>
      </c>
      <c r="AG29" s="21">
        <f>VLOOKUP(X29,'APY Pivot'!$Q:$AD,10,0)</f>
        <v>0</v>
      </c>
      <c r="AH29" s="21">
        <f>VLOOKUP(X29,'APY Pivot'!$Q:$AD,11,0)</f>
        <v>0</v>
      </c>
      <c r="AI29" s="21">
        <f>VLOOKUP(X29,'APY Pivot'!$Q:$AD,12,0)</f>
        <v>0</v>
      </c>
      <c r="AJ29" s="21">
        <f>VLOOKUP(X29,'APY Pivot'!$Q:$AD,13,0)</f>
        <v>0</v>
      </c>
      <c r="AK29" s="22">
        <f>VLOOKUP(X29,'APY Pivot'!$Q:$AD,14,0)</f>
        <v>4</v>
      </c>
    </row>
    <row r="30" spans="2:37" x14ac:dyDescent="0.3">
      <c r="B30" s="18">
        <f t="shared" si="7"/>
        <v>8</v>
      </c>
      <c r="C30" s="19" t="s">
        <v>93</v>
      </c>
      <c r="D30" s="20">
        <f>VLOOKUP(C30,'APY Pivot'!$A:$O,2,0)</f>
        <v>480</v>
      </c>
      <c r="E30" s="21">
        <f>VLOOKUP(C30,'APY Pivot'!$A:$O,3,0)</f>
        <v>2</v>
      </c>
      <c r="F30" s="21">
        <f>VLOOKUP(C30,'APY Pivot'!$A:$O,4,0)</f>
        <v>1</v>
      </c>
      <c r="G30" s="21">
        <f>VLOOKUP(C30,'APY Pivot'!$A:$O,5,0)</f>
        <v>2</v>
      </c>
      <c r="H30" s="21">
        <f>VLOOKUP(C30,'APY Pivot'!$A:$O,6,0)</f>
        <v>9</v>
      </c>
      <c r="I30" s="21">
        <f>VLOOKUP(C30,'APY Pivot'!$A:$O,7,0)</f>
        <v>7</v>
      </c>
      <c r="J30" s="21">
        <f>VLOOKUP(C30,'APY Pivot'!$A:$O,8,0)</f>
        <v>0</v>
      </c>
      <c r="K30" s="21">
        <f>VLOOKUP(C30,'APY Pivot'!$A:$O,9,0)</f>
        <v>0</v>
      </c>
      <c r="L30" s="21">
        <f>VLOOKUP(C30,'APY Pivot'!$A:$O,10,0)</f>
        <v>0</v>
      </c>
      <c r="M30" s="21">
        <f>VLOOKUP(C30,'APY Pivot'!$A:$O,11,0)</f>
        <v>0</v>
      </c>
      <c r="N30" s="21">
        <f>VLOOKUP(C30,'APY Pivot'!$A:$O,12,0)</f>
        <v>0</v>
      </c>
      <c r="O30" s="21">
        <f>VLOOKUP(C30,'APY Pivot'!$A:$O,13,0)</f>
        <v>0</v>
      </c>
      <c r="P30" s="21">
        <f>VLOOKUP(C30,'APY Pivot'!$A:$O,14,0)</f>
        <v>0</v>
      </c>
      <c r="Q30" s="22">
        <f t="shared" si="8"/>
        <v>21</v>
      </c>
      <c r="R30" s="23">
        <f t="shared" si="9"/>
        <v>4.3749999999999997E-2</v>
      </c>
      <c r="W30" s="18">
        <f t="shared" si="10"/>
        <v>8</v>
      </c>
      <c r="X30" s="19" t="str">
        <f t="shared" si="11"/>
        <v>Manindra Nath Barman</v>
      </c>
      <c r="Y30" s="21">
        <f>VLOOKUP(X30,'APY Pivot'!$Q:$AD,2,0)</f>
        <v>2</v>
      </c>
      <c r="Z30" s="21">
        <f>VLOOKUP(X30,'APY Pivot'!$Q:$AD,3,0)</f>
        <v>1</v>
      </c>
      <c r="AA30" s="21">
        <f>VLOOKUP(X30,'APY Pivot'!$Q:$AD,4,0)</f>
        <v>1</v>
      </c>
      <c r="AB30" s="21">
        <f>VLOOKUP(X30,'APY Pivot'!$Q:$AD,5,0)</f>
        <v>2</v>
      </c>
      <c r="AC30" s="21">
        <f>VLOOKUP(X30,'APY Pivot'!$Q:$AD,6,0)</f>
        <v>3</v>
      </c>
      <c r="AD30" s="21">
        <f>VLOOKUP(X30,'APY Pivot'!$Q:$AD,7,0)</f>
        <v>0</v>
      </c>
      <c r="AE30" s="21">
        <f>VLOOKUP(X30,'APY Pivot'!$Q:$AD,8,0)</f>
        <v>0</v>
      </c>
      <c r="AF30" s="21">
        <f>VLOOKUP(X30,'APY Pivot'!$Q:$AD,9,0)</f>
        <v>0</v>
      </c>
      <c r="AG30" s="21">
        <f>VLOOKUP(X30,'APY Pivot'!$Q:$AD,10,0)</f>
        <v>0</v>
      </c>
      <c r="AH30" s="21">
        <f>VLOOKUP(X30,'APY Pivot'!$Q:$AD,11,0)</f>
        <v>0</v>
      </c>
      <c r="AI30" s="21">
        <f>VLOOKUP(X30,'APY Pivot'!$Q:$AD,12,0)</f>
        <v>0</v>
      </c>
      <c r="AJ30" s="21">
        <f>VLOOKUP(X30,'APY Pivot'!$Q:$AD,13,0)</f>
        <v>0</v>
      </c>
      <c r="AK30" s="22">
        <f>VLOOKUP(X30,'APY Pivot'!$Q:$AD,14,0)</f>
        <v>4</v>
      </c>
    </row>
    <row r="31" spans="2:37" x14ac:dyDescent="0.3">
      <c r="B31" s="18">
        <f t="shared" si="7"/>
        <v>9</v>
      </c>
      <c r="C31" s="19" t="s">
        <v>99</v>
      </c>
      <c r="D31" s="20">
        <f>VLOOKUP(C31,'APY Pivot'!$A:$O,2,0)</f>
        <v>270</v>
      </c>
      <c r="E31" s="21">
        <f>VLOOKUP(C31,'APY Pivot'!$A:$O,3,0)</f>
        <v>1</v>
      </c>
      <c r="F31" s="21">
        <f>VLOOKUP(C31,'APY Pivot'!$A:$O,4,0)</f>
        <v>0</v>
      </c>
      <c r="G31" s="21">
        <f>VLOOKUP(C31,'APY Pivot'!$A:$O,5,0)</f>
        <v>2</v>
      </c>
      <c r="H31" s="21">
        <f>VLOOKUP(C31,'APY Pivot'!$A:$O,6,0)</f>
        <v>3</v>
      </c>
      <c r="I31" s="21">
        <f>VLOOKUP(C31,'APY Pivot'!$A:$O,7,0)</f>
        <v>5</v>
      </c>
      <c r="J31" s="21">
        <f>VLOOKUP(C31,'APY Pivot'!$A:$O,8,0)</f>
        <v>0</v>
      </c>
      <c r="K31" s="21">
        <f>VLOOKUP(C31,'APY Pivot'!$A:$O,9,0)</f>
        <v>0</v>
      </c>
      <c r="L31" s="21">
        <f>VLOOKUP(C31,'APY Pivot'!$A:$O,10,0)</f>
        <v>0</v>
      </c>
      <c r="M31" s="21">
        <f>VLOOKUP(C31,'APY Pivot'!$A:$O,11,0)</f>
        <v>0</v>
      </c>
      <c r="N31" s="21">
        <f>VLOOKUP(C31,'APY Pivot'!$A:$O,12,0)</f>
        <v>0</v>
      </c>
      <c r="O31" s="21">
        <f>VLOOKUP(C31,'APY Pivot'!$A:$O,13,0)</f>
        <v>0</v>
      </c>
      <c r="P31" s="21">
        <f>VLOOKUP(C31,'APY Pivot'!$A:$O,14,0)</f>
        <v>0</v>
      </c>
      <c r="Q31" s="22">
        <f t="shared" si="8"/>
        <v>11</v>
      </c>
      <c r="R31" s="23">
        <f t="shared" si="9"/>
        <v>4.0740740740740744E-2</v>
      </c>
      <c r="W31" s="18">
        <f t="shared" si="10"/>
        <v>9</v>
      </c>
      <c r="X31" s="19" t="str">
        <f t="shared" si="11"/>
        <v>Avi Sk</v>
      </c>
      <c r="Y31" s="21">
        <f>VLOOKUP(X31,'APY Pivot'!$Q:$AD,2,0)</f>
        <v>1</v>
      </c>
      <c r="Z31" s="21">
        <f>VLOOKUP(X31,'APY Pivot'!$Q:$AD,3,0)</f>
        <v>0</v>
      </c>
      <c r="AA31" s="21">
        <f>VLOOKUP(X31,'APY Pivot'!$Q:$AD,4,0)</f>
        <v>1</v>
      </c>
      <c r="AB31" s="21">
        <f>VLOOKUP(X31,'APY Pivot'!$Q:$AD,5,0)</f>
        <v>1</v>
      </c>
      <c r="AC31" s="21">
        <f>VLOOKUP(X31,'APY Pivot'!$Q:$AD,6,0)</f>
        <v>2</v>
      </c>
      <c r="AD31" s="21">
        <f>VLOOKUP(X31,'APY Pivot'!$Q:$AD,7,0)</f>
        <v>0</v>
      </c>
      <c r="AE31" s="21">
        <f>VLOOKUP(X31,'APY Pivot'!$Q:$AD,8,0)</f>
        <v>0</v>
      </c>
      <c r="AF31" s="21">
        <f>VLOOKUP(X31,'APY Pivot'!$Q:$AD,9,0)</f>
        <v>0</v>
      </c>
      <c r="AG31" s="21">
        <f>VLOOKUP(X31,'APY Pivot'!$Q:$AD,10,0)</f>
        <v>0</v>
      </c>
      <c r="AH31" s="21">
        <f>VLOOKUP(X31,'APY Pivot'!$Q:$AD,11,0)</f>
        <v>0</v>
      </c>
      <c r="AI31" s="21">
        <f>VLOOKUP(X31,'APY Pivot'!$Q:$AD,12,0)</f>
        <v>0</v>
      </c>
      <c r="AJ31" s="21">
        <f>VLOOKUP(X31,'APY Pivot'!$Q:$AD,13,0)</f>
        <v>0</v>
      </c>
      <c r="AK31" s="22">
        <f>VLOOKUP(X31,'APY Pivot'!$Q:$AD,14,0)</f>
        <v>1</v>
      </c>
    </row>
    <row r="32" spans="2:37" x14ac:dyDescent="0.3">
      <c r="B32" s="18">
        <f t="shared" si="7"/>
        <v>10</v>
      </c>
      <c r="C32" s="19" t="s">
        <v>345</v>
      </c>
      <c r="D32" s="20">
        <f>VLOOKUP(C32,'APY Pivot'!$A:$O,2,0)</f>
        <v>570</v>
      </c>
      <c r="E32" s="21">
        <f>VLOOKUP(C32,'APY Pivot'!$A:$O,3,0)</f>
        <v>4</v>
      </c>
      <c r="F32" s="21">
        <f>VLOOKUP(C32,'APY Pivot'!$A:$O,4,0)</f>
        <v>2</v>
      </c>
      <c r="G32" s="21">
        <f>VLOOKUP(C32,'APY Pivot'!$A:$O,5,0)</f>
        <v>3</v>
      </c>
      <c r="H32" s="21">
        <f>VLOOKUP(C32,'APY Pivot'!$A:$O,6,0)</f>
        <v>10</v>
      </c>
      <c r="I32" s="21">
        <f>VLOOKUP(C32,'APY Pivot'!$A:$O,7,0)</f>
        <v>3</v>
      </c>
      <c r="J32" s="21">
        <f>VLOOKUP(C32,'APY Pivot'!$A:$O,8,0)</f>
        <v>0</v>
      </c>
      <c r="K32" s="21">
        <f>VLOOKUP(C32,'APY Pivot'!$A:$O,9,0)</f>
        <v>0</v>
      </c>
      <c r="L32" s="21">
        <f>VLOOKUP(C32,'APY Pivot'!$A:$O,10,0)</f>
        <v>0</v>
      </c>
      <c r="M32" s="21">
        <f>VLOOKUP(C32,'APY Pivot'!$A:$O,11,0)</f>
        <v>0</v>
      </c>
      <c r="N32" s="21">
        <f>VLOOKUP(C32,'APY Pivot'!$A:$O,12,0)</f>
        <v>0</v>
      </c>
      <c r="O32" s="21">
        <f>VLOOKUP(C32,'APY Pivot'!$A:$O,13,0)</f>
        <v>0</v>
      </c>
      <c r="P32" s="21">
        <f>VLOOKUP(C32,'APY Pivot'!$A:$O,14,0)</f>
        <v>0</v>
      </c>
      <c r="Q32" s="22">
        <f t="shared" si="8"/>
        <v>22</v>
      </c>
      <c r="R32" s="23">
        <f t="shared" si="9"/>
        <v>3.8596491228070177E-2</v>
      </c>
      <c r="W32" s="18">
        <f t="shared" si="10"/>
        <v>10</v>
      </c>
      <c r="X32" s="19" t="str">
        <f t="shared" si="11"/>
        <v>Under Office (Birbhum)</v>
      </c>
      <c r="Y32" s="21">
        <f>VLOOKUP(X32,'APY Pivot'!$Q:$AD,2,0)</f>
        <v>2</v>
      </c>
      <c r="Z32" s="21">
        <f>VLOOKUP(X32,'APY Pivot'!$Q:$AD,3,0)</f>
        <v>1</v>
      </c>
      <c r="AA32" s="21">
        <f>VLOOKUP(X32,'APY Pivot'!$Q:$AD,4,0)</f>
        <v>3</v>
      </c>
      <c r="AB32" s="21">
        <f>VLOOKUP(X32,'APY Pivot'!$Q:$AD,5,0)</f>
        <v>5</v>
      </c>
      <c r="AC32" s="21">
        <f>VLOOKUP(X32,'APY Pivot'!$Q:$AD,6,0)</f>
        <v>1</v>
      </c>
      <c r="AD32" s="21">
        <f>VLOOKUP(X32,'APY Pivot'!$Q:$AD,7,0)</f>
        <v>0</v>
      </c>
      <c r="AE32" s="21">
        <f>VLOOKUP(X32,'APY Pivot'!$Q:$AD,8,0)</f>
        <v>0</v>
      </c>
      <c r="AF32" s="21">
        <f>VLOOKUP(X32,'APY Pivot'!$Q:$AD,9,0)</f>
        <v>0</v>
      </c>
      <c r="AG32" s="21">
        <f>VLOOKUP(X32,'APY Pivot'!$Q:$AD,10,0)</f>
        <v>0</v>
      </c>
      <c r="AH32" s="21">
        <f>VLOOKUP(X32,'APY Pivot'!$Q:$AD,11,0)</f>
        <v>0</v>
      </c>
      <c r="AI32" s="21">
        <f>VLOOKUP(X32,'APY Pivot'!$Q:$AD,12,0)</f>
        <v>0</v>
      </c>
      <c r="AJ32" s="21">
        <f>VLOOKUP(X32,'APY Pivot'!$Q:$AD,13,0)</f>
        <v>0</v>
      </c>
      <c r="AK32" s="22">
        <f>VLOOKUP(X32,'APY Pivot'!$Q:$AD,14,0)</f>
        <v>5</v>
      </c>
    </row>
    <row r="33" spans="2:37" x14ac:dyDescent="0.3">
      <c r="B33" s="18">
        <f t="shared" si="7"/>
        <v>11</v>
      </c>
      <c r="C33" s="19" t="s">
        <v>96</v>
      </c>
      <c r="D33" s="20">
        <f>VLOOKUP(C33,'APY Pivot'!$A:$O,2,0)</f>
        <v>1110</v>
      </c>
      <c r="E33" s="21">
        <f>VLOOKUP(C33,'APY Pivot'!$A:$O,3,0)</f>
        <v>3</v>
      </c>
      <c r="F33" s="21">
        <f>VLOOKUP(C33,'APY Pivot'!$A:$O,4,0)</f>
        <v>3</v>
      </c>
      <c r="G33" s="21">
        <f>VLOOKUP(C33,'APY Pivot'!$A:$O,5,0)</f>
        <v>10</v>
      </c>
      <c r="H33" s="21">
        <f>VLOOKUP(C33,'APY Pivot'!$A:$O,6,0)</f>
        <v>3</v>
      </c>
      <c r="I33" s="21">
        <f>VLOOKUP(C33,'APY Pivot'!$A:$O,7,0)</f>
        <v>20</v>
      </c>
      <c r="J33" s="21">
        <f>VLOOKUP(C33,'APY Pivot'!$A:$O,8,0)</f>
        <v>3</v>
      </c>
      <c r="K33" s="21">
        <f>VLOOKUP(C33,'APY Pivot'!$A:$O,9,0)</f>
        <v>0</v>
      </c>
      <c r="L33" s="21">
        <f>VLOOKUP(C33,'APY Pivot'!$A:$O,10,0)</f>
        <v>0</v>
      </c>
      <c r="M33" s="21">
        <f>VLOOKUP(C33,'APY Pivot'!$A:$O,11,0)</f>
        <v>0</v>
      </c>
      <c r="N33" s="21">
        <f>VLOOKUP(C33,'APY Pivot'!$A:$O,12,0)</f>
        <v>0</v>
      </c>
      <c r="O33" s="21">
        <f>VLOOKUP(C33,'APY Pivot'!$A:$O,13,0)</f>
        <v>0</v>
      </c>
      <c r="P33" s="21">
        <f>VLOOKUP(C33,'APY Pivot'!$A:$O,14,0)</f>
        <v>0</v>
      </c>
      <c r="Q33" s="22">
        <f t="shared" si="8"/>
        <v>42</v>
      </c>
      <c r="R33" s="23">
        <f t="shared" si="9"/>
        <v>3.783783783783784E-2</v>
      </c>
      <c r="W33" s="18">
        <f t="shared" si="10"/>
        <v>11</v>
      </c>
      <c r="X33" s="19" t="str">
        <f t="shared" si="11"/>
        <v>Sunil Biswas</v>
      </c>
      <c r="Y33" s="21">
        <f>VLOOKUP(X33,'APY Pivot'!$Q:$AD,2,0)</f>
        <v>2</v>
      </c>
      <c r="Z33" s="21">
        <f>VLOOKUP(X33,'APY Pivot'!$Q:$AD,3,0)</f>
        <v>2</v>
      </c>
      <c r="AA33" s="21">
        <f>VLOOKUP(X33,'APY Pivot'!$Q:$AD,4,0)</f>
        <v>3</v>
      </c>
      <c r="AB33" s="21">
        <f>VLOOKUP(X33,'APY Pivot'!$Q:$AD,5,0)</f>
        <v>3</v>
      </c>
      <c r="AC33" s="21">
        <f>VLOOKUP(X33,'APY Pivot'!$Q:$AD,6,0)</f>
        <v>2</v>
      </c>
      <c r="AD33" s="21">
        <f>VLOOKUP(X33,'APY Pivot'!$Q:$AD,7,0)</f>
        <v>1</v>
      </c>
      <c r="AE33" s="21">
        <f>VLOOKUP(X33,'APY Pivot'!$Q:$AD,8,0)</f>
        <v>0</v>
      </c>
      <c r="AF33" s="21">
        <f>VLOOKUP(X33,'APY Pivot'!$Q:$AD,9,0)</f>
        <v>0</v>
      </c>
      <c r="AG33" s="21">
        <f>VLOOKUP(X33,'APY Pivot'!$Q:$AD,10,0)</f>
        <v>0</v>
      </c>
      <c r="AH33" s="21">
        <f>VLOOKUP(X33,'APY Pivot'!$Q:$AD,11,0)</f>
        <v>0</v>
      </c>
      <c r="AI33" s="21">
        <f>VLOOKUP(X33,'APY Pivot'!$Q:$AD,12,0)</f>
        <v>0</v>
      </c>
      <c r="AJ33" s="21">
        <f>VLOOKUP(X33,'APY Pivot'!$Q:$AD,13,0)</f>
        <v>0</v>
      </c>
      <c r="AK33" s="22">
        <f>VLOOKUP(X33,'APY Pivot'!$Q:$AD,14,0)</f>
        <v>6</v>
      </c>
    </row>
    <row r="34" spans="2:37" x14ac:dyDescent="0.3">
      <c r="B34" s="18">
        <f t="shared" si="7"/>
        <v>12</v>
      </c>
      <c r="C34" s="19" t="s">
        <v>95</v>
      </c>
      <c r="D34" s="20">
        <f>VLOOKUP(C34,'APY Pivot'!$A:$O,2,0)</f>
        <v>510</v>
      </c>
      <c r="E34" s="21">
        <f>VLOOKUP(C34,'APY Pivot'!$A:$O,3,0)</f>
        <v>0</v>
      </c>
      <c r="F34" s="21">
        <f>VLOOKUP(C34,'APY Pivot'!$A:$O,4,0)</f>
        <v>0</v>
      </c>
      <c r="G34" s="21">
        <f>VLOOKUP(C34,'APY Pivot'!$A:$O,5,0)</f>
        <v>0</v>
      </c>
      <c r="H34" s="21">
        <f>VLOOKUP(C34,'APY Pivot'!$A:$O,6,0)</f>
        <v>3</v>
      </c>
      <c r="I34" s="21">
        <f>VLOOKUP(C34,'APY Pivot'!$A:$O,7,0)</f>
        <v>7</v>
      </c>
      <c r="J34" s="21">
        <f>VLOOKUP(C34,'APY Pivot'!$A:$O,8,0)</f>
        <v>1</v>
      </c>
      <c r="K34" s="21">
        <f>VLOOKUP(C34,'APY Pivot'!$A:$O,9,0)</f>
        <v>0</v>
      </c>
      <c r="L34" s="21">
        <f>VLOOKUP(C34,'APY Pivot'!$A:$O,10,0)</f>
        <v>0</v>
      </c>
      <c r="M34" s="21">
        <f>VLOOKUP(C34,'APY Pivot'!$A:$O,11,0)</f>
        <v>0</v>
      </c>
      <c r="N34" s="21">
        <f>VLOOKUP(C34,'APY Pivot'!$A:$O,12,0)</f>
        <v>0</v>
      </c>
      <c r="O34" s="21">
        <f>VLOOKUP(C34,'APY Pivot'!$A:$O,13,0)</f>
        <v>0</v>
      </c>
      <c r="P34" s="21">
        <f>VLOOKUP(C34,'APY Pivot'!$A:$O,14,0)</f>
        <v>0</v>
      </c>
      <c r="Q34" s="22">
        <f t="shared" si="8"/>
        <v>11</v>
      </c>
      <c r="R34" s="23">
        <f t="shared" si="9"/>
        <v>2.1568627450980392E-2</v>
      </c>
      <c r="W34" s="18">
        <f t="shared" si="10"/>
        <v>12</v>
      </c>
      <c r="X34" s="19" t="str">
        <f t="shared" si="11"/>
        <v>Santanu Bera</v>
      </c>
      <c r="Y34" s="21">
        <f>VLOOKUP(X34,'APY Pivot'!$Q:$AD,2,0)</f>
        <v>0</v>
      </c>
      <c r="Z34" s="21">
        <f>VLOOKUP(X34,'APY Pivot'!$Q:$AD,3,0)</f>
        <v>0</v>
      </c>
      <c r="AA34" s="21">
        <f>VLOOKUP(X34,'APY Pivot'!$Q:$AD,4,0)</f>
        <v>0</v>
      </c>
      <c r="AB34" s="21">
        <f>VLOOKUP(X34,'APY Pivot'!$Q:$AD,5,0)</f>
        <v>2</v>
      </c>
      <c r="AC34" s="21">
        <f>VLOOKUP(X34,'APY Pivot'!$Q:$AD,6,0)</f>
        <v>1</v>
      </c>
      <c r="AD34" s="21">
        <f>VLOOKUP(X34,'APY Pivot'!$Q:$AD,7,0)</f>
        <v>1</v>
      </c>
      <c r="AE34" s="21">
        <f>VLOOKUP(X34,'APY Pivot'!$Q:$AD,8,0)</f>
        <v>0</v>
      </c>
      <c r="AF34" s="21">
        <f>VLOOKUP(X34,'APY Pivot'!$Q:$AD,9,0)</f>
        <v>0</v>
      </c>
      <c r="AG34" s="21">
        <f>VLOOKUP(X34,'APY Pivot'!$Q:$AD,10,0)</f>
        <v>0</v>
      </c>
      <c r="AH34" s="21">
        <f>VLOOKUP(X34,'APY Pivot'!$Q:$AD,11,0)</f>
        <v>0</v>
      </c>
      <c r="AI34" s="21">
        <f>VLOOKUP(X34,'APY Pivot'!$Q:$AD,12,0)</f>
        <v>0</v>
      </c>
      <c r="AJ34" s="21">
        <f>VLOOKUP(X34,'APY Pivot'!$Q:$AD,13,0)</f>
        <v>0</v>
      </c>
      <c r="AK34" s="22">
        <f>VLOOKUP(X34,'APY Pivot'!$Q:$AD,14,0)</f>
        <v>2</v>
      </c>
    </row>
    <row r="35" spans="2:37" x14ac:dyDescent="0.3">
      <c r="B35" s="18">
        <f t="shared" si="7"/>
        <v>13</v>
      </c>
      <c r="C35" s="19" t="s">
        <v>101</v>
      </c>
      <c r="D35" s="20">
        <f>VLOOKUP(C35,'APY Pivot'!$A:$O,2,0)</f>
        <v>180</v>
      </c>
      <c r="E35" s="21">
        <f>VLOOKUP(C35,'APY Pivot'!$A:$O,3,0)</f>
        <v>0</v>
      </c>
      <c r="F35" s="21">
        <f>VLOOKUP(C35,'APY Pivot'!$A:$O,4,0)</f>
        <v>0</v>
      </c>
      <c r="G35" s="21">
        <f>VLOOKUP(C35,'APY Pivot'!$A:$O,5,0)</f>
        <v>0</v>
      </c>
      <c r="H35" s="21">
        <f>VLOOKUP(C35,'APY Pivot'!$A:$O,6,0)</f>
        <v>1</v>
      </c>
      <c r="I35" s="21">
        <f>VLOOKUP(C35,'APY Pivot'!$A:$O,7,0)</f>
        <v>0</v>
      </c>
      <c r="J35" s="21">
        <f>VLOOKUP(C35,'APY Pivot'!$A:$O,8,0)</f>
        <v>0</v>
      </c>
      <c r="K35" s="21">
        <f>VLOOKUP(C35,'APY Pivot'!$A:$O,9,0)</f>
        <v>0</v>
      </c>
      <c r="L35" s="21">
        <f>VLOOKUP(C35,'APY Pivot'!$A:$O,10,0)</f>
        <v>0</v>
      </c>
      <c r="M35" s="21">
        <f>VLOOKUP(C35,'APY Pivot'!$A:$O,11,0)</f>
        <v>0</v>
      </c>
      <c r="N35" s="21">
        <f>VLOOKUP(C35,'APY Pivot'!$A:$O,12,0)</f>
        <v>0</v>
      </c>
      <c r="O35" s="21">
        <f>VLOOKUP(C35,'APY Pivot'!$A:$O,13,0)</f>
        <v>0</v>
      </c>
      <c r="P35" s="21">
        <f>VLOOKUP(C35,'APY Pivot'!$A:$O,14,0)</f>
        <v>0</v>
      </c>
      <c r="Q35" s="22">
        <f t="shared" si="8"/>
        <v>1</v>
      </c>
      <c r="R35" s="23">
        <f t="shared" si="9"/>
        <v>5.5555555555555558E-3</v>
      </c>
      <c r="W35" s="18">
        <f t="shared" si="10"/>
        <v>13</v>
      </c>
      <c r="X35" s="19" t="str">
        <f t="shared" si="11"/>
        <v>Pijush Singha</v>
      </c>
      <c r="Y35" s="21">
        <f>VLOOKUP(X35,'APY Pivot'!$Q:$AD,2,0)</f>
        <v>0</v>
      </c>
      <c r="Z35" s="21">
        <f>VLOOKUP(X35,'APY Pivot'!$Q:$AD,3,0)</f>
        <v>0</v>
      </c>
      <c r="AA35" s="21">
        <f>VLOOKUP(X35,'APY Pivot'!$Q:$AD,4,0)</f>
        <v>0</v>
      </c>
      <c r="AB35" s="21">
        <f>VLOOKUP(X35,'APY Pivot'!$Q:$AD,5,0)</f>
        <v>1</v>
      </c>
      <c r="AC35" s="21">
        <f>VLOOKUP(X35,'APY Pivot'!$Q:$AD,6,0)</f>
        <v>0</v>
      </c>
      <c r="AD35" s="21">
        <f>VLOOKUP(X35,'APY Pivot'!$Q:$AD,7,0)</f>
        <v>0</v>
      </c>
      <c r="AE35" s="21">
        <f>VLOOKUP(X35,'APY Pivot'!$Q:$AD,8,0)</f>
        <v>0</v>
      </c>
      <c r="AF35" s="21">
        <f>VLOOKUP(X35,'APY Pivot'!$Q:$AD,9,0)</f>
        <v>0</v>
      </c>
      <c r="AG35" s="21">
        <f>VLOOKUP(X35,'APY Pivot'!$Q:$AD,10,0)</f>
        <v>0</v>
      </c>
      <c r="AH35" s="21">
        <f>VLOOKUP(X35,'APY Pivot'!$Q:$AD,11,0)</f>
        <v>0</v>
      </c>
      <c r="AI35" s="21">
        <f>VLOOKUP(X35,'APY Pivot'!$Q:$AD,12,0)</f>
        <v>0</v>
      </c>
      <c r="AJ35" s="21">
        <f>VLOOKUP(X35,'APY Pivot'!$Q:$AD,13,0)</f>
        <v>0</v>
      </c>
      <c r="AK35" s="22">
        <f>VLOOKUP(X35,'APY Pivot'!$Q:$AD,14,0)</f>
        <v>1</v>
      </c>
    </row>
    <row r="36" spans="2:37" x14ac:dyDescent="0.3">
      <c r="B36" s="18">
        <f t="shared" si="7"/>
        <v>14</v>
      </c>
      <c r="C36" s="19" t="s">
        <v>449</v>
      </c>
      <c r="D36" s="20">
        <f>VLOOKUP(C36,'APY Pivot'!$A:$O,2,0)</f>
        <v>30</v>
      </c>
      <c r="E36" s="21">
        <f>VLOOKUP(C36,'APY Pivot'!$A:$O,3,0)</f>
        <v>0</v>
      </c>
      <c r="F36" s="21">
        <f>VLOOKUP(C36,'APY Pivot'!$A:$O,4,0)</f>
        <v>0</v>
      </c>
      <c r="G36" s="21">
        <f>VLOOKUP(C36,'APY Pivot'!$A:$O,5,0)</f>
        <v>0</v>
      </c>
      <c r="H36" s="21">
        <f>VLOOKUP(C36,'APY Pivot'!$A:$O,6,0)</f>
        <v>0</v>
      </c>
      <c r="I36" s="21">
        <f>VLOOKUP(C36,'APY Pivot'!$A:$O,7,0)</f>
        <v>0</v>
      </c>
      <c r="J36" s="21">
        <f>VLOOKUP(C36,'APY Pivot'!$A:$O,8,0)</f>
        <v>0</v>
      </c>
      <c r="K36" s="21">
        <f>VLOOKUP(C36,'APY Pivot'!$A:$O,9,0)</f>
        <v>0</v>
      </c>
      <c r="L36" s="21">
        <f>VLOOKUP(C36,'APY Pivot'!$A:$O,10,0)</f>
        <v>0</v>
      </c>
      <c r="M36" s="21">
        <f>VLOOKUP(C36,'APY Pivot'!$A:$O,11,0)</f>
        <v>0</v>
      </c>
      <c r="N36" s="21">
        <f>VLOOKUP(C36,'APY Pivot'!$A:$O,12,0)</f>
        <v>0</v>
      </c>
      <c r="O36" s="21">
        <f>VLOOKUP(C36,'APY Pivot'!$A:$O,13,0)</f>
        <v>0</v>
      </c>
      <c r="P36" s="21">
        <f>VLOOKUP(C36,'APY Pivot'!$A:$O,14,0)</f>
        <v>0</v>
      </c>
      <c r="Q36" s="22">
        <f t="shared" si="8"/>
        <v>0</v>
      </c>
      <c r="R36" s="23">
        <f t="shared" si="9"/>
        <v>0</v>
      </c>
      <c r="W36" s="18">
        <f t="shared" si="10"/>
        <v>14</v>
      </c>
      <c r="X36" s="19" t="str">
        <f t="shared" si="11"/>
        <v>Mousumi Sarkar</v>
      </c>
      <c r="Y36" s="21">
        <f>VLOOKUP(X36,'APY Pivot'!$Q:$AD,2,0)</f>
        <v>0</v>
      </c>
      <c r="Z36" s="21">
        <f>VLOOKUP(X36,'APY Pivot'!$Q:$AD,3,0)</f>
        <v>0</v>
      </c>
      <c r="AA36" s="21">
        <f>VLOOKUP(X36,'APY Pivot'!$Q:$AD,4,0)</f>
        <v>0</v>
      </c>
      <c r="AB36" s="21">
        <f>VLOOKUP(X36,'APY Pivot'!$Q:$AD,5,0)</f>
        <v>0</v>
      </c>
      <c r="AC36" s="21">
        <f>VLOOKUP(X36,'APY Pivot'!$Q:$AD,6,0)</f>
        <v>0</v>
      </c>
      <c r="AD36" s="21">
        <f>VLOOKUP(X36,'APY Pivot'!$Q:$AD,7,0)</f>
        <v>0</v>
      </c>
      <c r="AE36" s="21">
        <f>VLOOKUP(X36,'APY Pivot'!$Q:$AD,8,0)</f>
        <v>0</v>
      </c>
      <c r="AF36" s="21">
        <f>VLOOKUP(X36,'APY Pivot'!$Q:$AD,9,0)</f>
        <v>0</v>
      </c>
      <c r="AG36" s="21">
        <f>VLOOKUP(X36,'APY Pivot'!$Q:$AD,10,0)</f>
        <v>0</v>
      </c>
      <c r="AH36" s="21">
        <f>VLOOKUP(X36,'APY Pivot'!$Q:$AD,11,0)</f>
        <v>0</v>
      </c>
      <c r="AI36" s="21">
        <f>VLOOKUP(X36,'APY Pivot'!$Q:$AD,12,0)</f>
        <v>0</v>
      </c>
      <c r="AJ36" s="21">
        <f>VLOOKUP(X36,'APY Pivot'!$Q:$AD,13,0)</f>
        <v>0</v>
      </c>
      <c r="AK36" s="22">
        <f>VLOOKUP(X36,'APY Pivot'!$Q:$AD,14,0)</f>
        <v>0</v>
      </c>
    </row>
    <row r="37" spans="2:37" ht="3" customHeight="1" x14ac:dyDescent="0.3">
      <c r="R37" s="28"/>
    </row>
    <row r="38" spans="2:37" x14ac:dyDescent="0.3">
      <c r="B38" s="215" t="s">
        <v>283</v>
      </c>
      <c r="C38" s="216"/>
      <c r="D38" s="29">
        <f t="shared" ref="D38:Q38" si="12">SUM(D23:D36)</f>
        <v>7470</v>
      </c>
      <c r="E38" s="29">
        <f t="shared" si="12"/>
        <v>38</v>
      </c>
      <c r="F38" s="29">
        <f t="shared" si="12"/>
        <v>99</v>
      </c>
      <c r="G38" s="29">
        <f t="shared" si="12"/>
        <v>100</v>
      </c>
      <c r="H38" s="29">
        <f t="shared" si="12"/>
        <v>128</v>
      </c>
      <c r="I38" s="29">
        <f t="shared" si="12"/>
        <v>174</v>
      </c>
      <c r="J38" s="29">
        <f t="shared" si="12"/>
        <v>26</v>
      </c>
      <c r="K38" s="29">
        <f t="shared" si="12"/>
        <v>0</v>
      </c>
      <c r="L38" s="29">
        <f t="shared" si="12"/>
        <v>0</v>
      </c>
      <c r="M38" s="29">
        <f t="shared" si="12"/>
        <v>0</v>
      </c>
      <c r="N38" s="29">
        <f t="shared" si="12"/>
        <v>0</v>
      </c>
      <c r="O38" s="29">
        <f t="shared" si="12"/>
        <v>0</v>
      </c>
      <c r="P38" s="29">
        <f t="shared" si="12"/>
        <v>0</v>
      </c>
      <c r="Q38" s="29">
        <f t="shared" si="12"/>
        <v>565</v>
      </c>
      <c r="R38" s="30">
        <f>Q38/D38</f>
        <v>7.5635876840696115E-2</v>
      </c>
      <c r="W38" s="215" t="s">
        <v>283</v>
      </c>
      <c r="X38" s="216"/>
      <c r="Y38" s="29">
        <f t="shared" ref="Y38:AK38" si="13">SUM(Y23:Y36)</f>
        <v>16</v>
      </c>
      <c r="Z38" s="29">
        <f t="shared" si="13"/>
        <v>20</v>
      </c>
      <c r="AA38" s="29">
        <f t="shared" si="13"/>
        <v>33</v>
      </c>
      <c r="AB38" s="29">
        <f t="shared" si="13"/>
        <v>44</v>
      </c>
      <c r="AC38" s="29">
        <f t="shared" si="13"/>
        <v>40</v>
      </c>
      <c r="AD38" s="29">
        <f t="shared" si="13"/>
        <v>10</v>
      </c>
      <c r="AE38" s="29">
        <f t="shared" si="13"/>
        <v>0</v>
      </c>
      <c r="AF38" s="29">
        <f t="shared" si="13"/>
        <v>0</v>
      </c>
      <c r="AG38" s="29">
        <f t="shared" si="13"/>
        <v>0</v>
      </c>
      <c r="AH38" s="29">
        <f t="shared" si="13"/>
        <v>0</v>
      </c>
      <c r="AI38" s="29">
        <f t="shared" si="13"/>
        <v>0</v>
      </c>
      <c r="AJ38" s="29">
        <f t="shared" si="13"/>
        <v>0</v>
      </c>
      <c r="AK38" s="29">
        <f t="shared" si="13"/>
        <v>62</v>
      </c>
    </row>
    <row r="40" spans="2:37" x14ac:dyDescent="0.3">
      <c r="B40" s="265" t="s">
        <v>321</v>
      </c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W40" s="265" t="s">
        <v>440</v>
      </c>
      <c r="X40" s="266"/>
      <c r="Y40" s="266"/>
      <c r="Z40" s="266"/>
      <c r="AA40" s="266"/>
      <c r="AB40" s="266"/>
      <c r="AC40" s="266"/>
      <c r="AD40" s="266"/>
      <c r="AE40" s="266"/>
      <c r="AF40" s="266"/>
      <c r="AG40" s="266"/>
      <c r="AH40" s="266"/>
      <c r="AI40" s="266"/>
      <c r="AJ40" s="266"/>
      <c r="AK40" s="266"/>
    </row>
    <row r="41" spans="2:37" s="17" customFormat="1" ht="28.8" x14ac:dyDescent="0.3">
      <c r="B41" s="16" t="s">
        <v>279</v>
      </c>
      <c r="C41" s="16" t="s">
        <v>264</v>
      </c>
      <c r="D41" s="16" t="s">
        <v>280</v>
      </c>
      <c r="E41" s="3">
        <v>46113</v>
      </c>
      <c r="F41" s="3">
        <v>46143</v>
      </c>
      <c r="G41" s="3">
        <v>46174</v>
      </c>
      <c r="H41" s="3">
        <v>46204</v>
      </c>
      <c r="I41" s="3">
        <v>46235</v>
      </c>
      <c r="J41" s="3">
        <v>46266</v>
      </c>
      <c r="K41" s="3">
        <v>46296</v>
      </c>
      <c r="L41" s="3">
        <v>46327</v>
      </c>
      <c r="M41" s="3">
        <v>46357</v>
      </c>
      <c r="N41" s="3">
        <v>46388</v>
      </c>
      <c r="O41" s="3">
        <v>46419</v>
      </c>
      <c r="P41" s="3">
        <v>46447</v>
      </c>
      <c r="Q41" s="16" t="s">
        <v>285</v>
      </c>
      <c r="R41" s="16" t="s">
        <v>282</v>
      </c>
      <c r="W41" s="16" t="s">
        <v>279</v>
      </c>
      <c r="X41" s="16" t="s">
        <v>264</v>
      </c>
      <c r="Y41" s="3">
        <v>46113</v>
      </c>
      <c r="Z41" s="3">
        <v>46143</v>
      </c>
      <c r="AA41" s="3">
        <v>46174</v>
      </c>
      <c r="AB41" s="3">
        <v>46204</v>
      </c>
      <c r="AC41" s="3">
        <v>46235</v>
      </c>
      <c r="AD41" s="3">
        <v>46266</v>
      </c>
      <c r="AE41" s="3">
        <v>46296</v>
      </c>
      <c r="AF41" s="3">
        <v>46327</v>
      </c>
      <c r="AG41" s="3">
        <v>46357</v>
      </c>
      <c r="AH41" s="3">
        <v>46388</v>
      </c>
      <c r="AI41" s="3">
        <v>46419</v>
      </c>
      <c r="AJ41" s="3">
        <v>46447</v>
      </c>
      <c r="AK41" s="16" t="s">
        <v>443</v>
      </c>
    </row>
    <row r="42" spans="2:37" x14ac:dyDescent="0.3">
      <c r="B42" s="18">
        <f t="shared" ref="B42:B55" si="14">ROW()-ROW($B$41)</f>
        <v>1</v>
      </c>
      <c r="C42" s="19" t="s">
        <v>102</v>
      </c>
      <c r="D42" s="20">
        <f>VLOOKUP(C42,'JJBY Pivot'!$A:$O,2,0)</f>
        <v>216</v>
      </c>
      <c r="E42" s="21">
        <f>VLOOKUP(C42,'JJBY Pivot'!$A:$O,3,0)</f>
        <v>16</v>
      </c>
      <c r="F42" s="21">
        <f>VLOOKUP(C42,'JJBY Pivot'!$A:$O,4,0)</f>
        <v>53</v>
      </c>
      <c r="G42" s="21">
        <f>VLOOKUP(C42,'JJBY Pivot'!$A:$O,5,0)</f>
        <v>13</v>
      </c>
      <c r="H42" s="21">
        <f>VLOOKUP(C42,'JJBY Pivot'!$A:$O,6,0)</f>
        <v>11</v>
      </c>
      <c r="I42" s="21">
        <f>VLOOKUP(C42,'JJBY Pivot'!$A:$O,7,0)</f>
        <v>11</v>
      </c>
      <c r="J42" s="21">
        <f>VLOOKUP(C42,'JJBY Pivot'!$A:$O,8,0)</f>
        <v>2</v>
      </c>
      <c r="K42" s="21">
        <f>VLOOKUP(C42,'JJBY Pivot'!$A:$O,9,0)</f>
        <v>0</v>
      </c>
      <c r="L42" s="21">
        <f>VLOOKUP(C42,'JJBY Pivot'!$A:$O,10,0)</f>
        <v>0</v>
      </c>
      <c r="M42" s="21">
        <f>VLOOKUP(C42,'JJBY Pivot'!$A:$O,11,0)</f>
        <v>0</v>
      </c>
      <c r="N42" s="21">
        <f>VLOOKUP(C42,'JJBY Pivot'!$A:$O,12,0)</f>
        <v>0</v>
      </c>
      <c r="O42" s="21">
        <f>VLOOKUP(C42,'JJBY Pivot'!$A:$O,13,0)</f>
        <v>0</v>
      </c>
      <c r="P42" s="21">
        <f>VLOOKUP(C42,'JJBY Pivot'!$A:$O,14,0)</f>
        <v>0</v>
      </c>
      <c r="Q42" s="22">
        <f t="shared" ref="Q42:Q55" si="15">SUM(E42:P42)</f>
        <v>106</v>
      </c>
      <c r="R42" s="23">
        <f t="shared" ref="R42:R55" si="16">Q42/D42</f>
        <v>0.49074074074074076</v>
      </c>
      <c r="T42" s="24"/>
      <c r="U42" s="25"/>
      <c r="V42" s="25"/>
      <c r="W42" s="18">
        <f t="shared" ref="W42:W55" si="17">ROW()-ROW($B$41)</f>
        <v>1</v>
      </c>
      <c r="X42" s="19" t="str">
        <f>C42</f>
        <v>Rajendra Kumar Bapari</v>
      </c>
      <c r="Y42" s="21">
        <f>VLOOKUP(X42,'JJBY Pivot'!$Q:$AD,2,0)</f>
        <v>3</v>
      </c>
      <c r="Z42" s="21">
        <f>VLOOKUP(X42,'JJBY Pivot'!$Q:$AD,3,0)</f>
        <v>3</v>
      </c>
      <c r="AA42" s="21">
        <f>VLOOKUP(X42,'JJBY Pivot'!$Q:$AD,4,0)</f>
        <v>3</v>
      </c>
      <c r="AB42" s="21">
        <f>VLOOKUP(X42,'JJBY Pivot'!$Q:$AD,5,0)</f>
        <v>3</v>
      </c>
      <c r="AC42" s="21">
        <f>VLOOKUP(X42,'JJBY Pivot'!$Q:$AD,6,0)</f>
        <v>3</v>
      </c>
      <c r="AD42" s="21">
        <f>VLOOKUP(X42,'JJBY Pivot'!$Q:$AD,7,0)</f>
        <v>2</v>
      </c>
      <c r="AE42" s="21">
        <f>VLOOKUP(X42,'JJBY Pivot'!$Q:$AD,8,0)</f>
        <v>0</v>
      </c>
      <c r="AF42" s="21">
        <f>VLOOKUP(X42,'JJBY Pivot'!$Q:$AD,9,0)</f>
        <v>0</v>
      </c>
      <c r="AG42" s="21">
        <f>VLOOKUP(X42,'JJBY Pivot'!$Q:$AD,10,0)</f>
        <v>0</v>
      </c>
      <c r="AH42" s="21">
        <f>VLOOKUP(X42,'JJBY Pivot'!$Q:$AD,11,0)</f>
        <v>0</v>
      </c>
      <c r="AI42" s="21">
        <f>VLOOKUP(X42,'JJBY Pivot'!$Q:$AD,12,0)</f>
        <v>0</v>
      </c>
      <c r="AJ42" s="21">
        <f>VLOOKUP(X42,'JJBY Pivot'!$Q:$AD,13,0)</f>
        <v>0</v>
      </c>
      <c r="AK42" s="22">
        <f>VLOOKUP(X42,'JJBY Pivot'!$Q:$AD,14,0)</f>
        <v>3</v>
      </c>
    </row>
    <row r="43" spans="2:37" x14ac:dyDescent="0.3">
      <c r="B43" s="18">
        <f t="shared" si="14"/>
        <v>2</v>
      </c>
      <c r="C43" s="19" t="s">
        <v>457</v>
      </c>
      <c r="D43" s="20">
        <f>VLOOKUP(C43,'JJBY Pivot'!$A:$O,2,0)</f>
        <v>1368</v>
      </c>
      <c r="E43" s="21">
        <f>VLOOKUP(C43,'JJBY Pivot'!$A:$O,3,0)</f>
        <v>65</v>
      </c>
      <c r="F43" s="21">
        <f>VLOOKUP(C43,'JJBY Pivot'!$A:$O,4,0)</f>
        <v>118</v>
      </c>
      <c r="G43" s="21">
        <f>VLOOKUP(C43,'JJBY Pivot'!$A:$O,5,0)</f>
        <v>84</v>
      </c>
      <c r="H43" s="21">
        <f>VLOOKUP(C43,'JJBY Pivot'!$A:$O,6,0)</f>
        <v>101</v>
      </c>
      <c r="I43" s="21">
        <f>VLOOKUP(C43,'JJBY Pivot'!$A:$O,7,0)</f>
        <v>141</v>
      </c>
      <c r="J43" s="21">
        <f>VLOOKUP(C43,'JJBY Pivot'!$A:$O,8,0)</f>
        <v>29</v>
      </c>
      <c r="K43" s="21">
        <f>VLOOKUP(C43,'JJBY Pivot'!$A:$O,9,0)</f>
        <v>0</v>
      </c>
      <c r="L43" s="21">
        <f>VLOOKUP(C43,'JJBY Pivot'!$A:$O,10,0)</f>
        <v>0</v>
      </c>
      <c r="M43" s="21">
        <f>VLOOKUP(C43,'JJBY Pivot'!$A:$O,11,0)</f>
        <v>0</v>
      </c>
      <c r="N43" s="21">
        <f>VLOOKUP(C43,'JJBY Pivot'!$A:$O,12,0)</f>
        <v>0</v>
      </c>
      <c r="O43" s="21">
        <f>VLOOKUP(C43,'JJBY Pivot'!$A:$O,13,0)</f>
        <v>0</v>
      </c>
      <c r="P43" s="21">
        <f>VLOOKUP(C43,'JJBY Pivot'!$A:$O,14,0)</f>
        <v>0</v>
      </c>
      <c r="Q43" s="22">
        <f t="shared" si="15"/>
        <v>538</v>
      </c>
      <c r="R43" s="23">
        <f t="shared" si="16"/>
        <v>0.39327485380116961</v>
      </c>
      <c r="T43" s="24"/>
      <c r="U43" s="25"/>
      <c r="V43" s="25"/>
      <c r="W43" s="18">
        <f t="shared" si="17"/>
        <v>2</v>
      </c>
      <c r="X43" s="19" t="str">
        <f t="shared" ref="X43:X55" si="18">C43</f>
        <v>Under Office (W Medinipur)</v>
      </c>
      <c r="Y43" s="21">
        <f>VLOOKUP(X43,'JJBY Pivot'!$Q:$AD,2,0)</f>
        <v>11</v>
      </c>
      <c r="Z43" s="21">
        <f>VLOOKUP(X43,'JJBY Pivot'!$Q:$AD,3,0)</f>
        <v>14</v>
      </c>
      <c r="AA43" s="21">
        <f>VLOOKUP(X43,'JJBY Pivot'!$Q:$AD,4,0)</f>
        <v>13</v>
      </c>
      <c r="AB43" s="21">
        <f>VLOOKUP(X43,'JJBY Pivot'!$Q:$AD,5,0)</f>
        <v>12</v>
      </c>
      <c r="AC43" s="21">
        <f>VLOOKUP(X43,'JJBY Pivot'!$Q:$AD,6,0)</f>
        <v>10</v>
      </c>
      <c r="AD43" s="21">
        <f>VLOOKUP(X43,'JJBY Pivot'!$Q:$AD,7,0)</f>
        <v>6</v>
      </c>
      <c r="AE43" s="21">
        <f>VLOOKUP(X43,'JJBY Pivot'!$Q:$AD,8,0)</f>
        <v>0</v>
      </c>
      <c r="AF43" s="21">
        <f>VLOOKUP(X43,'JJBY Pivot'!$Q:$AD,9,0)</f>
        <v>0</v>
      </c>
      <c r="AG43" s="21">
        <f>VLOOKUP(X43,'JJBY Pivot'!$Q:$AD,10,0)</f>
        <v>0</v>
      </c>
      <c r="AH43" s="21">
        <f>VLOOKUP(X43,'JJBY Pivot'!$Q:$AD,11,0)</f>
        <v>0</v>
      </c>
      <c r="AI43" s="21">
        <f>VLOOKUP(X43,'JJBY Pivot'!$Q:$AD,12,0)</f>
        <v>0</v>
      </c>
      <c r="AJ43" s="21">
        <f>VLOOKUP(X43,'JJBY Pivot'!$Q:$AD,13,0)</f>
        <v>0</v>
      </c>
      <c r="AK43" s="22">
        <f>VLOOKUP(X43,'JJBY Pivot'!$Q:$AD,14,0)</f>
        <v>16</v>
      </c>
    </row>
    <row r="44" spans="2:37" x14ac:dyDescent="0.3">
      <c r="B44" s="18">
        <f t="shared" si="14"/>
        <v>3</v>
      </c>
      <c r="C44" s="19" t="s">
        <v>96</v>
      </c>
      <c r="D44" s="20">
        <f>VLOOKUP(C44,'JJBY Pivot'!$A:$O,2,0)</f>
        <v>888</v>
      </c>
      <c r="E44" s="21">
        <f>VLOOKUP(C44,'JJBY Pivot'!$A:$O,3,0)</f>
        <v>47</v>
      </c>
      <c r="F44" s="21">
        <f>VLOOKUP(C44,'JJBY Pivot'!$A:$O,4,0)</f>
        <v>115</v>
      </c>
      <c r="G44" s="21">
        <f>VLOOKUP(C44,'JJBY Pivot'!$A:$O,5,0)</f>
        <v>17</v>
      </c>
      <c r="H44" s="21">
        <f>VLOOKUP(C44,'JJBY Pivot'!$A:$O,6,0)</f>
        <v>51</v>
      </c>
      <c r="I44" s="21">
        <f>VLOOKUP(C44,'JJBY Pivot'!$A:$O,7,0)</f>
        <v>14</v>
      </c>
      <c r="J44" s="21">
        <f>VLOOKUP(C44,'JJBY Pivot'!$A:$O,8,0)</f>
        <v>3</v>
      </c>
      <c r="K44" s="21">
        <f>VLOOKUP(C44,'JJBY Pivot'!$A:$O,9,0)</f>
        <v>0</v>
      </c>
      <c r="L44" s="21">
        <f>VLOOKUP(C44,'JJBY Pivot'!$A:$O,10,0)</f>
        <v>0</v>
      </c>
      <c r="M44" s="21">
        <f>VLOOKUP(C44,'JJBY Pivot'!$A:$O,11,0)</f>
        <v>0</v>
      </c>
      <c r="N44" s="21">
        <f>VLOOKUP(C44,'JJBY Pivot'!$A:$O,12,0)</f>
        <v>0</v>
      </c>
      <c r="O44" s="21">
        <f>VLOOKUP(C44,'JJBY Pivot'!$A:$O,13,0)</f>
        <v>0</v>
      </c>
      <c r="P44" s="21">
        <f>VLOOKUP(C44,'JJBY Pivot'!$A:$O,14,0)</f>
        <v>0</v>
      </c>
      <c r="Q44" s="22">
        <f t="shared" si="15"/>
        <v>247</v>
      </c>
      <c r="R44" s="23">
        <f t="shared" si="16"/>
        <v>0.27815315315315314</v>
      </c>
      <c r="W44" s="18">
        <f t="shared" si="17"/>
        <v>3</v>
      </c>
      <c r="X44" s="19" t="str">
        <f t="shared" si="18"/>
        <v>Sunil Biswas</v>
      </c>
      <c r="Y44" s="21">
        <f>VLOOKUP(X44,'JJBY Pivot'!$Q:$AD,2,0)</f>
        <v>4</v>
      </c>
      <c r="Z44" s="21">
        <f>VLOOKUP(X44,'JJBY Pivot'!$Q:$AD,3,0)</f>
        <v>6</v>
      </c>
      <c r="AA44" s="21">
        <f>VLOOKUP(X44,'JJBY Pivot'!$Q:$AD,4,0)</f>
        <v>4</v>
      </c>
      <c r="AB44" s="21">
        <f>VLOOKUP(X44,'JJBY Pivot'!$Q:$AD,5,0)</f>
        <v>4</v>
      </c>
      <c r="AC44" s="21">
        <f>VLOOKUP(X44,'JJBY Pivot'!$Q:$AD,6,0)</f>
        <v>3</v>
      </c>
      <c r="AD44" s="21">
        <f>VLOOKUP(X44,'JJBY Pivot'!$Q:$AD,7,0)</f>
        <v>3</v>
      </c>
      <c r="AE44" s="21">
        <f>VLOOKUP(X44,'JJBY Pivot'!$Q:$AD,8,0)</f>
        <v>0</v>
      </c>
      <c r="AF44" s="21">
        <f>VLOOKUP(X44,'JJBY Pivot'!$Q:$AD,9,0)</f>
        <v>0</v>
      </c>
      <c r="AG44" s="21">
        <f>VLOOKUP(X44,'JJBY Pivot'!$Q:$AD,10,0)</f>
        <v>0</v>
      </c>
      <c r="AH44" s="21">
        <f>VLOOKUP(X44,'JJBY Pivot'!$Q:$AD,11,0)</f>
        <v>0</v>
      </c>
      <c r="AI44" s="21">
        <f>VLOOKUP(X44,'JJBY Pivot'!$Q:$AD,12,0)</f>
        <v>0</v>
      </c>
      <c r="AJ44" s="21">
        <f>VLOOKUP(X44,'JJBY Pivot'!$Q:$AD,13,0)</f>
        <v>0</v>
      </c>
      <c r="AK44" s="22">
        <f>VLOOKUP(X44,'JJBY Pivot'!$Q:$AD,14,0)</f>
        <v>7</v>
      </c>
    </row>
    <row r="45" spans="2:37" x14ac:dyDescent="0.3">
      <c r="B45" s="18">
        <f t="shared" si="14"/>
        <v>4</v>
      </c>
      <c r="C45" s="19" t="s">
        <v>455</v>
      </c>
      <c r="D45" s="20">
        <f>VLOOKUP(C45,'JJBY Pivot'!$A:$O,2,0)</f>
        <v>1104</v>
      </c>
      <c r="E45" s="21">
        <f>VLOOKUP(C45,'JJBY Pivot'!$A:$O,3,0)</f>
        <v>34</v>
      </c>
      <c r="F45" s="21">
        <f>VLOOKUP(C45,'JJBY Pivot'!$A:$O,4,0)</f>
        <v>82</v>
      </c>
      <c r="G45" s="21">
        <f>VLOOKUP(C45,'JJBY Pivot'!$A:$O,5,0)</f>
        <v>62</v>
      </c>
      <c r="H45" s="21">
        <f>VLOOKUP(C45,'JJBY Pivot'!$A:$O,6,0)</f>
        <v>41</v>
      </c>
      <c r="I45" s="21">
        <f>VLOOKUP(C45,'JJBY Pivot'!$A:$O,7,0)</f>
        <v>26</v>
      </c>
      <c r="J45" s="21">
        <f>VLOOKUP(C45,'JJBY Pivot'!$A:$O,8,0)</f>
        <v>7</v>
      </c>
      <c r="K45" s="21">
        <f>VLOOKUP(C45,'JJBY Pivot'!$A:$O,9,0)</f>
        <v>0</v>
      </c>
      <c r="L45" s="21">
        <f>VLOOKUP(C45,'JJBY Pivot'!$A:$O,10,0)</f>
        <v>0</v>
      </c>
      <c r="M45" s="21">
        <f>VLOOKUP(C45,'JJBY Pivot'!$A:$O,11,0)</f>
        <v>0</v>
      </c>
      <c r="N45" s="21">
        <f>VLOOKUP(C45,'JJBY Pivot'!$A:$O,12,0)</f>
        <v>0</v>
      </c>
      <c r="O45" s="21">
        <f>VLOOKUP(C45,'JJBY Pivot'!$A:$O,13,0)</f>
        <v>0</v>
      </c>
      <c r="P45" s="21">
        <f>VLOOKUP(C45,'JJBY Pivot'!$A:$O,14,0)</f>
        <v>0</v>
      </c>
      <c r="Q45" s="22">
        <f t="shared" si="15"/>
        <v>252</v>
      </c>
      <c r="R45" s="23">
        <f t="shared" si="16"/>
        <v>0.22826086956521738</v>
      </c>
      <c r="T45" s="26"/>
      <c r="U45" s="27"/>
      <c r="W45" s="18">
        <f t="shared" si="17"/>
        <v>4</v>
      </c>
      <c r="X45" s="19" t="str">
        <f t="shared" si="18"/>
        <v>Souvik Maity</v>
      </c>
      <c r="Y45" s="21">
        <f>VLOOKUP(X45,'JJBY Pivot'!$Q:$AD,2,0)</f>
        <v>7</v>
      </c>
      <c r="Z45" s="21">
        <f>VLOOKUP(X45,'JJBY Pivot'!$Q:$AD,3,0)</f>
        <v>9</v>
      </c>
      <c r="AA45" s="21">
        <f>VLOOKUP(X45,'JJBY Pivot'!$Q:$AD,4,0)</f>
        <v>9</v>
      </c>
      <c r="AB45" s="21">
        <f>VLOOKUP(X45,'JJBY Pivot'!$Q:$AD,5,0)</f>
        <v>8</v>
      </c>
      <c r="AC45" s="21">
        <f>VLOOKUP(X45,'JJBY Pivot'!$Q:$AD,6,0)</f>
        <v>6</v>
      </c>
      <c r="AD45" s="21">
        <f>VLOOKUP(X45,'JJBY Pivot'!$Q:$AD,7,0)</f>
        <v>4</v>
      </c>
      <c r="AE45" s="21">
        <f>VLOOKUP(X45,'JJBY Pivot'!$Q:$AD,8,0)</f>
        <v>0</v>
      </c>
      <c r="AF45" s="21">
        <f>VLOOKUP(X45,'JJBY Pivot'!$Q:$AD,9,0)</f>
        <v>0</v>
      </c>
      <c r="AG45" s="21">
        <f>VLOOKUP(X45,'JJBY Pivot'!$Q:$AD,10,0)</f>
        <v>0</v>
      </c>
      <c r="AH45" s="21">
        <f>VLOOKUP(X45,'JJBY Pivot'!$Q:$AD,11,0)</f>
        <v>0</v>
      </c>
      <c r="AI45" s="21">
        <f>VLOOKUP(X45,'JJBY Pivot'!$Q:$AD,12,0)</f>
        <v>0</v>
      </c>
      <c r="AJ45" s="21">
        <f>VLOOKUP(X45,'JJBY Pivot'!$Q:$AD,13,0)</f>
        <v>0</v>
      </c>
      <c r="AK45" s="22">
        <f>VLOOKUP(X45,'JJBY Pivot'!$Q:$AD,14,0)</f>
        <v>11</v>
      </c>
    </row>
    <row r="46" spans="2:37" x14ac:dyDescent="0.3">
      <c r="B46" s="18">
        <f t="shared" si="14"/>
        <v>5</v>
      </c>
      <c r="C46" s="19" t="s">
        <v>97</v>
      </c>
      <c r="D46" s="20">
        <f>VLOOKUP(C46,'JJBY Pivot'!$A:$O,2,0)</f>
        <v>336</v>
      </c>
      <c r="E46" s="21">
        <f>VLOOKUP(C46,'JJBY Pivot'!$A:$O,3,0)</f>
        <v>9</v>
      </c>
      <c r="F46" s="21">
        <f>VLOOKUP(C46,'JJBY Pivot'!$A:$O,4,0)</f>
        <v>18</v>
      </c>
      <c r="G46" s="21">
        <f>VLOOKUP(C46,'JJBY Pivot'!$A:$O,5,0)</f>
        <v>10</v>
      </c>
      <c r="H46" s="21">
        <f>VLOOKUP(C46,'JJBY Pivot'!$A:$O,6,0)</f>
        <v>5</v>
      </c>
      <c r="I46" s="21">
        <f>VLOOKUP(C46,'JJBY Pivot'!$A:$O,7,0)</f>
        <v>12</v>
      </c>
      <c r="J46" s="21">
        <f>VLOOKUP(C46,'JJBY Pivot'!$A:$O,8,0)</f>
        <v>1</v>
      </c>
      <c r="K46" s="21">
        <f>VLOOKUP(C46,'JJBY Pivot'!$A:$O,9,0)</f>
        <v>0</v>
      </c>
      <c r="L46" s="21">
        <f>VLOOKUP(C46,'JJBY Pivot'!$A:$O,10,0)</f>
        <v>0</v>
      </c>
      <c r="M46" s="21">
        <f>VLOOKUP(C46,'JJBY Pivot'!$A:$O,11,0)</f>
        <v>0</v>
      </c>
      <c r="N46" s="21">
        <f>VLOOKUP(C46,'JJBY Pivot'!$A:$O,12,0)</f>
        <v>0</v>
      </c>
      <c r="O46" s="21">
        <f>VLOOKUP(C46,'JJBY Pivot'!$A:$O,13,0)</f>
        <v>0</v>
      </c>
      <c r="P46" s="21">
        <f>VLOOKUP(C46,'JJBY Pivot'!$A:$O,14,0)</f>
        <v>0</v>
      </c>
      <c r="Q46" s="22">
        <f t="shared" si="15"/>
        <v>55</v>
      </c>
      <c r="R46" s="23">
        <f t="shared" si="16"/>
        <v>0.16369047619047619</v>
      </c>
      <c r="T46" s="26"/>
      <c r="U46" s="27"/>
      <c r="W46" s="18">
        <f t="shared" si="17"/>
        <v>5</v>
      </c>
      <c r="X46" s="19" t="str">
        <f t="shared" si="18"/>
        <v>Chandi Charan Mahato</v>
      </c>
      <c r="Y46" s="21">
        <f>VLOOKUP(X46,'JJBY Pivot'!$Q:$AD,2,0)</f>
        <v>3</v>
      </c>
      <c r="Z46" s="21">
        <f>VLOOKUP(X46,'JJBY Pivot'!$Q:$AD,3,0)</f>
        <v>4</v>
      </c>
      <c r="AA46" s="21">
        <f>VLOOKUP(X46,'JJBY Pivot'!$Q:$AD,4,0)</f>
        <v>3</v>
      </c>
      <c r="AB46" s="21">
        <f>VLOOKUP(X46,'JJBY Pivot'!$Q:$AD,5,0)</f>
        <v>2</v>
      </c>
      <c r="AC46" s="21">
        <f>VLOOKUP(X46,'JJBY Pivot'!$Q:$AD,6,0)</f>
        <v>4</v>
      </c>
      <c r="AD46" s="21">
        <f>VLOOKUP(X46,'JJBY Pivot'!$Q:$AD,7,0)</f>
        <v>1</v>
      </c>
      <c r="AE46" s="21">
        <f>VLOOKUP(X46,'JJBY Pivot'!$Q:$AD,8,0)</f>
        <v>0</v>
      </c>
      <c r="AF46" s="21">
        <f>VLOOKUP(X46,'JJBY Pivot'!$Q:$AD,9,0)</f>
        <v>0</v>
      </c>
      <c r="AG46" s="21">
        <f>VLOOKUP(X46,'JJBY Pivot'!$Q:$AD,10,0)</f>
        <v>0</v>
      </c>
      <c r="AH46" s="21">
        <f>VLOOKUP(X46,'JJBY Pivot'!$Q:$AD,11,0)</f>
        <v>0</v>
      </c>
      <c r="AI46" s="21">
        <f>VLOOKUP(X46,'JJBY Pivot'!$Q:$AD,12,0)</f>
        <v>0</v>
      </c>
      <c r="AJ46" s="21">
        <f>VLOOKUP(X46,'JJBY Pivot'!$Q:$AD,13,0)</f>
        <v>0</v>
      </c>
      <c r="AK46" s="22">
        <f>VLOOKUP(X46,'JJBY Pivot'!$Q:$AD,14,0)</f>
        <v>4</v>
      </c>
    </row>
    <row r="47" spans="2:37" x14ac:dyDescent="0.3">
      <c r="B47" s="18">
        <f t="shared" si="14"/>
        <v>6</v>
      </c>
      <c r="C47" s="19" t="s">
        <v>103</v>
      </c>
      <c r="D47" s="20">
        <f>VLOOKUP(C47,'JJBY Pivot'!$A:$O,2,0)</f>
        <v>72</v>
      </c>
      <c r="E47" s="21">
        <f>VLOOKUP(C47,'JJBY Pivot'!$A:$O,3,0)</f>
        <v>2</v>
      </c>
      <c r="F47" s="21">
        <f>VLOOKUP(C47,'JJBY Pivot'!$A:$O,4,0)</f>
        <v>3</v>
      </c>
      <c r="G47" s="21">
        <f>VLOOKUP(C47,'JJBY Pivot'!$A:$O,5,0)</f>
        <v>2</v>
      </c>
      <c r="H47" s="21">
        <f>VLOOKUP(C47,'JJBY Pivot'!$A:$O,6,0)</f>
        <v>3</v>
      </c>
      <c r="I47" s="21">
        <f>VLOOKUP(C47,'JJBY Pivot'!$A:$O,7,0)</f>
        <v>1</v>
      </c>
      <c r="J47" s="21">
        <f>VLOOKUP(C47,'JJBY Pivot'!$A:$O,8,0)</f>
        <v>0</v>
      </c>
      <c r="K47" s="21">
        <f>VLOOKUP(C47,'JJBY Pivot'!$A:$O,9,0)</f>
        <v>0</v>
      </c>
      <c r="L47" s="21">
        <f>VLOOKUP(C47,'JJBY Pivot'!$A:$O,10,0)</f>
        <v>0</v>
      </c>
      <c r="M47" s="21">
        <f>VLOOKUP(C47,'JJBY Pivot'!$A:$O,11,0)</f>
        <v>0</v>
      </c>
      <c r="N47" s="21">
        <f>VLOOKUP(C47,'JJBY Pivot'!$A:$O,12,0)</f>
        <v>0</v>
      </c>
      <c r="O47" s="21">
        <f>VLOOKUP(C47,'JJBY Pivot'!$A:$O,13,0)</f>
        <v>0</v>
      </c>
      <c r="P47" s="21">
        <f>VLOOKUP(C47,'JJBY Pivot'!$A:$O,14,0)</f>
        <v>0</v>
      </c>
      <c r="Q47" s="22">
        <f t="shared" si="15"/>
        <v>11</v>
      </c>
      <c r="R47" s="23">
        <f t="shared" si="16"/>
        <v>0.15277777777777779</v>
      </c>
      <c r="T47" s="26"/>
      <c r="U47" s="27"/>
      <c r="W47" s="18">
        <f t="shared" si="17"/>
        <v>6</v>
      </c>
      <c r="X47" s="19" t="str">
        <f t="shared" si="18"/>
        <v>Sanjoy Paul</v>
      </c>
      <c r="Y47" s="21">
        <f>VLOOKUP(X47,'JJBY Pivot'!$Q:$AD,2,0)</f>
        <v>1</v>
      </c>
      <c r="Z47" s="21">
        <f>VLOOKUP(X47,'JJBY Pivot'!$Q:$AD,3,0)</f>
        <v>1</v>
      </c>
      <c r="AA47" s="21">
        <f>VLOOKUP(X47,'JJBY Pivot'!$Q:$AD,4,0)</f>
        <v>1</v>
      </c>
      <c r="AB47" s="21">
        <f>VLOOKUP(X47,'JJBY Pivot'!$Q:$AD,5,0)</f>
        <v>1</v>
      </c>
      <c r="AC47" s="21">
        <f>VLOOKUP(X47,'JJBY Pivot'!$Q:$AD,6,0)</f>
        <v>1</v>
      </c>
      <c r="AD47" s="21">
        <f>VLOOKUP(X47,'JJBY Pivot'!$Q:$AD,7,0)</f>
        <v>0</v>
      </c>
      <c r="AE47" s="21">
        <f>VLOOKUP(X47,'JJBY Pivot'!$Q:$AD,8,0)</f>
        <v>0</v>
      </c>
      <c r="AF47" s="21">
        <f>VLOOKUP(X47,'JJBY Pivot'!$Q:$AD,9,0)</f>
        <v>0</v>
      </c>
      <c r="AG47" s="21">
        <f>VLOOKUP(X47,'JJBY Pivot'!$Q:$AD,10,0)</f>
        <v>0</v>
      </c>
      <c r="AH47" s="21">
        <f>VLOOKUP(X47,'JJBY Pivot'!$Q:$AD,11,0)</f>
        <v>0</v>
      </c>
      <c r="AI47" s="21">
        <f>VLOOKUP(X47,'JJBY Pivot'!$Q:$AD,12,0)</f>
        <v>0</v>
      </c>
      <c r="AJ47" s="21">
        <f>VLOOKUP(X47,'JJBY Pivot'!$Q:$AD,13,0)</f>
        <v>0</v>
      </c>
      <c r="AK47" s="22">
        <f>VLOOKUP(X47,'JJBY Pivot'!$Q:$AD,14,0)</f>
        <v>1</v>
      </c>
    </row>
    <row r="48" spans="2:37" x14ac:dyDescent="0.3">
      <c r="B48" s="18">
        <f t="shared" si="14"/>
        <v>7</v>
      </c>
      <c r="C48" s="19" t="s">
        <v>93</v>
      </c>
      <c r="D48" s="20">
        <f>VLOOKUP(C48,'JJBY Pivot'!$A:$O,2,0)</f>
        <v>384</v>
      </c>
      <c r="E48" s="21">
        <f>VLOOKUP(C48,'JJBY Pivot'!$A:$O,3,0)</f>
        <v>15</v>
      </c>
      <c r="F48" s="21">
        <f>VLOOKUP(C48,'JJBY Pivot'!$A:$O,4,0)</f>
        <v>16</v>
      </c>
      <c r="G48" s="21">
        <f>VLOOKUP(C48,'JJBY Pivot'!$A:$O,5,0)</f>
        <v>7</v>
      </c>
      <c r="H48" s="21">
        <f>VLOOKUP(C48,'JJBY Pivot'!$A:$O,6,0)</f>
        <v>5</v>
      </c>
      <c r="I48" s="21">
        <f>VLOOKUP(C48,'JJBY Pivot'!$A:$O,7,0)</f>
        <v>6</v>
      </c>
      <c r="J48" s="21">
        <f>VLOOKUP(C48,'JJBY Pivot'!$A:$O,8,0)</f>
        <v>1</v>
      </c>
      <c r="K48" s="21">
        <f>VLOOKUP(C48,'JJBY Pivot'!$A:$O,9,0)</f>
        <v>0</v>
      </c>
      <c r="L48" s="21">
        <f>VLOOKUP(C48,'JJBY Pivot'!$A:$O,10,0)</f>
        <v>0</v>
      </c>
      <c r="M48" s="21">
        <f>VLOOKUP(C48,'JJBY Pivot'!$A:$O,11,0)</f>
        <v>0</v>
      </c>
      <c r="N48" s="21">
        <f>VLOOKUP(C48,'JJBY Pivot'!$A:$O,12,0)</f>
        <v>0</v>
      </c>
      <c r="O48" s="21">
        <f>VLOOKUP(C48,'JJBY Pivot'!$A:$O,13,0)</f>
        <v>0</v>
      </c>
      <c r="P48" s="21">
        <f>VLOOKUP(C48,'JJBY Pivot'!$A:$O,14,0)</f>
        <v>0</v>
      </c>
      <c r="Q48" s="22">
        <f t="shared" si="15"/>
        <v>50</v>
      </c>
      <c r="R48" s="23">
        <f t="shared" si="16"/>
        <v>0.13020833333333334</v>
      </c>
      <c r="W48" s="18">
        <f t="shared" si="17"/>
        <v>7</v>
      </c>
      <c r="X48" s="19" t="str">
        <f t="shared" si="18"/>
        <v>Manindra Nath Barman</v>
      </c>
      <c r="Y48" s="21">
        <f>VLOOKUP(X48,'JJBY Pivot'!$Q:$AD,2,0)</f>
        <v>3</v>
      </c>
      <c r="Z48" s="21">
        <f>VLOOKUP(X48,'JJBY Pivot'!$Q:$AD,3,0)</f>
        <v>2</v>
      </c>
      <c r="AA48" s="21">
        <f>VLOOKUP(X48,'JJBY Pivot'!$Q:$AD,4,0)</f>
        <v>2</v>
      </c>
      <c r="AB48" s="21">
        <f>VLOOKUP(X48,'JJBY Pivot'!$Q:$AD,5,0)</f>
        <v>2</v>
      </c>
      <c r="AC48" s="21">
        <f>VLOOKUP(X48,'JJBY Pivot'!$Q:$AD,6,0)</f>
        <v>2</v>
      </c>
      <c r="AD48" s="21">
        <f>VLOOKUP(X48,'JJBY Pivot'!$Q:$AD,7,0)</f>
        <v>1</v>
      </c>
      <c r="AE48" s="21">
        <f>VLOOKUP(X48,'JJBY Pivot'!$Q:$AD,8,0)</f>
        <v>0</v>
      </c>
      <c r="AF48" s="21">
        <f>VLOOKUP(X48,'JJBY Pivot'!$Q:$AD,9,0)</f>
        <v>0</v>
      </c>
      <c r="AG48" s="21">
        <f>VLOOKUP(X48,'JJBY Pivot'!$Q:$AD,10,0)</f>
        <v>0</v>
      </c>
      <c r="AH48" s="21">
        <f>VLOOKUP(X48,'JJBY Pivot'!$Q:$AD,11,0)</f>
        <v>0</v>
      </c>
      <c r="AI48" s="21">
        <f>VLOOKUP(X48,'JJBY Pivot'!$Q:$AD,12,0)</f>
        <v>0</v>
      </c>
      <c r="AJ48" s="21">
        <f>VLOOKUP(X48,'JJBY Pivot'!$Q:$AD,13,0)</f>
        <v>0</v>
      </c>
      <c r="AK48" s="22">
        <f>VLOOKUP(X48,'JJBY Pivot'!$Q:$AD,14,0)</f>
        <v>4</v>
      </c>
    </row>
    <row r="49" spans="2:37" x14ac:dyDescent="0.3">
      <c r="B49" s="18">
        <f t="shared" si="14"/>
        <v>8</v>
      </c>
      <c r="C49" s="19" t="s">
        <v>100</v>
      </c>
      <c r="D49" s="20">
        <f>VLOOKUP(C49,'JJBY Pivot'!$A:$O,2,0)</f>
        <v>144</v>
      </c>
      <c r="E49" s="21">
        <f>VLOOKUP(C49,'JJBY Pivot'!$A:$O,3,0)</f>
        <v>3</v>
      </c>
      <c r="F49" s="21">
        <f>VLOOKUP(C49,'JJBY Pivot'!$A:$O,4,0)</f>
        <v>4</v>
      </c>
      <c r="G49" s="21">
        <f>VLOOKUP(C49,'JJBY Pivot'!$A:$O,5,0)</f>
        <v>2</v>
      </c>
      <c r="H49" s="21">
        <f>VLOOKUP(C49,'JJBY Pivot'!$A:$O,6,0)</f>
        <v>6</v>
      </c>
      <c r="I49" s="21">
        <f>VLOOKUP(C49,'JJBY Pivot'!$A:$O,7,0)</f>
        <v>2</v>
      </c>
      <c r="J49" s="21">
        <f>VLOOKUP(C49,'JJBY Pivot'!$A:$O,8,0)</f>
        <v>0</v>
      </c>
      <c r="K49" s="21">
        <f>VLOOKUP(C49,'JJBY Pivot'!$A:$O,9,0)</f>
        <v>0</v>
      </c>
      <c r="L49" s="21">
        <f>VLOOKUP(C49,'JJBY Pivot'!$A:$O,10,0)</f>
        <v>0</v>
      </c>
      <c r="M49" s="21">
        <f>VLOOKUP(C49,'JJBY Pivot'!$A:$O,11,0)</f>
        <v>0</v>
      </c>
      <c r="N49" s="21">
        <f>VLOOKUP(C49,'JJBY Pivot'!$A:$O,12,0)</f>
        <v>0</v>
      </c>
      <c r="O49" s="21">
        <f>VLOOKUP(C49,'JJBY Pivot'!$A:$O,13,0)</f>
        <v>0</v>
      </c>
      <c r="P49" s="21">
        <f>VLOOKUP(C49,'JJBY Pivot'!$A:$O,14,0)</f>
        <v>0</v>
      </c>
      <c r="Q49" s="22">
        <f t="shared" si="15"/>
        <v>17</v>
      </c>
      <c r="R49" s="23">
        <f t="shared" si="16"/>
        <v>0.11805555555555555</v>
      </c>
      <c r="W49" s="18">
        <f t="shared" si="17"/>
        <v>8</v>
      </c>
      <c r="X49" s="19" t="str">
        <f t="shared" si="18"/>
        <v>Rajiul Momin</v>
      </c>
      <c r="Y49" s="21">
        <f>VLOOKUP(X49,'JJBY Pivot'!$Q:$AD,2,0)</f>
        <v>1</v>
      </c>
      <c r="Z49" s="21">
        <f>VLOOKUP(X49,'JJBY Pivot'!$Q:$AD,3,0)</f>
        <v>1</v>
      </c>
      <c r="AA49" s="21">
        <f>VLOOKUP(X49,'JJBY Pivot'!$Q:$AD,4,0)</f>
        <v>1</v>
      </c>
      <c r="AB49" s="21">
        <f>VLOOKUP(X49,'JJBY Pivot'!$Q:$AD,5,0)</f>
        <v>2</v>
      </c>
      <c r="AC49" s="21">
        <f>VLOOKUP(X49,'JJBY Pivot'!$Q:$AD,6,0)</f>
        <v>1</v>
      </c>
      <c r="AD49" s="21">
        <f>VLOOKUP(X49,'JJBY Pivot'!$Q:$AD,7,0)</f>
        <v>0</v>
      </c>
      <c r="AE49" s="21">
        <f>VLOOKUP(X49,'JJBY Pivot'!$Q:$AD,8,0)</f>
        <v>0</v>
      </c>
      <c r="AF49" s="21">
        <f>VLOOKUP(X49,'JJBY Pivot'!$Q:$AD,9,0)</f>
        <v>0</v>
      </c>
      <c r="AG49" s="21">
        <f>VLOOKUP(X49,'JJBY Pivot'!$Q:$AD,10,0)</f>
        <v>0</v>
      </c>
      <c r="AH49" s="21">
        <f>VLOOKUP(X49,'JJBY Pivot'!$Q:$AD,11,0)</f>
        <v>0</v>
      </c>
      <c r="AI49" s="21">
        <f>VLOOKUP(X49,'JJBY Pivot'!$Q:$AD,12,0)</f>
        <v>0</v>
      </c>
      <c r="AJ49" s="21">
        <f>VLOOKUP(X49,'JJBY Pivot'!$Q:$AD,13,0)</f>
        <v>0</v>
      </c>
      <c r="AK49" s="22">
        <f>VLOOKUP(X49,'JJBY Pivot'!$Q:$AD,14,0)</f>
        <v>2</v>
      </c>
    </row>
    <row r="50" spans="2:37" x14ac:dyDescent="0.3">
      <c r="B50" s="18">
        <f t="shared" si="14"/>
        <v>9</v>
      </c>
      <c r="C50" s="19" t="s">
        <v>98</v>
      </c>
      <c r="D50" s="20">
        <f>VLOOKUP(C50,'JJBY Pivot'!$A:$O,2,0)</f>
        <v>216</v>
      </c>
      <c r="E50" s="21">
        <f>VLOOKUP(C50,'JJBY Pivot'!$A:$O,3,0)</f>
        <v>13</v>
      </c>
      <c r="F50" s="21">
        <f>VLOOKUP(C50,'JJBY Pivot'!$A:$O,4,0)</f>
        <v>1</v>
      </c>
      <c r="G50" s="21">
        <f>VLOOKUP(C50,'JJBY Pivot'!$A:$O,5,0)</f>
        <v>2</v>
      </c>
      <c r="H50" s="21">
        <f>VLOOKUP(C50,'JJBY Pivot'!$A:$O,6,0)</f>
        <v>2</v>
      </c>
      <c r="I50" s="21">
        <f>VLOOKUP(C50,'JJBY Pivot'!$A:$O,7,0)</f>
        <v>4</v>
      </c>
      <c r="J50" s="21">
        <f>VLOOKUP(C50,'JJBY Pivot'!$A:$O,8,0)</f>
        <v>0</v>
      </c>
      <c r="K50" s="21">
        <f>VLOOKUP(C50,'JJBY Pivot'!$A:$O,9,0)</f>
        <v>0</v>
      </c>
      <c r="L50" s="21">
        <f>VLOOKUP(C50,'JJBY Pivot'!$A:$O,10,0)</f>
        <v>0</v>
      </c>
      <c r="M50" s="21">
        <f>VLOOKUP(C50,'JJBY Pivot'!$A:$O,11,0)</f>
        <v>0</v>
      </c>
      <c r="N50" s="21">
        <f>VLOOKUP(C50,'JJBY Pivot'!$A:$O,12,0)</f>
        <v>0</v>
      </c>
      <c r="O50" s="21">
        <f>VLOOKUP(C50,'JJBY Pivot'!$A:$O,13,0)</f>
        <v>0</v>
      </c>
      <c r="P50" s="21">
        <f>VLOOKUP(C50,'JJBY Pivot'!$A:$O,14,0)</f>
        <v>0</v>
      </c>
      <c r="Q50" s="22">
        <f t="shared" si="15"/>
        <v>22</v>
      </c>
      <c r="R50" s="23">
        <f t="shared" si="16"/>
        <v>0.10185185185185185</v>
      </c>
      <c r="W50" s="18">
        <f t="shared" si="17"/>
        <v>9</v>
      </c>
      <c r="X50" s="19" t="str">
        <f t="shared" si="18"/>
        <v>Shyamalesh Sarkar</v>
      </c>
      <c r="Y50" s="21">
        <f>VLOOKUP(X50,'JJBY Pivot'!$Q:$AD,2,0)</f>
        <v>3</v>
      </c>
      <c r="Z50" s="21">
        <f>VLOOKUP(X50,'JJBY Pivot'!$Q:$AD,3,0)</f>
        <v>1</v>
      </c>
      <c r="AA50" s="21">
        <f>VLOOKUP(X50,'JJBY Pivot'!$Q:$AD,4,0)</f>
        <v>1</v>
      </c>
      <c r="AB50" s="21">
        <f>VLOOKUP(X50,'JJBY Pivot'!$Q:$AD,5,0)</f>
        <v>2</v>
      </c>
      <c r="AC50" s="21">
        <f>VLOOKUP(X50,'JJBY Pivot'!$Q:$AD,6,0)</f>
        <v>1</v>
      </c>
      <c r="AD50" s="21">
        <f>VLOOKUP(X50,'JJBY Pivot'!$Q:$AD,7,0)</f>
        <v>0</v>
      </c>
      <c r="AE50" s="21">
        <f>VLOOKUP(X50,'JJBY Pivot'!$Q:$AD,8,0)</f>
        <v>0</v>
      </c>
      <c r="AF50" s="21">
        <f>VLOOKUP(X50,'JJBY Pivot'!$Q:$AD,9,0)</f>
        <v>0</v>
      </c>
      <c r="AG50" s="21">
        <f>VLOOKUP(X50,'JJBY Pivot'!$Q:$AD,10,0)</f>
        <v>0</v>
      </c>
      <c r="AH50" s="21">
        <f>VLOOKUP(X50,'JJBY Pivot'!$Q:$AD,11,0)</f>
        <v>0</v>
      </c>
      <c r="AI50" s="21">
        <f>VLOOKUP(X50,'JJBY Pivot'!$Q:$AD,12,0)</f>
        <v>0</v>
      </c>
      <c r="AJ50" s="21">
        <f>VLOOKUP(X50,'JJBY Pivot'!$Q:$AD,13,0)</f>
        <v>0</v>
      </c>
      <c r="AK50" s="22">
        <f>VLOOKUP(X50,'JJBY Pivot'!$Q:$AD,14,0)</f>
        <v>3</v>
      </c>
    </row>
    <row r="51" spans="2:37" x14ac:dyDescent="0.3">
      <c r="B51" s="18">
        <f t="shared" si="14"/>
        <v>10</v>
      </c>
      <c r="C51" s="19" t="s">
        <v>101</v>
      </c>
      <c r="D51" s="20">
        <f>VLOOKUP(C51,'JJBY Pivot'!$A:$O,2,0)</f>
        <v>144</v>
      </c>
      <c r="E51" s="21">
        <f>VLOOKUP(C51,'JJBY Pivot'!$A:$O,3,0)</f>
        <v>0</v>
      </c>
      <c r="F51" s="21">
        <f>VLOOKUP(C51,'JJBY Pivot'!$A:$O,4,0)</f>
        <v>2</v>
      </c>
      <c r="G51" s="21">
        <f>VLOOKUP(C51,'JJBY Pivot'!$A:$O,5,0)</f>
        <v>2</v>
      </c>
      <c r="H51" s="21">
        <f>VLOOKUP(C51,'JJBY Pivot'!$A:$O,6,0)</f>
        <v>5</v>
      </c>
      <c r="I51" s="21">
        <f>VLOOKUP(C51,'JJBY Pivot'!$A:$O,7,0)</f>
        <v>1</v>
      </c>
      <c r="J51" s="21">
        <f>VLOOKUP(C51,'JJBY Pivot'!$A:$O,8,0)</f>
        <v>2</v>
      </c>
      <c r="K51" s="21">
        <f>VLOOKUP(C51,'JJBY Pivot'!$A:$O,9,0)</f>
        <v>0</v>
      </c>
      <c r="L51" s="21">
        <f>VLOOKUP(C51,'JJBY Pivot'!$A:$O,10,0)</f>
        <v>0</v>
      </c>
      <c r="M51" s="21">
        <f>VLOOKUP(C51,'JJBY Pivot'!$A:$O,11,0)</f>
        <v>0</v>
      </c>
      <c r="N51" s="21">
        <f>VLOOKUP(C51,'JJBY Pivot'!$A:$O,12,0)</f>
        <v>0</v>
      </c>
      <c r="O51" s="21">
        <f>VLOOKUP(C51,'JJBY Pivot'!$A:$O,13,0)</f>
        <v>0</v>
      </c>
      <c r="P51" s="21">
        <f>VLOOKUP(C51,'JJBY Pivot'!$A:$O,14,0)</f>
        <v>0</v>
      </c>
      <c r="Q51" s="22">
        <f t="shared" si="15"/>
        <v>12</v>
      </c>
      <c r="R51" s="23">
        <f t="shared" si="16"/>
        <v>8.3333333333333329E-2</v>
      </c>
      <c r="W51" s="18">
        <f t="shared" si="17"/>
        <v>10</v>
      </c>
      <c r="X51" s="19" t="str">
        <f t="shared" si="18"/>
        <v>Pijush Singha</v>
      </c>
      <c r="Y51" s="21">
        <f>VLOOKUP(X51,'JJBY Pivot'!$Q:$AD,2,0)</f>
        <v>0</v>
      </c>
      <c r="Z51" s="21">
        <f>VLOOKUP(X51,'JJBY Pivot'!$Q:$AD,3,0)</f>
        <v>1</v>
      </c>
      <c r="AA51" s="21">
        <f>VLOOKUP(X51,'JJBY Pivot'!$Q:$AD,4,0)</f>
        <v>1</v>
      </c>
      <c r="AB51" s="21">
        <f>VLOOKUP(X51,'JJBY Pivot'!$Q:$AD,5,0)</f>
        <v>1</v>
      </c>
      <c r="AC51" s="21">
        <f>VLOOKUP(X51,'JJBY Pivot'!$Q:$AD,6,0)</f>
        <v>1</v>
      </c>
      <c r="AD51" s="21">
        <f>VLOOKUP(X51,'JJBY Pivot'!$Q:$AD,7,0)</f>
        <v>1</v>
      </c>
      <c r="AE51" s="21">
        <f>VLOOKUP(X51,'JJBY Pivot'!$Q:$AD,8,0)</f>
        <v>0</v>
      </c>
      <c r="AF51" s="21">
        <f>VLOOKUP(X51,'JJBY Pivot'!$Q:$AD,9,0)</f>
        <v>0</v>
      </c>
      <c r="AG51" s="21">
        <f>VLOOKUP(X51,'JJBY Pivot'!$Q:$AD,10,0)</f>
        <v>0</v>
      </c>
      <c r="AH51" s="21">
        <f>VLOOKUP(X51,'JJBY Pivot'!$Q:$AD,11,0)</f>
        <v>0</v>
      </c>
      <c r="AI51" s="21">
        <f>VLOOKUP(X51,'JJBY Pivot'!$Q:$AD,12,0)</f>
        <v>0</v>
      </c>
      <c r="AJ51" s="21">
        <f>VLOOKUP(X51,'JJBY Pivot'!$Q:$AD,13,0)</f>
        <v>0</v>
      </c>
      <c r="AK51" s="22">
        <f>VLOOKUP(X51,'JJBY Pivot'!$Q:$AD,14,0)</f>
        <v>1</v>
      </c>
    </row>
    <row r="52" spans="2:37" x14ac:dyDescent="0.3">
      <c r="B52" s="18">
        <f t="shared" si="14"/>
        <v>11</v>
      </c>
      <c r="C52" s="19" t="s">
        <v>345</v>
      </c>
      <c r="D52" s="20">
        <f>VLOOKUP(C52,'JJBY Pivot'!$A:$O,2,0)</f>
        <v>456</v>
      </c>
      <c r="E52" s="21">
        <f>VLOOKUP(C52,'JJBY Pivot'!$A:$O,3,0)</f>
        <v>7</v>
      </c>
      <c r="F52" s="21">
        <f>VLOOKUP(C52,'JJBY Pivot'!$A:$O,4,0)</f>
        <v>6</v>
      </c>
      <c r="G52" s="21">
        <f>VLOOKUP(C52,'JJBY Pivot'!$A:$O,5,0)</f>
        <v>11</v>
      </c>
      <c r="H52" s="21">
        <f>VLOOKUP(C52,'JJBY Pivot'!$A:$O,6,0)</f>
        <v>6</v>
      </c>
      <c r="I52" s="21">
        <f>VLOOKUP(C52,'JJBY Pivot'!$A:$O,7,0)</f>
        <v>5</v>
      </c>
      <c r="J52" s="21">
        <f>VLOOKUP(C52,'JJBY Pivot'!$A:$O,8,0)</f>
        <v>1</v>
      </c>
      <c r="K52" s="21">
        <f>VLOOKUP(C52,'JJBY Pivot'!$A:$O,9,0)</f>
        <v>0</v>
      </c>
      <c r="L52" s="21">
        <f>VLOOKUP(C52,'JJBY Pivot'!$A:$O,10,0)</f>
        <v>0</v>
      </c>
      <c r="M52" s="21">
        <f>VLOOKUP(C52,'JJBY Pivot'!$A:$O,11,0)</f>
        <v>0</v>
      </c>
      <c r="N52" s="21">
        <f>VLOOKUP(C52,'JJBY Pivot'!$A:$O,12,0)</f>
        <v>0</v>
      </c>
      <c r="O52" s="21">
        <f>VLOOKUP(C52,'JJBY Pivot'!$A:$O,13,0)</f>
        <v>0</v>
      </c>
      <c r="P52" s="21">
        <f>VLOOKUP(C52,'JJBY Pivot'!$A:$O,14,0)</f>
        <v>0</v>
      </c>
      <c r="Q52" s="22">
        <f t="shared" si="15"/>
        <v>36</v>
      </c>
      <c r="R52" s="23">
        <f t="shared" si="16"/>
        <v>7.8947368421052627E-2</v>
      </c>
      <c r="W52" s="18">
        <f t="shared" si="17"/>
        <v>11</v>
      </c>
      <c r="X52" s="19" t="str">
        <f t="shared" si="18"/>
        <v>Under Office (Birbhum)</v>
      </c>
      <c r="Y52" s="21">
        <f>VLOOKUP(X52,'JJBY Pivot'!$Q:$AD,2,0)</f>
        <v>2</v>
      </c>
      <c r="Z52" s="21">
        <f>VLOOKUP(X52,'JJBY Pivot'!$Q:$AD,3,0)</f>
        <v>2</v>
      </c>
      <c r="AA52" s="21">
        <f>VLOOKUP(X52,'JJBY Pivot'!$Q:$AD,4,0)</f>
        <v>3</v>
      </c>
      <c r="AB52" s="21">
        <f>VLOOKUP(X52,'JJBY Pivot'!$Q:$AD,5,0)</f>
        <v>3</v>
      </c>
      <c r="AC52" s="21">
        <f>VLOOKUP(X52,'JJBY Pivot'!$Q:$AD,6,0)</f>
        <v>2</v>
      </c>
      <c r="AD52" s="21">
        <f>VLOOKUP(X52,'JJBY Pivot'!$Q:$AD,7,0)</f>
        <v>1</v>
      </c>
      <c r="AE52" s="21">
        <f>VLOOKUP(X52,'JJBY Pivot'!$Q:$AD,8,0)</f>
        <v>0</v>
      </c>
      <c r="AF52" s="21">
        <f>VLOOKUP(X52,'JJBY Pivot'!$Q:$AD,9,0)</f>
        <v>0</v>
      </c>
      <c r="AG52" s="21">
        <f>VLOOKUP(X52,'JJBY Pivot'!$Q:$AD,10,0)</f>
        <v>0</v>
      </c>
      <c r="AH52" s="21">
        <f>VLOOKUP(X52,'JJBY Pivot'!$Q:$AD,11,0)</f>
        <v>0</v>
      </c>
      <c r="AI52" s="21">
        <f>VLOOKUP(X52,'JJBY Pivot'!$Q:$AD,12,0)</f>
        <v>0</v>
      </c>
      <c r="AJ52" s="21">
        <f>VLOOKUP(X52,'JJBY Pivot'!$Q:$AD,13,0)</f>
        <v>0</v>
      </c>
      <c r="AK52" s="22">
        <f>VLOOKUP(X52,'JJBY Pivot'!$Q:$AD,14,0)</f>
        <v>5</v>
      </c>
    </row>
    <row r="53" spans="2:37" x14ac:dyDescent="0.3">
      <c r="B53" s="18">
        <f t="shared" si="14"/>
        <v>12</v>
      </c>
      <c r="C53" s="19" t="s">
        <v>99</v>
      </c>
      <c r="D53" s="20">
        <f>VLOOKUP(C53,'JJBY Pivot'!$A:$O,2,0)</f>
        <v>216</v>
      </c>
      <c r="E53" s="21">
        <f>VLOOKUP(C53,'JJBY Pivot'!$A:$O,3,0)</f>
        <v>0</v>
      </c>
      <c r="F53" s="21">
        <f>VLOOKUP(C53,'JJBY Pivot'!$A:$O,4,0)</f>
        <v>3</v>
      </c>
      <c r="G53" s="21">
        <f>VLOOKUP(C53,'JJBY Pivot'!$A:$O,5,0)</f>
        <v>5</v>
      </c>
      <c r="H53" s="21">
        <f>VLOOKUP(C53,'JJBY Pivot'!$A:$O,6,0)</f>
        <v>2</v>
      </c>
      <c r="I53" s="21">
        <f>VLOOKUP(C53,'JJBY Pivot'!$A:$O,7,0)</f>
        <v>1</v>
      </c>
      <c r="J53" s="21">
        <f>VLOOKUP(C53,'JJBY Pivot'!$A:$O,8,0)</f>
        <v>0</v>
      </c>
      <c r="K53" s="21">
        <f>VLOOKUP(C53,'JJBY Pivot'!$A:$O,9,0)</f>
        <v>0</v>
      </c>
      <c r="L53" s="21">
        <f>VLOOKUP(C53,'JJBY Pivot'!$A:$O,10,0)</f>
        <v>0</v>
      </c>
      <c r="M53" s="21">
        <f>VLOOKUP(C53,'JJBY Pivot'!$A:$O,11,0)</f>
        <v>0</v>
      </c>
      <c r="N53" s="21">
        <f>VLOOKUP(C53,'JJBY Pivot'!$A:$O,12,0)</f>
        <v>0</v>
      </c>
      <c r="O53" s="21">
        <f>VLOOKUP(C53,'JJBY Pivot'!$A:$O,13,0)</f>
        <v>0</v>
      </c>
      <c r="P53" s="21">
        <f>VLOOKUP(C53,'JJBY Pivot'!$A:$O,14,0)</f>
        <v>0</v>
      </c>
      <c r="Q53" s="22">
        <f t="shared" si="15"/>
        <v>11</v>
      </c>
      <c r="R53" s="23">
        <f t="shared" si="16"/>
        <v>5.0925925925925923E-2</v>
      </c>
      <c r="W53" s="18">
        <f t="shared" si="17"/>
        <v>12</v>
      </c>
      <c r="X53" s="19" t="str">
        <f t="shared" si="18"/>
        <v>Avi Sk</v>
      </c>
      <c r="Y53" s="21">
        <f>VLOOKUP(X53,'JJBY Pivot'!$Q:$AD,2,0)</f>
        <v>0</v>
      </c>
      <c r="Z53" s="21">
        <f>VLOOKUP(X53,'JJBY Pivot'!$Q:$AD,3,0)</f>
        <v>1</v>
      </c>
      <c r="AA53" s="21">
        <f>VLOOKUP(X53,'JJBY Pivot'!$Q:$AD,4,0)</f>
        <v>1</v>
      </c>
      <c r="AB53" s="21">
        <f>VLOOKUP(X53,'JJBY Pivot'!$Q:$AD,5,0)</f>
        <v>1</v>
      </c>
      <c r="AC53" s="21">
        <f>VLOOKUP(X53,'JJBY Pivot'!$Q:$AD,6,0)</f>
        <v>1</v>
      </c>
      <c r="AD53" s="21">
        <f>VLOOKUP(X53,'JJBY Pivot'!$Q:$AD,7,0)</f>
        <v>0</v>
      </c>
      <c r="AE53" s="21">
        <f>VLOOKUP(X53,'JJBY Pivot'!$Q:$AD,8,0)</f>
        <v>0</v>
      </c>
      <c r="AF53" s="21">
        <f>VLOOKUP(X53,'JJBY Pivot'!$Q:$AD,9,0)</f>
        <v>0</v>
      </c>
      <c r="AG53" s="21">
        <f>VLOOKUP(X53,'JJBY Pivot'!$Q:$AD,10,0)</f>
        <v>0</v>
      </c>
      <c r="AH53" s="21">
        <f>VLOOKUP(X53,'JJBY Pivot'!$Q:$AD,11,0)</f>
        <v>0</v>
      </c>
      <c r="AI53" s="21">
        <f>VLOOKUP(X53,'JJBY Pivot'!$Q:$AD,12,0)</f>
        <v>0</v>
      </c>
      <c r="AJ53" s="21">
        <f>VLOOKUP(X53,'JJBY Pivot'!$Q:$AD,13,0)</f>
        <v>0</v>
      </c>
      <c r="AK53" s="22">
        <f>VLOOKUP(X53,'JJBY Pivot'!$Q:$AD,14,0)</f>
        <v>2</v>
      </c>
    </row>
    <row r="54" spans="2:37" x14ac:dyDescent="0.3">
      <c r="B54" s="18">
        <f t="shared" si="14"/>
        <v>13</v>
      </c>
      <c r="C54" s="19" t="s">
        <v>95</v>
      </c>
      <c r="D54" s="20">
        <f>VLOOKUP(C54,'JJBY Pivot'!$A:$O,2,0)</f>
        <v>408</v>
      </c>
      <c r="E54" s="21">
        <f>VLOOKUP(C54,'JJBY Pivot'!$A:$O,3,0)</f>
        <v>2</v>
      </c>
      <c r="F54" s="21">
        <f>VLOOKUP(C54,'JJBY Pivot'!$A:$O,4,0)</f>
        <v>5</v>
      </c>
      <c r="G54" s="21">
        <f>VLOOKUP(C54,'JJBY Pivot'!$A:$O,5,0)</f>
        <v>0</v>
      </c>
      <c r="H54" s="21">
        <f>VLOOKUP(C54,'JJBY Pivot'!$A:$O,6,0)</f>
        <v>1</v>
      </c>
      <c r="I54" s="21">
        <f>VLOOKUP(C54,'JJBY Pivot'!$A:$O,7,0)</f>
        <v>0</v>
      </c>
      <c r="J54" s="21">
        <f>VLOOKUP(C54,'JJBY Pivot'!$A:$O,8,0)</f>
        <v>0</v>
      </c>
      <c r="K54" s="21">
        <f>VLOOKUP(C54,'JJBY Pivot'!$A:$O,9,0)</f>
        <v>0</v>
      </c>
      <c r="L54" s="21">
        <f>VLOOKUP(C54,'JJBY Pivot'!$A:$O,10,0)</f>
        <v>0</v>
      </c>
      <c r="M54" s="21">
        <f>VLOOKUP(C54,'JJBY Pivot'!$A:$O,11,0)</f>
        <v>0</v>
      </c>
      <c r="N54" s="21">
        <f>VLOOKUP(C54,'JJBY Pivot'!$A:$O,12,0)</f>
        <v>0</v>
      </c>
      <c r="O54" s="21">
        <f>VLOOKUP(C54,'JJBY Pivot'!$A:$O,13,0)</f>
        <v>0</v>
      </c>
      <c r="P54" s="21">
        <f>VLOOKUP(C54,'JJBY Pivot'!$A:$O,14,0)</f>
        <v>0</v>
      </c>
      <c r="Q54" s="22">
        <f t="shared" si="15"/>
        <v>8</v>
      </c>
      <c r="R54" s="23">
        <f t="shared" si="16"/>
        <v>1.9607843137254902E-2</v>
      </c>
      <c r="W54" s="18">
        <f t="shared" si="17"/>
        <v>13</v>
      </c>
      <c r="X54" s="19" t="str">
        <f t="shared" si="18"/>
        <v>Santanu Bera</v>
      </c>
      <c r="Y54" s="21">
        <f>VLOOKUP(X54,'JJBY Pivot'!$Q:$AD,2,0)</f>
        <v>2</v>
      </c>
      <c r="Z54" s="21">
        <f>VLOOKUP(X54,'JJBY Pivot'!$Q:$AD,3,0)</f>
        <v>2</v>
      </c>
      <c r="AA54" s="21">
        <f>VLOOKUP(X54,'JJBY Pivot'!$Q:$AD,4,0)</f>
        <v>0</v>
      </c>
      <c r="AB54" s="21">
        <f>VLOOKUP(X54,'JJBY Pivot'!$Q:$AD,5,0)</f>
        <v>1</v>
      </c>
      <c r="AC54" s="21">
        <f>VLOOKUP(X54,'JJBY Pivot'!$Q:$AD,6,0)</f>
        <v>0</v>
      </c>
      <c r="AD54" s="21">
        <f>VLOOKUP(X54,'JJBY Pivot'!$Q:$AD,7,0)</f>
        <v>0</v>
      </c>
      <c r="AE54" s="21">
        <f>VLOOKUP(X54,'JJBY Pivot'!$Q:$AD,8,0)</f>
        <v>0</v>
      </c>
      <c r="AF54" s="21">
        <f>VLOOKUP(X54,'JJBY Pivot'!$Q:$AD,9,0)</f>
        <v>0</v>
      </c>
      <c r="AG54" s="21">
        <f>VLOOKUP(X54,'JJBY Pivot'!$Q:$AD,10,0)</f>
        <v>0</v>
      </c>
      <c r="AH54" s="21">
        <f>VLOOKUP(X54,'JJBY Pivot'!$Q:$AD,11,0)</f>
        <v>0</v>
      </c>
      <c r="AI54" s="21">
        <f>VLOOKUP(X54,'JJBY Pivot'!$Q:$AD,12,0)</f>
        <v>0</v>
      </c>
      <c r="AJ54" s="21">
        <f>VLOOKUP(X54,'JJBY Pivot'!$Q:$AD,13,0)</f>
        <v>0</v>
      </c>
      <c r="AK54" s="22">
        <f>VLOOKUP(X54,'JJBY Pivot'!$Q:$AD,14,0)</f>
        <v>3</v>
      </c>
    </row>
    <row r="55" spans="2:37" x14ac:dyDescent="0.3">
      <c r="B55" s="18">
        <f t="shared" si="14"/>
        <v>14</v>
      </c>
      <c r="C55" s="19" t="s">
        <v>449</v>
      </c>
      <c r="D55" s="20">
        <f>VLOOKUP(C55,'JJBY Pivot'!$A:$O,2,0)</f>
        <v>24</v>
      </c>
      <c r="E55" s="21">
        <f>VLOOKUP(C55,'JJBY Pivot'!$A:$O,3,0)</f>
        <v>0</v>
      </c>
      <c r="F55" s="21">
        <f>VLOOKUP(C55,'JJBY Pivot'!$A:$O,4,0)</f>
        <v>0</v>
      </c>
      <c r="G55" s="21">
        <f>VLOOKUP(C55,'JJBY Pivot'!$A:$O,5,0)</f>
        <v>0</v>
      </c>
      <c r="H55" s="21">
        <f>VLOOKUP(C55,'JJBY Pivot'!$A:$O,6,0)</f>
        <v>0</v>
      </c>
      <c r="I55" s="21">
        <f>VLOOKUP(C55,'JJBY Pivot'!$A:$O,7,0)</f>
        <v>0</v>
      </c>
      <c r="J55" s="21">
        <f>VLOOKUP(C55,'JJBY Pivot'!$A:$O,8,0)</f>
        <v>0</v>
      </c>
      <c r="K55" s="21">
        <f>VLOOKUP(C55,'JJBY Pivot'!$A:$O,9,0)</f>
        <v>0</v>
      </c>
      <c r="L55" s="21">
        <f>VLOOKUP(C55,'JJBY Pivot'!$A:$O,10,0)</f>
        <v>0</v>
      </c>
      <c r="M55" s="21">
        <f>VLOOKUP(C55,'JJBY Pivot'!$A:$O,11,0)</f>
        <v>0</v>
      </c>
      <c r="N55" s="21">
        <f>VLOOKUP(C55,'JJBY Pivot'!$A:$O,12,0)</f>
        <v>0</v>
      </c>
      <c r="O55" s="21">
        <f>VLOOKUP(C55,'JJBY Pivot'!$A:$O,13,0)</f>
        <v>0</v>
      </c>
      <c r="P55" s="21">
        <f>VLOOKUP(C55,'JJBY Pivot'!$A:$O,14,0)</f>
        <v>0</v>
      </c>
      <c r="Q55" s="22">
        <f t="shared" si="15"/>
        <v>0</v>
      </c>
      <c r="R55" s="23">
        <f t="shared" si="16"/>
        <v>0</v>
      </c>
      <c r="W55" s="18">
        <f t="shared" si="17"/>
        <v>14</v>
      </c>
      <c r="X55" s="19" t="str">
        <f t="shared" si="18"/>
        <v>Mousumi Sarkar</v>
      </c>
      <c r="Y55" s="21">
        <f>VLOOKUP(X55,'JJBY Pivot'!$Q:$AD,2,0)</f>
        <v>0</v>
      </c>
      <c r="Z55" s="21">
        <f>VLOOKUP(X55,'JJBY Pivot'!$Q:$AD,3,0)</f>
        <v>0</v>
      </c>
      <c r="AA55" s="21">
        <f>VLOOKUP(X55,'JJBY Pivot'!$Q:$AD,4,0)</f>
        <v>0</v>
      </c>
      <c r="AB55" s="21">
        <f>VLOOKUP(X55,'JJBY Pivot'!$Q:$AD,5,0)</f>
        <v>0</v>
      </c>
      <c r="AC55" s="21">
        <f>VLOOKUP(X55,'JJBY Pivot'!$Q:$AD,6,0)</f>
        <v>0</v>
      </c>
      <c r="AD55" s="21">
        <f>VLOOKUP(X55,'JJBY Pivot'!$Q:$AD,7,0)</f>
        <v>0</v>
      </c>
      <c r="AE55" s="21">
        <f>VLOOKUP(X55,'JJBY Pivot'!$Q:$AD,8,0)</f>
        <v>0</v>
      </c>
      <c r="AF55" s="21">
        <f>VLOOKUP(X55,'JJBY Pivot'!$Q:$AD,9,0)</f>
        <v>0</v>
      </c>
      <c r="AG55" s="21">
        <f>VLOOKUP(X55,'JJBY Pivot'!$Q:$AD,10,0)</f>
        <v>0</v>
      </c>
      <c r="AH55" s="21">
        <f>VLOOKUP(X55,'JJBY Pivot'!$Q:$AD,11,0)</f>
        <v>0</v>
      </c>
      <c r="AI55" s="21">
        <f>VLOOKUP(X55,'JJBY Pivot'!$Q:$AD,12,0)</f>
        <v>0</v>
      </c>
      <c r="AJ55" s="21">
        <f>VLOOKUP(X55,'JJBY Pivot'!$Q:$AD,13,0)</f>
        <v>0</v>
      </c>
      <c r="AK55" s="22">
        <f>VLOOKUP(X55,'JJBY Pivot'!$Q:$AD,14,0)</f>
        <v>0</v>
      </c>
    </row>
    <row r="56" spans="2:37" ht="3" customHeight="1" x14ac:dyDescent="0.3">
      <c r="R56" s="28"/>
    </row>
    <row r="57" spans="2:37" x14ac:dyDescent="0.3">
      <c r="B57" s="215" t="s">
        <v>283</v>
      </c>
      <c r="C57" s="216"/>
      <c r="D57" s="29">
        <f t="shared" ref="D57:Q57" si="19">SUM(D42:D55)</f>
        <v>5976</v>
      </c>
      <c r="E57" s="29">
        <f t="shared" si="19"/>
        <v>213</v>
      </c>
      <c r="F57" s="29">
        <f t="shared" si="19"/>
        <v>426</v>
      </c>
      <c r="G57" s="29">
        <f t="shared" si="19"/>
        <v>217</v>
      </c>
      <c r="H57" s="29">
        <f t="shared" si="19"/>
        <v>239</v>
      </c>
      <c r="I57" s="29">
        <f t="shared" si="19"/>
        <v>224</v>
      </c>
      <c r="J57" s="29">
        <f t="shared" si="19"/>
        <v>46</v>
      </c>
      <c r="K57" s="29">
        <f t="shared" si="19"/>
        <v>0</v>
      </c>
      <c r="L57" s="29">
        <f t="shared" si="19"/>
        <v>0</v>
      </c>
      <c r="M57" s="29">
        <f t="shared" si="19"/>
        <v>0</v>
      </c>
      <c r="N57" s="29">
        <f t="shared" si="19"/>
        <v>0</v>
      </c>
      <c r="O57" s="29">
        <f t="shared" si="19"/>
        <v>0</v>
      </c>
      <c r="P57" s="29">
        <f t="shared" si="19"/>
        <v>0</v>
      </c>
      <c r="Q57" s="29">
        <f t="shared" si="19"/>
        <v>1365</v>
      </c>
      <c r="R57" s="30">
        <f>Q57/D57</f>
        <v>0.2284136546184739</v>
      </c>
      <c r="W57" s="215" t="s">
        <v>283</v>
      </c>
      <c r="X57" s="216"/>
      <c r="Y57" s="29">
        <f t="shared" ref="Y57:AK57" si="20">SUM(Y42:Y55)</f>
        <v>40</v>
      </c>
      <c r="Z57" s="29">
        <f t="shared" si="20"/>
        <v>47</v>
      </c>
      <c r="AA57" s="29">
        <f t="shared" si="20"/>
        <v>42</v>
      </c>
      <c r="AB57" s="29">
        <f t="shared" si="20"/>
        <v>42</v>
      </c>
      <c r="AC57" s="29">
        <f t="shared" si="20"/>
        <v>35</v>
      </c>
      <c r="AD57" s="29">
        <f t="shared" si="20"/>
        <v>19</v>
      </c>
      <c r="AE57" s="29">
        <f t="shared" si="20"/>
        <v>0</v>
      </c>
      <c r="AF57" s="29">
        <f t="shared" si="20"/>
        <v>0</v>
      </c>
      <c r="AG57" s="29">
        <f t="shared" si="20"/>
        <v>0</v>
      </c>
      <c r="AH57" s="29">
        <f t="shared" si="20"/>
        <v>0</v>
      </c>
      <c r="AI57" s="29">
        <f t="shared" si="20"/>
        <v>0</v>
      </c>
      <c r="AJ57" s="29">
        <f t="shared" si="20"/>
        <v>0</v>
      </c>
      <c r="AK57" s="29">
        <f t="shared" si="20"/>
        <v>62</v>
      </c>
    </row>
    <row r="59" spans="2:37" x14ac:dyDescent="0.3">
      <c r="B59" s="265" t="s">
        <v>323</v>
      </c>
      <c r="C59" s="266"/>
      <c r="D59" s="266"/>
      <c r="E59" s="266"/>
      <c r="F59" s="266"/>
      <c r="G59" s="266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6"/>
      <c r="W59" s="265" t="s">
        <v>441</v>
      </c>
      <c r="X59" s="266"/>
      <c r="Y59" s="266"/>
      <c r="Z59" s="266"/>
      <c r="AA59" s="266"/>
      <c r="AB59" s="266"/>
      <c r="AC59" s="266"/>
      <c r="AD59" s="266"/>
      <c r="AE59" s="266"/>
      <c r="AF59" s="266"/>
      <c r="AG59" s="266"/>
      <c r="AH59" s="266"/>
      <c r="AI59" s="266"/>
      <c r="AJ59" s="266"/>
      <c r="AK59" s="266"/>
    </row>
    <row r="60" spans="2:37" s="17" customFormat="1" ht="28.8" x14ac:dyDescent="0.3">
      <c r="B60" s="16" t="s">
        <v>279</v>
      </c>
      <c r="C60" s="16" t="s">
        <v>264</v>
      </c>
      <c r="D60" s="16" t="s">
        <v>280</v>
      </c>
      <c r="E60" s="3">
        <v>46113</v>
      </c>
      <c r="F60" s="3">
        <v>46143</v>
      </c>
      <c r="G60" s="3">
        <v>46174</v>
      </c>
      <c r="H60" s="3">
        <v>46204</v>
      </c>
      <c r="I60" s="3">
        <v>46235</v>
      </c>
      <c r="J60" s="3">
        <v>46266</v>
      </c>
      <c r="K60" s="3">
        <v>46296</v>
      </c>
      <c r="L60" s="3">
        <v>46327</v>
      </c>
      <c r="M60" s="3">
        <v>46357</v>
      </c>
      <c r="N60" s="3">
        <v>46388</v>
      </c>
      <c r="O60" s="3">
        <v>46419</v>
      </c>
      <c r="P60" s="3">
        <v>46447</v>
      </c>
      <c r="Q60" s="16" t="s">
        <v>286</v>
      </c>
      <c r="R60" s="16" t="s">
        <v>282</v>
      </c>
      <c r="W60" s="16" t="s">
        <v>279</v>
      </c>
      <c r="X60" s="16" t="s">
        <v>264</v>
      </c>
      <c r="Y60" s="3">
        <v>46113</v>
      </c>
      <c r="Z60" s="3">
        <v>46143</v>
      </c>
      <c r="AA60" s="3">
        <v>46174</v>
      </c>
      <c r="AB60" s="3">
        <v>46204</v>
      </c>
      <c r="AC60" s="3">
        <v>46235</v>
      </c>
      <c r="AD60" s="3">
        <v>46266</v>
      </c>
      <c r="AE60" s="3">
        <v>46296</v>
      </c>
      <c r="AF60" s="3">
        <v>46327</v>
      </c>
      <c r="AG60" s="3">
        <v>46357</v>
      </c>
      <c r="AH60" s="3">
        <v>46388</v>
      </c>
      <c r="AI60" s="3">
        <v>46419</v>
      </c>
      <c r="AJ60" s="3">
        <v>46447</v>
      </c>
      <c r="AK60" s="16" t="s">
        <v>443</v>
      </c>
    </row>
    <row r="61" spans="2:37" x14ac:dyDescent="0.3">
      <c r="B61" s="18">
        <f t="shared" ref="B61:B74" si="21">ROW()-ROW($B$60)</f>
        <v>1</v>
      </c>
      <c r="C61" s="19" t="s">
        <v>101</v>
      </c>
      <c r="D61" s="20">
        <f>VLOOKUP(C61,'SBY Pivot'!$A:$O,2,0)</f>
        <v>288</v>
      </c>
      <c r="E61" s="21">
        <f>VLOOKUP(C61,'SBY Pivot'!$A:$O,3,0)</f>
        <v>22</v>
      </c>
      <c r="F61" s="21">
        <f>VLOOKUP(C61,'SBY Pivot'!$A:$O,4,0)</f>
        <v>45</v>
      </c>
      <c r="G61" s="21">
        <f>VLOOKUP(C61,'SBY Pivot'!$A:$O,5,0)</f>
        <v>22</v>
      </c>
      <c r="H61" s="21">
        <f>VLOOKUP(C61,'SBY Pivot'!$A:$O,6,0)</f>
        <v>33</v>
      </c>
      <c r="I61" s="21">
        <f>VLOOKUP(C61,'SBY Pivot'!$A:$O,7,0)</f>
        <v>25</v>
      </c>
      <c r="J61" s="21">
        <f>VLOOKUP(C61,'SBY Pivot'!$A:$O,8,0)</f>
        <v>8</v>
      </c>
      <c r="K61" s="21">
        <f>VLOOKUP(C61,'SBY Pivot'!$A:$O,9,0)</f>
        <v>0</v>
      </c>
      <c r="L61" s="21">
        <f>VLOOKUP(C61,'SBY Pivot'!$A:$O,10,0)</f>
        <v>0</v>
      </c>
      <c r="M61" s="21">
        <f>VLOOKUP(C61,'SBY Pivot'!$A:$O,11,0)</f>
        <v>0</v>
      </c>
      <c r="N61" s="21">
        <f>VLOOKUP(C61,'SBY Pivot'!$A:$O,12,0)</f>
        <v>0</v>
      </c>
      <c r="O61" s="21">
        <f>VLOOKUP(C61,'SBY Pivot'!$A:$O,13,0)</f>
        <v>0</v>
      </c>
      <c r="P61" s="21">
        <f>VLOOKUP(C61,'SBY Pivot'!$A:$O,14,0)</f>
        <v>0</v>
      </c>
      <c r="Q61" s="22">
        <f t="shared" ref="Q61:Q74" si="22">SUM(E61:P61)</f>
        <v>155</v>
      </c>
      <c r="R61" s="23">
        <f t="shared" ref="R61:R74" si="23">Q61/D61</f>
        <v>0.53819444444444442</v>
      </c>
      <c r="T61" s="24"/>
      <c r="U61" s="25"/>
      <c r="V61" s="25"/>
      <c r="W61" s="18">
        <f t="shared" ref="W61:W74" si="24">ROW()-ROW($B$60)</f>
        <v>1</v>
      </c>
      <c r="X61" s="19" t="str">
        <f>C61</f>
        <v>Pijush Singha</v>
      </c>
      <c r="Y61" s="21">
        <f>VLOOKUP(X61,'SBY Pivot'!$Q:$AD,2,0)</f>
        <v>2</v>
      </c>
      <c r="Z61" s="21">
        <f>VLOOKUP(X61,'SBY Pivot'!$Q:$AD,3,0)</f>
        <v>2</v>
      </c>
      <c r="AA61" s="21">
        <f>VLOOKUP(X61,'SBY Pivot'!$Q:$AD,4,0)</f>
        <v>2</v>
      </c>
      <c r="AB61" s="21">
        <f>VLOOKUP(X61,'SBY Pivot'!$Q:$AD,5,0)</f>
        <v>2</v>
      </c>
      <c r="AC61" s="21">
        <f>VLOOKUP(X61,'SBY Pivot'!$Q:$AD,6,0)</f>
        <v>2</v>
      </c>
      <c r="AD61" s="21">
        <f>VLOOKUP(X61,'SBY Pivot'!$Q:$AD,7,0)</f>
        <v>2</v>
      </c>
      <c r="AE61" s="21">
        <f>VLOOKUP(X61,'SBY Pivot'!$Q:$AD,8,0)</f>
        <v>0</v>
      </c>
      <c r="AF61" s="21">
        <f>VLOOKUP(X61,'SBY Pivot'!$Q:$AD,9,0)</f>
        <v>0</v>
      </c>
      <c r="AG61" s="21">
        <f>VLOOKUP(X61,'SBY Pivot'!$Q:$AD,10,0)</f>
        <v>0</v>
      </c>
      <c r="AH61" s="21">
        <f>VLOOKUP(X61,'SBY Pivot'!$Q:$AD,11,0)</f>
        <v>0</v>
      </c>
      <c r="AI61" s="21">
        <f>VLOOKUP(X61,'SBY Pivot'!$Q:$AD,12,0)</f>
        <v>0</v>
      </c>
      <c r="AJ61" s="21">
        <f>VLOOKUP(X61,'SBY Pivot'!$Q:$AD,13,0)</f>
        <v>0</v>
      </c>
      <c r="AK61" s="22">
        <f>VLOOKUP(X61,'SBY Pivot'!$Q:$AD,14,0)</f>
        <v>2</v>
      </c>
    </row>
    <row r="62" spans="2:37" x14ac:dyDescent="0.3">
      <c r="B62" s="18">
        <f t="shared" si="21"/>
        <v>2</v>
      </c>
      <c r="C62" s="19" t="s">
        <v>98</v>
      </c>
      <c r="D62" s="20">
        <f>VLOOKUP(C62,'SBY Pivot'!$A:$O,2,0)</f>
        <v>432</v>
      </c>
      <c r="E62" s="21">
        <f>VLOOKUP(C62,'SBY Pivot'!$A:$O,3,0)</f>
        <v>25</v>
      </c>
      <c r="F62" s="21">
        <f>VLOOKUP(C62,'SBY Pivot'!$A:$O,4,0)</f>
        <v>25</v>
      </c>
      <c r="G62" s="21">
        <f>VLOOKUP(C62,'SBY Pivot'!$A:$O,5,0)</f>
        <v>29</v>
      </c>
      <c r="H62" s="21">
        <f>VLOOKUP(C62,'SBY Pivot'!$A:$O,6,0)</f>
        <v>91</v>
      </c>
      <c r="I62" s="21">
        <f>VLOOKUP(C62,'SBY Pivot'!$A:$O,7,0)</f>
        <v>49</v>
      </c>
      <c r="J62" s="21">
        <f>VLOOKUP(C62,'SBY Pivot'!$A:$O,8,0)</f>
        <v>2</v>
      </c>
      <c r="K62" s="21">
        <f>VLOOKUP(C62,'SBY Pivot'!$A:$O,9,0)</f>
        <v>0</v>
      </c>
      <c r="L62" s="21">
        <f>VLOOKUP(C62,'SBY Pivot'!$A:$O,10,0)</f>
        <v>0</v>
      </c>
      <c r="M62" s="21">
        <f>VLOOKUP(C62,'SBY Pivot'!$A:$O,11,0)</f>
        <v>0</v>
      </c>
      <c r="N62" s="21">
        <f>VLOOKUP(C62,'SBY Pivot'!$A:$O,12,0)</f>
        <v>0</v>
      </c>
      <c r="O62" s="21">
        <f>VLOOKUP(C62,'SBY Pivot'!$A:$O,13,0)</f>
        <v>0</v>
      </c>
      <c r="P62" s="21">
        <f>VLOOKUP(C62,'SBY Pivot'!$A:$O,14,0)</f>
        <v>0</v>
      </c>
      <c r="Q62" s="22">
        <f t="shared" si="22"/>
        <v>221</v>
      </c>
      <c r="R62" s="23">
        <f t="shared" si="23"/>
        <v>0.51157407407407407</v>
      </c>
      <c r="T62" s="24"/>
      <c r="U62" s="25"/>
      <c r="V62" s="25"/>
      <c r="W62" s="18">
        <f t="shared" si="24"/>
        <v>2</v>
      </c>
      <c r="X62" s="19" t="str">
        <f t="shared" ref="X62:X74" si="25">C62</f>
        <v>Shyamalesh Sarkar</v>
      </c>
      <c r="Y62" s="21">
        <f>VLOOKUP(X62,'SBY Pivot'!$Q:$AD,2,0)</f>
        <v>3</v>
      </c>
      <c r="Z62" s="21">
        <f>VLOOKUP(X62,'SBY Pivot'!$Q:$AD,3,0)</f>
        <v>3</v>
      </c>
      <c r="AA62" s="21">
        <f>VLOOKUP(X62,'SBY Pivot'!$Q:$AD,4,0)</f>
        <v>3</v>
      </c>
      <c r="AB62" s="21">
        <f>VLOOKUP(X62,'SBY Pivot'!$Q:$AD,5,0)</f>
        <v>3</v>
      </c>
      <c r="AC62" s="21">
        <f>VLOOKUP(X62,'SBY Pivot'!$Q:$AD,6,0)</f>
        <v>3</v>
      </c>
      <c r="AD62" s="21">
        <f>VLOOKUP(X62,'SBY Pivot'!$Q:$AD,7,0)</f>
        <v>2</v>
      </c>
      <c r="AE62" s="21">
        <f>VLOOKUP(X62,'SBY Pivot'!$Q:$AD,8,0)</f>
        <v>0</v>
      </c>
      <c r="AF62" s="21">
        <f>VLOOKUP(X62,'SBY Pivot'!$Q:$AD,9,0)</f>
        <v>0</v>
      </c>
      <c r="AG62" s="21">
        <f>VLOOKUP(X62,'SBY Pivot'!$Q:$AD,10,0)</f>
        <v>0</v>
      </c>
      <c r="AH62" s="21">
        <f>VLOOKUP(X62,'SBY Pivot'!$Q:$AD,11,0)</f>
        <v>0</v>
      </c>
      <c r="AI62" s="21">
        <f>VLOOKUP(X62,'SBY Pivot'!$Q:$AD,12,0)</f>
        <v>0</v>
      </c>
      <c r="AJ62" s="21">
        <f>VLOOKUP(X62,'SBY Pivot'!$Q:$AD,13,0)</f>
        <v>0</v>
      </c>
      <c r="AK62" s="22">
        <f>VLOOKUP(X62,'SBY Pivot'!$Q:$AD,14,0)</f>
        <v>3</v>
      </c>
    </row>
    <row r="63" spans="2:37" x14ac:dyDescent="0.3">
      <c r="B63" s="18">
        <f t="shared" si="21"/>
        <v>3</v>
      </c>
      <c r="C63" s="19" t="s">
        <v>96</v>
      </c>
      <c r="D63" s="20">
        <f>VLOOKUP(C63,'SBY Pivot'!$A:$O,2,0)</f>
        <v>1776</v>
      </c>
      <c r="E63" s="21">
        <f>VLOOKUP(C63,'SBY Pivot'!$A:$O,3,0)</f>
        <v>57</v>
      </c>
      <c r="F63" s="21">
        <f>VLOOKUP(C63,'SBY Pivot'!$A:$O,4,0)</f>
        <v>311</v>
      </c>
      <c r="G63" s="21">
        <f>VLOOKUP(C63,'SBY Pivot'!$A:$O,5,0)</f>
        <v>125</v>
      </c>
      <c r="H63" s="21">
        <f>VLOOKUP(C63,'SBY Pivot'!$A:$O,6,0)</f>
        <v>212</v>
      </c>
      <c r="I63" s="21">
        <f>VLOOKUP(C63,'SBY Pivot'!$A:$O,7,0)</f>
        <v>103</v>
      </c>
      <c r="J63" s="21">
        <f>VLOOKUP(C63,'SBY Pivot'!$A:$O,8,0)</f>
        <v>15</v>
      </c>
      <c r="K63" s="21">
        <f>VLOOKUP(C63,'SBY Pivot'!$A:$O,9,0)</f>
        <v>0</v>
      </c>
      <c r="L63" s="21">
        <f>VLOOKUP(C63,'SBY Pivot'!$A:$O,10,0)</f>
        <v>0</v>
      </c>
      <c r="M63" s="21">
        <f>VLOOKUP(C63,'SBY Pivot'!$A:$O,11,0)</f>
        <v>0</v>
      </c>
      <c r="N63" s="21">
        <f>VLOOKUP(C63,'SBY Pivot'!$A:$O,12,0)</f>
        <v>0</v>
      </c>
      <c r="O63" s="21">
        <f>VLOOKUP(C63,'SBY Pivot'!$A:$O,13,0)</f>
        <v>0</v>
      </c>
      <c r="P63" s="21">
        <f>VLOOKUP(C63,'SBY Pivot'!$A:$O,14,0)</f>
        <v>0</v>
      </c>
      <c r="Q63" s="22">
        <f t="shared" si="22"/>
        <v>823</v>
      </c>
      <c r="R63" s="23">
        <f t="shared" si="23"/>
        <v>0.46340090090090091</v>
      </c>
      <c r="W63" s="18">
        <f t="shared" si="24"/>
        <v>3</v>
      </c>
      <c r="X63" s="19" t="str">
        <f t="shared" si="25"/>
        <v>Sunil Biswas</v>
      </c>
      <c r="Y63" s="21">
        <f>VLOOKUP(X63,'SBY Pivot'!$Q:$AD,2,0)</f>
        <v>9</v>
      </c>
      <c r="Z63" s="21">
        <f>VLOOKUP(X63,'SBY Pivot'!$Q:$AD,3,0)</f>
        <v>10</v>
      </c>
      <c r="AA63" s="21">
        <f>VLOOKUP(X63,'SBY Pivot'!$Q:$AD,4,0)</f>
        <v>11</v>
      </c>
      <c r="AB63" s="21">
        <f>VLOOKUP(X63,'SBY Pivot'!$Q:$AD,5,0)</f>
        <v>12</v>
      </c>
      <c r="AC63" s="21">
        <f>VLOOKUP(X63,'SBY Pivot'!$Q:$AD,6,0)</f>
        <v>11</v>
      </c>
      <c r="AD63" s="21">
        <f>VLOOKUP(X63,'SBY Pivot'!$Q:$AD,7,0)</f>
        <v>7</v>
      </c>
      <c r="AE63" s="21">
        <f>VLOOKUP(X63,'SBY Pivot'!$Q:$AD,8,0)</f>
        <v>0</v>
      </c>
      <c r="AF63" s="21">
        <f>VLOOKUP(X63,'SBY Pivot'!$Q:$AD,9,0)</f>
        <v>0</v>
      </c>
      <c r="AG63" s="21">
        <f>VLOOKUP(X63,'SBY Pivot'!$Q:$AD,10,0)</f>
        <v>0</v>
      </c>
      <c r="AH63" s="21">
        <f>VLOOKUP(X63,'SBY Pivot'!$Q:$AD,11,0)</f>
        <v>0</v>
      </c>
      <c r="AI63" s="21">
        <f>VLOOKUP(X63,'SBY Pivot'!$Q:$AD,12,0)</f>
        <v>0</v>
      </c>
      <c r="AJ63" s="21">
        <f>VLOOKUP(X63,'SBY Pivot'!$Q:$AD,13,0)</f>
        <v>0</v>
      </c>
      <c r="AK63" s="22">
        <f>VLOOKUP(X63,'SBY Pivot'!$Q:$AD,14,0)</f>
        <v>14</v>
      </c>
    </row>
    <row r="64" spans="2:37" x14ac:dyDescent="0.3">
      <c r="B64" s="18">
        <f t="shared" si="21"/>
        <v>4</v>
      </c>
      <c r="C64" s="19" t="s">
        <v>102</v>
      </c>
      <c r="D64" s="20">
        <f>VLOOKUP(C64,'SBY Pivot'!$A:$O,2,0)</f>
        <v>432</v>
      </c>
      <c r="E64" s="21">
        <f>VLOOKUP(C64,'SBY Pivot'!$A:$O,3,0)</f>
        <v>12</v>
      </c>
      <c r="F64" s="21">
        <f>VLOOKUP(C64,'SBY Pivot'!$A:$O,4,0)</f>
        <v>51</v>
      </c>
      <c r="G64" s="21">
        <f>VLOOKUP(C64,'SBY Pivot'!$A:$O,5,0)</f>
        <v>42</v>
      </c>
      <c r="H64" s="21">
        <f>VLOOKUP(C64,'SBY Pivot'!$A:$O,6,0)</f>
        <v>28</v>
      </c>
      <c r="I64" s="21">
        <f>VLOOKUP(C64,'SBY Pivot'!$A:$O,7,0)</f>
        <v>42</v>
      </c>
      <c r="J64" s="21">
        <f>VLOOKUP(C64,'SBY Pivot'!$A:$O,8,0)</f>
        <v>8</v>
      </c>
      <c r="K64" s="21">
        <f>VLOOKUP(C64,'SBY Pivot'!$A:$O,9,0)</f>
        <v>0</v>
      </c>
      <c r="L64" s="21">
        <f>VLOOKUP(C64,'SBY Pivot'!$A:$O,10,0)</f>
        <v>0</v>
      </c>
      <c r="M64" s="21">
        <f>VLOOKUP(C64,'SBY Pivot'!$A:$O,11,0)</f>
        <v>0</v>
      </c>
      <c r="N64" s="21">
        <f>VLOOKUP(C64,'SBY Pivot'!$A:$O,12,0)</f>
        <v>0</v>
      </c>
      <c r="O64" s="21">
        <f>VLOOKUP(C64,'SBY Pivot'!$A:$O,13,0)</f>
        <v>0</v>
      </c>
      <c r="P64" s="21">
        <f>VLOOKUP(C64,'SBY Pivot'!$A:$O,14,0)</f>
        <v>0</v>
      </c>
      <c r="Q64" s="22">
        <f t="shared" si="22"/>
        <v>183</v>
      </c>
      <c r="R64" s="23">
        <f t="shared" si="23"/>
        <v>0.4236111111111111</v>
      </c>
      <c r="W64" s="18">
        <f t="shared" si="24"/>
        <v>4</v>
      </c>
      <c r="X64" s="19" t="str">
        <f t="shared" si="25"/>
        <v>Rajendra Kumar Bapari</v>
      </c>
      <c r="Y64" s="21">
        <f>VLOOKUP(X64,'SBY Pivot'!$Q:$AD,2,0)</f>
        <v>3</v>
      </c>
      <c r="Z64" s="21">
        <f>VLOOKUP(X64,'SBY Pivot'!$Q:$AD,3,0)</f>
        <v>3</v>
      </c>
      <c r="AA64" s="21">
        <f>VLOOKUP(X64,'SBY Pivot'!$Q:$AD,4,0)</f>
        <v>3</v>
      </c>
      <c r="AB64" s="21">
        <f>VLOOKUP(X64,'SBY Pivot'!$Q:$AD,5,0)</f>
        <v>3</v>
      </c>
      <c r="AC64" s="21">
        <f>VLOOKUP(X64,'SBY Pivot'!$Q:$AD,6,0)</f>
        <v>3</v>
      </c>
      <c r="AD64" s="21">
        <f>VLOOKUP(X64,'SBY Pivot'!$Q:$AD,7,0)</f>
        <v>3</v>
      </c>
      <c r="AE64" s="21">
        <f>VLOOKUP(X64,'SBY Pivot'!$Q:$AD,8,0)</f>
        <v>0</v>
      </c>
      <c r="AF64" s="21">
        <f>VLOOKUP(X64,'SBY Pivot'!$Q:$AD,9,0)</f>
        <v>0</v>
      </c>
      <c r="AG64" s="21">
        <f>VLOOKUP(X64,'SBY Pivot'!$Q:$AD,10,0)</f>
        <v>0</v>
      </c>
      <c r="AH64" s="21">
        <f>VLOOKUP(X64,'SBY Pivot'!$Q:$AD,11,0)</f>
        <v>0</v>
      </c>
      <c r="AI64" s="21">
        <f>VLOOKUP(X64,'SBY Pivot'!$Q:$AD,12,0)</f>
        <v>0</v>
      </c>
      <c r="AJ64" s="21">
        <f>VLOOKUP(X64,'SBY Pivot'!$Q:$AD,13,0)</f>
        <v>0</v>
      </c>
      <c r="AK64" s="22">
        <f>VLOOKUP(X64,'SBY Pivot'!$Q:$AD,14,0)</f>
        <v>3</v>
      </c>
    </row>
    <row r="65" spans="2:37" x14ac:dyDescent="0.3">
      <c r="B65" s="18">
        <f t="shared" si="21"/>
        <v>5</v>
      </c>
      <c r="C65" s="19" t="s">
        <v>93</v>
      </c>
      <c r="D65" s="20">
        <f>VLOOKUP(C65,'SBY Pivot'!$A:$O,2,0)</f>
        <v>768</v>
      </c>
      <c r="E65" s="21">
        <f>VLOOKUP(C65,'SBY Pivot'!$A:$O,3,0)</f>
        <v>43</v>
      </c>
      <c r="F65" s="21">
        <f>VLOOKUP(C65,'SBY Pivot'!$A:$O,4,0)</f>
        <v>58</v>
      </c>
      <c r="G65" s="21">
        <f>VLOOKUP(C65,'SBY Pivot'!$A:$O,5,0)</f>
        <v>66</v>
      </c>
      <c r="H65" s="21">
        <f>VLOOKUP(C65,'SBY Pivot'!$A:$O,6,0)</f>
        <v>75</v>
      </c>
      <c r="I65" s="21">
        <f>VLOOKUP(C65,'SBY Pivot'!$A:$O,7,0)</f>
        <v>68</v>
      </c>
      <c r="J65" s="21">
        <f>VLOOKUP(C65,'SBY Pivot'!$A:$O,8,0)</f>
        <v>8</v>
      </c>
      <c r="K65" s="21">
        <f>VLOOKUP(C65,'SBY Pivot'!$A:$O,9,0)</f>
        <v>0</v>
      </c>
      <c r="L65" s="21">
        <f>VLOOKUP(C65,'SBY Pivot'!$A:$O,10,0)</f>
        <v>0</v>
      </c>
      <c r="M65" s="21">
        <f>VLOOKUP(C65,'SBY Pivot'!$A:$O,11,0)</f>
        <v>0</v>
      </c>
      <c r="N65" s="21">
        <f>VLOOKUP(C65,'SBY Pivot'!$A:$O,12,0)</f>
        <v>0</v>
      </c>
      <c r="O65" s="21">
        <f>VLOOKUP(C65,'SBY Pivot'!$A:$O,13,0)</f>
        <v>0</v>
      </c>
      <c r="P65" s="21">
        <f>VLOOKUP(C65,'SBY Pivot'!$A:$O,14,0)</f>
        <v>0</v>
      </c>
      <c r="Q65" s="22">
        <f t="shared" si="22"/>
        <v>318</v>
      </c>
      <c r="R65" s="23">
        <f t="shared" si="23"/>
        <v>0.4140625</v>
      </c>
      <c r="W65" s="18">
        <f t="shared" si="24"/>
        <v>5</v>
      </c>
      <c r="X65" s="19" t="str">
        <f t="shared" si="25"/>
        <v>Manindra Nath Barman</v>
      </c>
      <c r="Y65" s="21">
        <f>VLOOKUP(X65,'SBY Pivot'!$Q:$AD,2,0)</f>
        <v>3</v>
      </c>
      <c r="Z65" s="21">
        <f>VLOOKUP(X65,'SBY Pivot'!$Q:$AD,3,0)</f>
        <v>3</v>
      </c>
      <c r="AA65" s="21">
        <f>VLOOKUP(X65,'SBY Pivot'!$Q:$AD,4,0)</f>
        <v>4</v>
      </c>
      <c r="AB65" s="21">
        <f>VLOOKUP(X65,'SBY Pivot'!$Q:$AD,5,0)</f>
        <v>5</v>
      </c>
      <c r="AC65" s="21">
        <f>VLOOKUP(X65,'SBY Pivot'!$Q:$AD,6,0)</f>
        <v>6</v>
      </c>
      <c r="AD65" s="21">
        <f>VLOOKUP(X65,'SBY Pivot'!$Q:$AD,7,0)</f>
        <v>4</v>
      </c>
      <c r="AE65" s="21">
        <f>VLOOKUP(X65,'SBY Pivot'!$Q:$AD,8,0)</f>
        <v>0</v>
      </c>
      <c r="AF65" s="21">
        <f>VLOOKUP(X65,'SBY Pivot'!$Q:$AD,9,0)</f>
        <v>0</v>
      </c>
      <c r="AG65" s="21">
        <f>VLOOKUP(X65,'SBY Pivot'!$Q:$AD,10,0)</f>
        <v>0</v>
      </c>
      <c r="AH65" s="21">
        <f>VLOOKUP(X65,'SBY Pivot'!$Q:$AD,11,0)</f>
        <v>0</v>
      </c>
      <c r="AI65" s="21">
        <f>VLOOKUP(X65,'SBY Pivot'!$Q:$AD,12,0)</f>
        <v>0</v>
      </c>
      <c r="AJ65" s="21">
        <f>VLOOKUP(X65,'SBY Pivot'!$Q:$AD,13,0)</f>
        <v>0</v>
      </c>
      <c r="AK65" s="22">
        <f>VLOOKUP(X65,'SBY Pivot'!$Q:$AD,14,0)</f>
        <v>6</v>
      </c>
    </row>
    <row r="66" spans="2:37" x14ac:dyDescent="0.3">
      <c r="B66" s="18">
        <f t="shared" si="21"/>
        <v>6</v>
      </c>
      <c r="C66" s="19" t="s">
        <v>103</v>
      </c>
      <c r="D66" s="20">
        <f>VLOOKUP(C66,'SBY Pivot'!$A:$O,2,0)</f>
        <v>144</v>
      </c>
      <c r="E66" s="21">
        <f>VLOOKUP(C66,'SBY Pivot'!$A:$O,3,0)</f>
        <v>10</v>
      </c>
      <c r="F66" s="21">
        <f>VLOOKUP(C66,'SBY Pivot'!$A:$O,4,0)</f>
        <v>18</v>
      </c>
      <c r="G66" s="21">
        <f>VLOOKUP(C66,'SBY Pivot'!$A:$O,5,0)</f>
        <v>7</v>
      </c>
      <c r="H66" s="21">
        <f>VLOOKUP(C66,'SBY Pivot'!$A:$O,6,0)</f>
        <v>8</v>
      </c>
      <c r="I66" s="21">
        <f>VLOOKUP(C66,'SBY Pivot'!$A:$O,7,0)</f>
        <v>10</v>
      </c>
      <c r="J66" s="21">
        <f>VLOOKUP(C66,'SBY Pivot'!$A:$O,8,0)</f>
        <v>1</v>
      </c>
      <c r="K66" s="21">
        <f>VLOOKUP(C66,'SBY Pivot'!$A:$O,9,0)</f>
        <v>0</v>
      </c>
      <c r="L66" s="21">
        <f>VLOOKUP(C66,'SBY Pivot'!$A:$O,10,0)</f>
        <v>0</v>
      </c>
      <c r="M66" s="21">
        <f>VLOOKUP(C66,'SBY Pivot'!$A:$O,11,0)</f>
        <v>0</v>
      </c>
      <c r="N66" s="21">
        <f>VLOOKUP(C66,'SBY Pivot'!$A:$O,12,0)</f>
        <v>0</v>
      </c>
      <c r="O66" s="21">
        <f>VLOOKUP(C66,'SBY Pivot'!$A:$O,13,0)</f>
        <v>0</v>
      </c>
      <c r="P66" s="21">
        <f>VLOOKUP(C66,'SBY Pivot'!$A:$O,14,0)</f>
        <v>0</v>
      </c>
      <c r="Q66" s="22">
        <f t="shared" si="22"/>
        <v>54</v>
      </c>
      <c r="R66" s="23">
        <f t="shared" si="23"/>
        <v>0.375</v>
      </c>
      <c r="T66" s="26"/>
      <c r="U66" s="27"/>
      <c r="W66" s="18">
        <f t="shared" si="24"/>
        <v>6</v>
      </c>
      <c r="X66" s="19" t="str">
        <f t="shared" si="25"/>
        <v>Sanjoy Paul</v>
      </c>
      <c r="Y66" s="21">
        <f>VLOOKUP(X66,'SBY Pivot'!$Q:$AD,2,0)</f>
        <v>1</v>
      </c>
      <c r="Z66" s="21">
        <f>VLOOKUP(X66,'SBY Pivot'!$Q:$AD,3,0)</f>
        <v>1</v>
      </c>
      <c r="AA66" s="21">
        <f>VLOOKUP(X66,'SBY Pivot'!$Q:$AD,4,0)</f>
        <v>1</v>
      </c>
      <c r="AB66" s="21">
        <f>VLOOKUP(X66,'SBY Pivot'!$Q:$AD,5,0)</f>
        <v>1</v>
      </c>
      <c r="AC66" s="21">
        <f>VLOOKUP(X66,'SBY Pivot'!$Q:$AD,6,0)</f>
        <v>1</v>
      </c>
      <c r="AD66" s="21">
        <f>VLOOKUP(X66,'SBY Pivot'!$Q:$AD,7,0)</f>
        <v>1</v>
      </c>
      <c r="AE66" s="21">
        <f>VLOOKUP(X66,'SBY Pivot'!$Q:$AD,8,0)</f>
        <v>0</v>
      </c>
      <c r="AF66" s="21">
        <f>VLOOKUP(X66,'SBY Pivot'!$Q:$AD,9,0)</f>
        <v>0</v>
      </c>
      <c r="AG66" s="21">
        <f>VLOOKUP(X66,'SBY Pivot'!$Q:$AD,10,0)</f>
        <v>0</v>
      </c>
      <c r="AH66" s="21">
        <f>VLOOKUP(X66,'SBY Pivot'!$Q:$AD,11,0)</f>
        <v>0</v>
      </c>
      <c r="AI66" s="21">
        <f>VLOOKUP(X66,'SBY Pivot'!$Q:$AD,12,0)</f>
        <v>0</v>
      </c>
      <c r="AJ66" s="21">
        <f>VLOOKUP(X66,'SBY Pivot'!$Q:$AD,13,0)</f>
        <v>0</v>
      </c>
      <c r="AK66" s="22">
        <f>VLOOKUP(X66,'SBY Pivot'!$Q:$AD,14,0)</f>
        <v>1</v>
      </c>
    </row>
    <row r="67" spans="2:37" x14ac:dyDescent="0.3">
      <c r="B67" s="18">
        <f t="shared" si="21"/>
        <v>7</v>
      </c>
      <c r="C67" s="19" t="s">
        <v>455</v>
      </c>
      <c r="D67" s="20">
        <f>VLOOKUP(C67,'SBY Pivot'!$A:$O,2,0)</f>
        <v>2208</v>
      </c>
      <c r="E67" s="21">
        <f>VLOOKUP(C67,'SBY Pivot'!$A:$O,3,0)</f>
        <v>95</v>
      </c>
      <c r="F67" s="21">
        <f>VLOOKUP(C67,'SBY Pivot'!$A:$O,4,0)</f>
        <v>240</v>
      </c>
      <c r="G67" s="21">
        <f>VLOOKUP(C67,'SBY Pivot'!$A:$O,5,0)</f>
        <v>186</v>
      </c>
      <c r="H67" s="21">
        <f>VLOOKUP(C67,'SBY Pivot'!$A:$O,6,0)</f>
        <v>165</v>
      </c>
      <c r="I67" s="21">
        <f>VLOOKUP(C67,'SBY Pivot'!$A:$O,7,0)</f>
        <v>118</v>
      </c>
      <c r="J67" s="21">
        <f>VLOOKUP(C67,'SBY Pivot'!$A:$O,8,0)</f>
        <v>17</v>
      </c>
      <c r="K67" s="21">
        <f>VLOOKUP(C67,'SBY Pivot'!$A:$O,9,0)</f>
        <v>0</v>
      </c>
      <c r="L67" s="21">
        <f>VLOOKUP(C67,'SBY Pivot'!$A:$O,10,0)</f>
        <v>0</v>
      </c>
      <c r="M67" s="21">
        <f>VLOOKUP(C67,'SBY Pivot'!$A:$O,11,0)</f>
        <v>0</v>
      </c>
      <c r="N67" s="21">
        <f>VLOOKUP(C67,'SBY Pivot'!$A:$O,12,0)</f>
        <v>0</v>
      </c>
      <c r="O67" s="21">
        <f>VLOOKUP(C67,'SBY Pivot'!$A:$O,13,0)</f>
        <v>0</v>
      </c>
      <c r="P67" s="21">
        <f>VLOOKUP(C67,'SBY Pivot'!$A:$O,14,0)</f>
        <v>0</v>
      </c>
      <c r="Q67" s="22">
        <f t="shared" si="22"/>
        <v>821</v>
      </c>
      <c r="R67" s="23">
        <f t="shared" si="23"/>
        <v>0.37182971014492755</v>
      </c>
      <c r="W67" s="18">
        <f t="shared" si="24"/>
        <v>7</v>
      </c>
      <c r="X67" s="19" t="str">
        <f t="shared" si="25"/>
        <v>Souvik Maity</v>
      </c>
      <c r="Y67" s="21">
        <f>VLOOKUP(X67,'SBY Pivot'!$Q:$AD,2,0)</f>
        <v>14</v>
      </c>
      <c r="Z67" s="21">
        <f>VLOOKUP(X67,'SBY Pivot'!$Q:$AD,3,0)</f>
        <v>15</v>
      </c>
      <c r="AA67" s="21">
        <f>VLOOKUP(X67,'SBY Pivot'!$Q:$AD,4,0)</f>
        <v>13</v>
      </c>
      <c r="AB67" s="21">
        <f>VLOOKUP(X67,'SBY Pivot'!$Q:$AD,5,0)</f>
        <v>12</v>
      </c>
      <c r="AC67" s="21">
        <f>VLOOKUP(X67,'SBY Pivot'!$Q:$AD,6,0)</f>
        <v>14</v>
      </c>
      <c r="AD67" s="21">
        <f>VLOOKUP(X67,'SBY Pivot'!$Q:$AD,7,0)</f>
        <v>7</v>
      </c>
      <c r="AE67" s="21">
        <f>VLOOKUP(X67,'SBY Pivot'!$Q:$AD,8,0)</f>
        <v>0</v>
      </c>
      <c r="AF67" s="21">
        <f>VLOOKUP(X67,'SBY Pivot'!$Q:$AD,9,0)</f>
        <v>0</v>
      </c>
      <c r="AG67" s="21">
        <f>VLOOKUP(X67,'SBY Pivot'!$Q:$AD,10,0)</f>
        <v>0</v>
      </c>
      <c r="AH67" s="21">
        <f>VLOOKUP(X67,'SBY Pivot'!$Q:$AD,11,0)</f>
        <v>0</v>
      </c>
      <c r="AI67" s="21">
        <f>VLOOKUP(X67,'SBY Pivot'!$Q:$AD,12,0)</f>
        <v>0</v>
      </c>
      <c r="AJ67" s="21">
        <f>VLOOKUP(X67,'SBY Pivot'!$Q:$AD,13,0)</f>
        <v>0</v>
      </c>
      <c r="AK67" s="22">
        <f>VLOOKUP(X67,'SBY Pivot'!$Q:$AD,14,0)</f>
        <v>16</v>
      </c>
    </row>
    <row r="68" spans="2:37" x14ac:dyDescent="0.3">
      <c r="B68" s="18">
        <f t="shared" si="21"/>
        <v>8</v>
      </c>
      <c r="C68" s="19" t="s">
        <v>97</v>
      </c>
      <c r="D68" s="20">
        <f>VLOOKUP(C68,'SBY Pivot'!$A:$O,2,0)</f>
        <v>672</v>
      </c>
      <c r="E68" s="21">
        <f>VLOOKUP(C68,'SBY Pivot'!$A:$O,3,0)</f>
        <v>55</v>
      </c>
      <c r="F68" s="21">
        <f>VLOOKUP(C68,'SBY Pivot'!$A:$O,4,0)</f>
        <v>75</v>
      </c>
      <c r="G68" s="21">
        <f>VLOOKUP(C68,'SBY Pivot'!$A:$O,5,0)</f>
        <v>34</v>
      </c>
      <c r="H68" s="21">
        <f>VLOOKUP(C68,'SBY Pivot'!$A:$O,6,0)</f>
        <v>27</v>
      </c>
      <c r="I68" s="21">
        <f>VLOOKUP(C68,'SBY Pivot'!$A:$O,7,0)</f>
        <v>51</v>
      </c>
      <c r="J68" s="21">
        <f>VLOOKUP(C68,'SBY Pivot'!$A:$O,8,0)</f>
        <v>6</v>
      </c>
      <c r="K68" s="21">
        <f>VLOOKUP(C68,'SBY Pivot'!$A:$O,9,0)</f>
        <v>0</v>
      </c>
      <c r="L68" s="21">
        <f>VLOOKUP(C68,'SBY Pivot'!$A:$O,10,0)</f>
        <v>0</v>
      </c>
      <c r="M68" s="21">
        <f>VLOOKUP(C68,'SBY Pivot'!$A:$O,11,0)</f>
        <v>0</v>
      </c>
      <c r="N68" s="21">
        <f>VLOOKUP(C68,'SBY Pivot'!$A:$O,12,0)</f>
        <v>0</v>
      </c>
      <c r="O68" s="21">
        <f>VLOOKUP(C68,'SBY Pivot'!$A:$O,13,0)</f>
        <v>0</v>
      </c>
      <c r="P68" s="21">
        <f>VLOOKUP(C68,'SBY Pivot'!$A:$O,14,0)</f>
        <v>0</v>
      </c>
      <c r="Q68" s="22">
        <f t="shared" si="22"/>
        <v>248</v>
      </c>
      <c r="R68" s="23">
        <f t="shared" si="23"/>
        <v>0.36904761904761907</v>
      </c>
      <c r="W68" s="18">
        <f t="shared" si="24"/>
        <v>8</v>
      </c>
      <c r="X68" s="19" t="str">
        <f t="shared" si="25"/>
        <v>Chandi Charan Mahato</v>
      </c>
      <c r="Y68" s="21">
        <f>VLOOKUP(X68,'SBY Pivot'!$Q:$AD,2,0)</f>
        <v>4</v>
      </c>
      <c r="Z68" s="21">
        <f>VLOOKUP(X68,'SBY Pivot'!$Q:$AD,3,0)</f>
        <v>5</v>
      </c>
      <c r="AA68" s="21">
        <f>VLOOKUP(X68,'SBY Pivot'!$Q:$AD,4,0)</f>
        <v>4</v>
      </c>
      <c r="AB68" s="21">
        <f>VLOOKUP(X68,'SBY Pivot'!$Q:$AD,5,0)</f>
        <v>2</v>
      </c>
      <c r="AC68" s="21">
        <f>VLOOKUP(X68,'SBY Pivot'!$Q:$AD,6,0)</f>
        <v>4</v>
      </c>
      <c r="AD68" s="21">
        <f>VLOOKUP(X68,'SBY Pivot'!$Q:$AD,7,0)</f>
        <v>2</v>
      </c>
      <c r="AE68" s="21">
        <f>VLOOKUP(X68,'SBY Pivot'!$Q:$AD,8,0)</f>
        <v>0</v>
      </c>
      <c r="AF68" s="21">
        <f>VLOOKUP(X68,'SBY Pivot'!$Q:$AD,9,0)</f>
        <v>0</v>
      </c>
      <c r="AG68" s="21">
        <f>VLOOKUP(X68,'SBY Pivot'!$Q:$AD,10,0)</f>
        <v>0</v>
      </c>
      <c r="AH68" s="21">
        <f>VLOOKUP(X68,'SBY Pivot'!$Q:$AD,11,0)</f>
        <v>0</v>
      </c>
      <c r="AI68" s="21">
        <f>VLOOKUP(X68,'SBY Pivot'!$Q:$AD,12,0)</f>
        <v>0</v>
      </c>
      <c r="AJ68" s="21">
        <f>VLOOKUP(X68,'SBY Pivot'!$Q:$AD,13,0)</f>
        <v>0</v>
      </c>
      <c r="AK68" s="22">
        <f>VLOOKUP(X68,'SBY Pivot'!$Q:$AD,14,0)</f>
        <v>5</v>
      </c>
    </row>
    <row r="69" spans="2:37" x14ac:dyDescent="0.3">
      <c r="B69" s="18">
        <f t="shared" si="21"/>
        <v>9</v>
      </c>
      <c r="C69" s="19" t="s">
        <v>100</v>
      </c>
      <c r="D69" s="20">
        <f>VLOOKUP(C69,'SBY Pivot'!$A:$O,2,0)</f>
        <v>288</v>
      </c>
      <c r="E69" s="21">
        <f>VLOOKUP(C69,'SBY Pivot'!$A:$O,3,0)</f>
        <v>8</v>
      </c>
      <c r="F69" s="21">
        <f>VLOOKUP(C69,'SBY Pivot'!$A:$O,4,0)</f>
        <v>22</v>
      </c>
      <c r="G69" s="21">
        <f>VLOOKUP(C69,'SBY Pivot'!$A:$O,5,0)</f>
        <v>21</v>
      </c>
      <c r="H69" s="21">
        <f>VLOOKUP(C69,'SBY Pivot'!$A:$O,6,0)</f>
        <v>26</v>
      </c>
      <c r="I69" s="21">
        <f>VLOOKUP(C69,'SBY Pivot'!$A:$O,7,0)</f>
        <v>6</v>
      </c>
      <c r="J69" s="21">
        <f>VLOOKUP(C69,'SBY Pivot'!$A:$O,8,0)</f>
        <v>8</v>
      </c>
      <c r="K69" s="21">
        <f>VLOOKUP(C69,'SBY Pivot'!$A:$O,9,0)</f>
        <v>0</v>
      </c>
      <c r="L69" s="21">
        <f>VLOOKUP(C69,'SBY Pivot'!$A:$O,10,0)</f>
        <v>0</v>
      </c>
      <c r="M69" s="21">
        <f>VLOOKUP(C69,'SBY Pivot'!$A:$O,11,0)</f>
        <v>0</v>
      </c>
      <c r="N69" s="21">
        <f>VLOOKUP(C69,'SBY Pivot'!$A:$O,12,0)</f>
        <v>0</v>
      </c>
      <c r="O69" s="21">
        <f>VLOOKUP(C69,'SBY Pivot'!$A:$O,13,0)</f>
        <v>0</v>
      </c>
      <c r="P69" s="21">
        <f>VLOOKUP(C69,'SBY Pivot'!$A:$O,14,0)</f>
        <v>0</v>
      </c>
      <c r="Q69" s="22">
        <f t="shared" si="22"/>
        <v>91</v>
      </c>
      <c r="R69" s="23">
        <f t="shared" si="23"/>
        <v>0.31597222222222221</v>
      </c>
      <c r="W69" s="18">
        <f t="shared" si="24"/>
        <v>9</v>
      </c>
      <c r="X69" s="19" t="str">
        <f t="shared" si="25"/>
        <v>Rajiul Momin</v>
      </c>
      <c r="Y69" s="21">
        <f>VLOOKUP(X69,'SBY Pivot'!$Q:$AD,2,0)</f>
        <v>1</v>
      </c>
      <c r="Z69" s="21">
        <f>VLOOKUP(X69,'SBY Pivot'!$Q:$AD,3,0)</f>
        <v>2</v>
      </c>
      <c r="AA69" s="21">
        <f>VLOOKUP(X69,'SBY Pivot'!$Q:$AD,4,0)</f>
        <v>2</v>
      </c>
      <c r="AB69" s="21">
        <f>VLOOKUP(X69,'SBY Pivot'!$Q:$AD,5,0)</f>
        <v>2</v>
      </c>
      <c r="AC69" s="21">
        <f>VLOOKUP(X69,'SBY Pivot'!$Q:$AD,6,0)</f>
        <v>2</v>
      </c>
      <c r="AD69" s="21">
        <f>VLOOKUP(X69,'SBY Pivot'!$Q:$AD,7,0)</f>
        <v>2</v>
      </c>
      <c r="AE69" s="21">
        <f>VLOOKUP(X69,'SBY Pivot'!$Q:$AD,8,0)</f>
        <v>0</v>
      </c>
      <c r="AF69" s="21">
        <f>VLOOKUP(X69,'SBY Pivot'!$Q:$AD,9,0)</f>
        <v>0</v>
      </c>
      <c r="AG69" s="21">
        <f>VLOOKUP(X69,'SBY Pivot'!$Q:$AD,10,0)</f>
        <v>0</v>
      </c>
      <c r="AH69" s="21">
        <f>VLOOKUP(X69,'SBY Pivot'!$Q:$AD,11,0)</f>
        <v>0</v>
      </c>
      <c r="AI69" s="21">
        <f>VLOOKUP(X69,'SBY Pivot'!$Q:$AD,12,0)</f>
        <v>0</v>
      </c>
      <c r="AJ69" s="21">
        <f>VLOOKUP(X69,'SBY Pivot'!$Q:$AD,13,0)</f>
        <v>0</v>
      </c>
      <c r="AK69" s="22">
        <f>VLOOKUP(X69,'SBY Pivot'!$Q:$AD,14,0)</f>
        <v>2</v>
      </c>
    </row>
    <row r="70" spans="2:37" x14ac:dyDescent="0.3">
      <c r="B70" s="18">
        <f t="shared" si="21"/>
        <v>10</v>
      </c>
      <c r="C70" s="19" t="s">
        <v>457</v>
      </c>
      <c r="D70" s="20">
        <f>VLOOKUP(C70,'SBY Pivot'!$A:$O,2,0)</f>
        <v>2736</v>
      </c>
      <c r="E70" s="21">
        <f>VLOOKUP(C70,'SBY Pivot'!$A:$O,3,0)</f>
        <v>76</v>
      </c>
      <c r="F70" s="21">
        <f>VLOOKUP(C70,'SBY Pivot'!$A:$O,4,0)</f>
        <v>236</v>
      </c>
      <c r="G70" s="21">
        <f>VLOOKUP(C70,'SBY Pivot'!$A:$O,5,0)</f>
        <v>147</v>
      </c>
      <c r="H70" s="21">
        <f>VLOOKUP(C70,'SBY Pivot'!$A:$O,6,0)</f>
        <v>164</v>
      </c>
      <c r="I70" s="21">
        <f>VLOOKUP(C70,'SBY Pivot'!$A:$O,7,0)</f>
        <v>176</v>
      </c>
      <c r="J70" s="21">
        <f>VLOOKUP(C70,'SBY Pivot'!$A:$O,8,0)</f>
        <v>34</v>
      </c>
      <c r="K70" s="21">
        <f>VLOOKUP(C70,'SBY Pivot'!$A:$O,9,0)</f>
        <v>0</v>
      </c>
      <c r="L70" s="21">
        <f>VLOOKUP(C70,'SBY Pivot'!$A:$O,10,0)</f>
        <v>0</v>
      </c>
      <c r="M70" s="21">
        <f>VLOOKUP(C70,'SBY Pivot'!$A:$O,11,0)</f>
        <v>0</v>
      </c>
      <c r="N70" s="21">
        <f>VLOOKUP(C70,'SBY Pivot'!$A:$O,12,0)</f>
        <v>0</v>
      </c>
      <c r="O70" s="21">
        <f>VLOOKUP(C70,'SBY Pivot'!$A:$O,13,0)</f>
        <v>0</v>
      </c>
      <c r="P70" s="21">
        <f>VLOOKUP(C70,'SBY Pivot'!$A:$O,14,0)</f>
        <v>0</v>
      </c>
      <c r="Q70" s="22">
        <f t="shared" si="22"/>
        <v>833</v>
      </c>
      <c r="R70" s="23">
        <f t="shared" si="23"/>
        <v>0.30445906432748537</v>
      </c>
      <c r="W70" s="18">
        <f t="shared" si="24"/>
        <v>10</v>
      </c>
      <c r="X70" s="19" t="str">
        <f t="shared" si="25"/>
        <v>Under Office (W Medinipur)</v>
      </c>
      <c r="Y70" s="21">
        <f>VLOOKUP(X70,'SBY Pivot'!$Q:$AD,2,0)</f>
        <v>14</v>
      </c>
      <c r="Z70" s="21">
        <f>VLOOKUP(X70,'SBY Pivot'!$Q:$AD,3,0)</f>
        <v>19</v>
      </c>
      <c r="AA70" s="21">
        <f>VLOOKUP(X70,'SBY Pivot'!$Q:$AD,4,0)</f>
        <v>17</v>
      </c>
      <c r="AB70" s="21">
        <f>VLOOKUP(X70,'SBY Pivot'!$Q:$AD,5,0)</f>
        <v>16</v>
      </c>
      <c r="AC70" s="21">
        <f>VLOOKUP(X70,'SBY Pivot'!$Q:$AD,6,0)</f>
        <v>17</v>
      </c>
      <c r="AD70" s="21">
        <f>VLOOKUP(X70,'SBY Pivot'!$Q:$AD,7,0)</f>
        <v>11</v>
      </c>
      <c r="AE70" s="21">
        <f>VLOOKUP(X70,'SBY Pivot'!$Q:$AD,8,0)</f>
        <v>0</v>
      </c>
      <c r="AF70" s="21">
        <f>VLOOKUP(X70,'SBY Pivot'!$Q:$AD,9,0)</f>
        <v>0</v>
      </c>
      <c r="AG70" s="21">
        <f>VLOOKUP(X70,'SBY Pivot'!$Q:$AD,10,0)</f>
        <v>0</v>
      </c>
      <c r="AH70" s="21">
        <f>VLOOKUP(X70,'SBY Pivot'!$Q:$AD,11,0)</f>
        <v>0</v>
      </c>
      <c r="AI70" s="21">
        <f>VLOOKUP(X70,'SBY Pivot'!$Q:$AD,12,0)</f>
        <v>0</v>
      </c>
      <c r="AJ70" s="21">
        <f>VLOOKUP(X70,'SBY Pivot'!$Q:$AD,13,0)</f>
        <v>0</v>
      </c>
      <c r="AK70" s="22">
        <f>VLOOKUP(X70,'SBY Pivot'!$Q:$AD,14,0)</f>
        <v>19</v>
      </c>
    </row>
    <row r="71" spans="2:37" x14ac:dyDescent="0.3">
      <c r="B71" s="18">
        <f t="shared" si="21"/>
        <v>11</v>
      </c>
      <c r="C71" s="19" t="s">
        <v>345</v>
      </c>
      <c r="D71" s="20">
        <f>VLOOKUP(C71,'SBY Pivot'!$A:$O,2,0)</f>
        <v>912</v>
      </c>
      <c r="E71" s="21">
        <f>VLOOKUP(C71,'SBY Pivot'!$A:$O,3,0)</f>
        <v>29</v>
      </c>
      <c r="F71" s="21">
        <f>VLOOKUP(C71,'SBY Pivot'!$A:$O,4,0)</f>
        <v>29</v>
      </c>
      <c r="G71" s="21">
        <f>VLOOKUP(C71,'SBY Pivot'!$A:$O,5,0)</f>
        <v>50</v>
      </c>
      <c r="H71" s="21">
        <f>VLOOKUP(C71,'SBY Pivot'!$A:$O,6,0)</f>
        <v>36</v>
      </c>
      <c r="I71" s="21">
        <f>VLOOKUP(C71,'SBY Pivot'!$A:$O,7,0)</f>
        <v>32</v>
      </c>
      <c r="J71" s="21">
        <f>VLOOKUP(C71,'SBY Pivot'!$A:$O,8,0)</f>
        <v>8</v>
      </c>
      <c r="K71" s="21">
        <f>VLOOKUP(C71,'SBY Pivot'!$A:$O,9,0)</f>
        <v>0</v>
      </c>
      <c r="L71" s="21">
        <f>VLOOKUP(C71,'SBY Pivot'!$A:$O,10,0)</f>
        <v>0</v>
      </c>
      <c r="M71" s="21">
        <f>VLOOKUP(C71,'SBY Pivot'!$A:$O,11,0)</f>
        <v>0</v>
      </c>
      <c r="N71" s="21">
        <f>VLOOKUP(C71,'SBY Pivot'!$A:$O,12,0)</f>
        <v>0</v>
      </c>
      <c r="O71" s="21">
        <f>VLOOKUP(C71,'SBY Pivot'!$A:$O,13,0)</f>
        <v>0</v>
      </c>
      <c r="P71" s="21">
        <f>VLOOKUP(C71,'SBY Pivot'!$A:$O,14,0)</f>
        <v>0</v>
      </c>
      <c r="Q71" s="22">
        <f t="shared" si="22"/>
        <v>184</v>
      </c>
      <c r="R71" s="23">
        <f t="shared" si="23"/>
        <v>0.20175438596491227</v>
      </c>
      <c r="W71" s="18">
        <f t="shared" si="24"/>
        <v>11</v>
      </c>
      <c r="X71" s="19" t="str">
        <f t="shared" si="25"/>
        <v>Under Office (Birbhum)</v>
      </c>
      <c r="Y71" s="21">
        <f>VLOOKUP(X71,'SBY Pivot'!$Q:$AD,2,0)</f>
        <v>5</v>
      </c>
      <c r="Z71" s="21">
        <f>VLOOKUP(X71,'SBY Pivot'!$Q:$AD,3,0)</f>
        <v>5</v>
      </c>
      <c r="AA71" s="21">
        <f>VLOOKUP(X71,'SBY Pivot'!$Q:$AD,4,0)</f>
        <v>5</v>
      </c>
      <c r="AB71" s="21">
        <f>VLOOKUP(X71,'SBY Pivot'!$Q:$AD,5,0)</f>
        <v>6</v>
      </c>
      <c r="AC71" s="21">
        <f>VLOOKUP(X71,'SBY Pivot'!$Q:$AD,6,0)</f>
        <v>6</v>
      </c>
      <c r="AD71" s="21">
        <f>VLOOKUP(X71,'SBY Pivot'!$Q:$AD,7,0)</f>
        <v>4</v>
      </c>
      <c r="AE71" s="21">
        <f>VLOOKUP(X71,'SBY Pivot'!$Q:$AD,8,0)</f>
        <v>0</v>
      </c>
      <c r="AF71" s="21">
        <f>VLOOKUP(X71,'SBY Pivot'!$Q:$AD,9,0)</f>
        <v>0</v>
      </c>
      <c r="AG71" s="21">
        <f>VLOOKUP(X71,'SBY Pivot'!$Q:$AD,10,0)</f>
        <v>0</v>
      </c>
      <c r="AH71" s="21">
        <f>VLOOKUP(X71,'SBY Pivot'!$Q:$AD,11,0)</f>
        <v>0</v>
      </c>
      <c r="AI71" s="21">
        <f>VLOOKUP(X71,'SBY Pivot'!$Q:$AD,12,0)</f>
        <v>0</v>
      </c>
      <c r="AJ71" s="21">
        <f>VLOOKUP(X71,'SBY Pivot'!$Q:$AD,13,0)</f>
        <v>0</v>
      </c>
      <c r="AK71" s="22">
        <f>VLOOKUP(X71,'SBY Pivot'!$Q:$AD,14,0)</f>
        <v>6</v>
      </c>
    </row>
    <row r="72" spans="2:37" x14ac:dyDescent="0.3">
      <c r="B72" s="18">
        <f t="shared" si="21"/>
        <v>12</v>
      </c>
      <c r="C72" s="19" t="s">
        <v>99</v>
      </c>
      <c r="D72" s="20">
        <f>VLOOKUP(C72,'SBY Pivot'!$A:$O,2,0)</f>
        <v>432</v>
      </c>
      <c r="E72" s="21">
        <f>VLOOKUP(C72,'SBY Pivot'!$A:$O,3,0)</f>
        <v>4</v>
      </c>
      <c r="F72" s="21">
        <f>VLOOKUP(C72,'SBY Pivot'!$A:$O,4,0)</f>
        <v>9</v>
      </c>
      <c r="G72" s="21">
        <f>VLOOKUP(C72,'SBY Pivot'!$A:$O,5,0)</f>
        <v>19</v>
      </c>
      <c r="H72" s="21">
        <f>VLOOKUP(C72,'SBY Pivot'!$A:$O,6,0)</f>
        <v>21</v>
      </c>
      <c r="I72" s="21">
        <f>VLOOKUP(C72,'SBY Pivot'!$A:$O,7,0)</f>
        <v>11</v>
      </c>
      <c r="J72" s="21">
        <f>VLOOKUP(C72,'SBY Pivot'!$A:$O,8,0)</f>
        <v>8</v>
      </c>
      <c r="K72" s="21">
        <f>VLOOKUP(C72,'SBY Pivot'!$A:$O,9,0)</f>
        <v>0</v>
      </c>
      <c r="L72" s="21">
        <f>VLOOKUP(C72,'SBY Pivot'!$A:$O,10,0)</f>
        <v>0</v>
      </c>
      <c r="M72" s="21">
        <f>VLOOKUP(C72,'SBY Pivot'!$A:$O,11,0)</f>
        <v>0</v>
      </c>
      <c r="N72" s="21">
        <f>VLOOKUP(C72,'SBY Pivot'!$A:$O,12,0)</f>
        <v>0</v>
      </c>
      <c r="O72" s="21">
        <f>VLOOKUP(C72,'SBY Pivot'!$A:$O,13,0)</f>
        <v>0</v>
      </c>
      <c r="P72" s="21">
        <f>VLOOKUP(C72,'SBY Pivot'!$A:$O,14,0)</f>
        <v>0</v>
      </c>
      <c r="Q72" s="22">
        <f t="shared" si="22"/>
        <v>72</v>
      </c>
      <c r="R72" s="23">
        <f t="shared" si="23"/>
        <v>0.16666666666666666</v>
      </c>
      <c r="W72" s="18">
        <f t="shared" si="24"/>
        <v>12</v>
      </c>
      <c r="X72" s="19" t="str">
        <f t="shared" si="25"/>
        <v>Avi Sk</v>
      </c>
      <c r="Y72" s="21">
        <f>VLOOKUP(X72,'SBY Pivot'!$Q:$AD,2,0)</f>
        <v>2</v>
      </c>
      <c r="Z72" s="21">
        <f>VLOOKUP(X72,'SBY Pivot'!$Q:$AD,3,0)</f>
        <v>2</v>
      </c>
      <c r="AA72" s="21">
        <f>VLOOKUP(X72,'SBY Pivot'!$Q:$AD,4,0)</f>
        <v>3</v>
      </c>
      <c r="AB72" s="21">
        <f>VLOOKUP(X72,'SBY Pivot'!$Q:$AD,5,0)</f>
        <v>3</v>
      </c>
      <c r="AC72" s="21">
        <f>VLOOKUP(X72,'SBY Pivot'!$Q:$AD,6,0)</f>
        <v>3</v>
      </c>
      <c r="AD72" s="21">
        <f>VLOOKUP(X72,'SBY Pivot'!$Q:$AD,7,0)</f>
        <v>1</v>
      </c>
      <c r="AE72" s="21">
        <f>VLOOKUP(X72,'SBY Pivot'!$Q:$AD,8,0)</f>
        <v>0</v>
      </c>
      <c r="AF72" s="21">
        <f>VLOOKUP(X72,'SBY Pivot'!$Q:$AD,9,0)</f>
        <v>0</v>
      </c>
      <c r="AG72" s="21">
        <f>VLOOKUP(X72,'SBY Pivot'!$Q:$AD,10,0)</f>
        <v>0</v>
      </c>
      <c r="AH72" s="21">
        <f>VLOOKUP(X72,'SBY Pivot'!$Q:$AD,11,0)</f>
        <v>0</v>
      </c>
      <c r="AI72" s="21">
        <f>VLOOKUP(X72,'SBY Pivot'!$Q:$AD,12,0)</f>
        <v>0</v>
      </c>
      <c r="AJ72" s="21">
        <f>VLOOKUP(X72,'SBY Pivot'!$Q:$AD,13,0)</f>
        <v>0</v>
      </c>
      <c r="AK72" s="22">
        <f>VLOOKUP(X72,'SBY Pivot'!$Q:$AD,14,0)</f>
        <v>3</v>
      </c>
    </row>
    <row r="73" spans="2:37" x14ac:dyDescent="0.3">
      <c r="B73" s="18">
        <f t="shared" si="21"/>
        <v>13</v>
      </c>
      <c r="C73" s="19" t="s">
        <v>95</v>
      </c>
      <c r="D73" s="20">
        <f>VLOOKUP(C73,'SBY Pivot'!$A:$O,2,0)</f>
        <v>816</v>
      </c>
      <c r="E73" s="21">
        <f>VLOOKUP(C73,'SBY Pivot'!$A:$O,3,0)</f>
        <v>8</v>
      </c>
      <c r="F73" s="21">
        <f>VLOOKUP(C73,'SBY Pivot'!$A:$O,4,0)</f>
        <v>16</v>
      </c>
      <c r="G73" s="21">
        <f>VLOOKUP(C73,'SBY Pivot'!$A:$O,5,0)</f>
        <v>13</v>
      </c>
      <c r="H73" s="21">
        <f>VLOOKUP(C73,'SBY Pivot'!$A:$O,6,0)</f>
        <v>26</v>
      </c>
      <c r="I73" s="21">
        <f>VLOOKUP(C73,'SBY Pivot'!$A:$O,7,0)</f>
        <v>5</v>
      </c>
      <c r="J73" s="21">
        <f>VLOOKUP(C73,'SBY Pivot'!$A:$O,8,0)</f>
        <v>1</v>
      </c>
      <c r="K73" s="21">
        <f>VLOOKUP(C73,'SBY Pivot'!$A:$O,9,0)</f>
        <v>0</v>
      </c>
      <c r="L73" s="21">
        <f>VLOOKUP(C73,'SBY Pivot'!$A:$O,10,0)</f>
        <v>0</v>
      </c>
      <c r="M73" s="21">
        <f>VLOOKUP(C73,'SBY Pivot'!$A:$O,11,0)</f>
        <v>0</v>
      </c>
      <c r="N73" s="21">
        <f>VLOOKUP(C73,'SBY Pivot'!$A:$O,12,0)</f>
        <v>0</v>
      </c>
      <c r="O73" s="21">
        <f>VLOOKUP(C73,'SBY Pivot'!$A:$O,13,0)</f>
        <v>0</v>
      </c>
      <c r="P73" s="21">
        <f>VLOOKUP(C73,'SBY Pivot'!$A:$O,14,0)</f>
        <v>0</v>
      </c>
      <c r="Q73" s="22">
        <f t="shared" si="22"/>
        <v>69</v>
      </c>
      <c r="R73" s="23">
        <f t="shared" si="23"/>
        <v>8.455882352941177E-2</v>
      </c>
      <c r="W73" s="18">
        <f t="shared" si="24"/>
        <v>13</v>
      </c>
      <c r="X73" s="19" t="str">
        <f t="shared" si="25"/>
        <v>Santanu Bera</v>
      </c>
      <c r="Y73" s="21">
        <f>VLOOKUP(X73,'SBY Pivot'!$Q:$AD,2,0)</f>
        <v>3</v>
      </c>
      <c r="Z73" s="21">
        <f>VLOOKUP(X73,'SBY Pivot'!$Q:$AD,3,0)</f>
        <v>4</v>
      </c>
      <c r="AA73" s="21">
        <f>VLOOKUP(X73,'SBY Pivot'!$Q:$AD,4,0)</f>
        <v>3</v>
      </c>
      <c r="AB73" s="21">
        <f>VLOOKUP(X73,'SBY Pivot'!$Q:$AD,5,0)</f>
        <v>5</v>
      </c>
      <c r="AC73" s="21">
        <f>VLOOKUP(X73,'SBY Pivot'!$Q:$AD,6,0)</f>
        <v>2</v>
      </c>
      <c r="AD73" s="21">
        <f>VLOOKUP(X73,'SBY Pivot'!$Q:$AD,7,0)</f>
        <v>1</v>
      </c>
      <c r="AE73" s="21">
        <f>VLOOKUP(X73,'SBY Pivot'!$Q:$AD,8,0)</f>
        <v>0</v>
      </c>
      <c r="AF73" s="21">
        <f>VLOOKUP(X73,'SBY Pivot'!$Q:$AD,9,0)</f>
        <v>0</v>
      </c>
      <c r="AG73" s="21">
        <f>VLOOKUP(X73,'SBY Pivot'!$Q:$AD,10,0)</f>
        <v>0</v>
      </c>
      <c r="AH73" s="21">
        <f>VLOOKUP(X73,'SBY Pivot'!$Q:$AD,11,0)</f>
        <v>0</v>
      </c>
      <c r="AI73" s="21">
        <f>VLOOKUP(X73,'SBY Pivot'!$Q:$AD,12,0)</f>
        <v>0</v>
      </c>
      <c r="AJ73" s="21">
        <f>VLOOKUP(X73,'SBY Pivot'!$Q:$AD,13,0)</f>
        <v>0</v>
      </c>
      <c r="AK73" s="22">
        <f>VLOOKUP(X73,'SBY Pivot'!$Q:$AD,14,0)</f>
        <v>5</v>
      </c>
    </row>
    <row r="74" spans="2:37" x14ac:dyDescent="0.3">
      <c r="B74" s="18">
        <f t="shared" si="21"/>
        <v>14</v>
      </c>
      <c r="C74" s="19" t="s">
        <v>449</v>
      </c>
      <c r="D74" s="20">
        <f>VLOOKUP(C74,'SBY Pivot'!$A:$O,2,0)</f>
        <v>48</v>
      </c>
      <c r="E74" s="21">
        <f>VLOOKUP(C74,'SBY Pivot'!$A:$O,3,0)</f>
        <v>0</v>
      </c>
      <c r="F74" s="21">
        <f>VLOOKUP(C74,'SBY Pivot'!$A:$O,4,0)</f>
        <v>0</v>
      </c>
      <c r="G74" s="21">
        <f>VLOOKUP(C74,'SBY Pivot'!$A:$O,5,0)</f>
        <v>0</v>
      </c>
      <c r="H74" s="21">
        <f>VLOOKUP(C74,'SBY Pivot'!$A:$O,6,0)</f>
        <v>0</v>
      </c>
      <c r="I74" s="21">
        <f>VLOOKUP(C74,'SBY Pivot'!$A:$O,7,0)</f>
        <v>0</v>
      </c>
      <c r="J74" s="21">
        <f>VLOOKUP(C74,'SBY Pivot'!$A:$O,8,0)</f>
        <v>0</v>
      </c>
      <c r="K74" s="21">
        <f>VLOOKUP(C74,'SBY Pivot'!$A:$O,9,0)</f>
        <v>0</v>
      </c>
      <c r="L74" s="21">
        <f>VLOOKUP(C74,'SBY Pivot'!$A:$O,10,0)</f>
        <v>0</v>
      </c>
      <c r="M74" s="21">
        <f>VLOOKUP(C74,'SBY Pivot'!$A:$O,11,0)</f>
        <v>0</v>
      </c>
      <c r="N74" s="21">
        <f>VLOOKUP(C74,'SBY Pivot'!$A:$O,12,0)</f>
        <v>0</v>
      </c>
      <c r="O74" s="21">
        <f>VLOOKUP(C74,'SBY Pivot'!$A:$O,13,0)</f>
        <v>0</v>
      </c>
      <c r="P74" s="21">
        <f>VLOOKUP(C74,'SBY Pivot'!$A:$O,14,0)</f>
        <v>0</v>
      </c>
      <c r="Q74" s="22">
        <f t="shared" si="22"/>
        <v>0</v>
      </c>
      <c r="R74" s="23">
        <f t="shared" si="23"/>
        <v>0</v>
      </c>
      <c r="W74" s="18">
        <f t="shared" si="24"/>
        <v>14</v>
      </c>
      <c r="X74" s="19" t="str">
        <f t="shared" si="25"/>
        <v>Mousumi Sarkar</v>
      </c>
      <c r="Y74" s="21">
        <f>VLOOKUP(X74,'SBY Pivot'!$Q:$AD,2,0)</f>
        <v>0</v>
      </c>
      <c r="Z74" s="21">
        <f>VLOOKUP(X74,'SBY Pivot'!$Q:$AD,3,0)</f>
        <v>0</v>
      </c>
      <c r="AA74" s="21">
        <f>VLOOKUP(X74,'SBY Pivot'!$Q:$AD,4,0)</f>
        <v>0</v>
      </c>
      <c r="AB74" s="21">
        <f>VLOOKUP(X74,'SBY Pivot'!$Q:$AD,5,0)</f>
        <v>0</v>
      </c>
      <c r="AC74" s="21">
        <f>VLOOKUP(X74,'SBY Pivot'!$Q:$AD,6,0)</f>
        <v>0</v>
      </c>
      <c r="AD74" s="21">
        <f>VLOOKUP(X74,'SBY Pivot'!$Q:$AD,7,0)</f>
        <v>0</v>
      </c>
      <c r="AE74" s="21">
        <f>VLOOKUP(X74,'SBY Pivot'!$Q:$AD,8,0)</f>
        <v>0</v>
      </c>
      <c r="AF74" s="21">
        <f>VLOOKUP(X74,'SBY Pivot'!$Q:$AD,9,0)</f>
        <v>0</v>
      </c>
      <c r="AG74" s="21">
        <f>VLOOKUP(X74,'SBY Pivot'!$Q:$AD,10,0)</f>
        <v>0</v>
      </c>
      <c r="AH74" s="21">
        <f>VLOOKUP(X74,'SBY Pivot'!$Q:$AD,11,0)</f>
        <v>0</v>
      </c>
      <c r="AI74" s="21">
        <f>VLOOKUP(X74,'SBY Pivot'!$Q:$AD,12,0)</f>
        <v>0</v>
      </c>
      <c r="AJ74" s="21">
        <f>VLOOKUP(X74,'SBY Pivot'!$Q:$AD,13,0)</f>
        <v>0</v>
      </c>
      <c r="AK74" s="22">
        <f>VLOOKUP(X74,'SBY Pivot'!$Q:$AD,14,0)</f>
        <v>0</v>
      </c>
    </row>
    <row r="75" spans="2:37" ht="3" customHeight="1" x14ac:dyDescent="0.3">
      <c r="R75" s="28"/>
    </row>
    <row r="76" spans="2:37" x14ac:dyDescent="0.3">
      <c r="B76" s="215" t="s">
        <v>283</v>
      </c>
      <c r="C76" s="216"/>
      <c r="D76" s="29">
        <f t="shared" ref="D76:Q76" si="26">SUM(D61:D74)</f>
        <v>11952</v>
      </c>
      <c r="E76" s="29">
        <f t="shared" si="26"/>
        <v>444</v>
      </c>
      <c r="F76" s="29">
        <f t="shared" si="26"/>
        <v>1135</v>
      </c>
      <c r="G76" s="29">
        <f t="shared" si="26"/>
        <v>761</v>
      </c>
      <c r="H76" s="29">
        <f t="shared" si="26"/>
        <v>912</v>
      </c>
      <c r="I76" s="29">
        <f t="shared" si="26"/>
        <v>696</v>
      </c>
      <c r="J76" s="29">
        <f t="shared" si="26"/>
        <v>124</v>
      </c>
      <c r="K76" s="29">
        <f t="shared" si="26"/>
        <v>0</v>
      </c>
      <c r="L76" s="29">
        <f t="shared" si="26"/>
        <v>0</v>
      </c>
      <c r="M76" s="29">
        <f t="shared" si="26"/>
        <v>0</v>
      </c>
      <c r="N76" s="29">
        <f t="shared" si="26"/>
        <v>0</v>
      </c>
      <c r="O76" s="29">
        <f t="shared" si="26"/>
        <v>0</v>
      </c>
      <c r="P76" s="29">
        <f t="shared" si="26"/>
        <v>0</v>
      </c>
      <c r="Q76" s="29">
        <f t="shared" si="26"/>
        <v>4072</v>
      </c>
      <c r="R76" s="30">
        <f>Q76/D76</f>
        <v>0.34069611780455156</v>
      </c>
      <c r="W76" s="215" t="s">
        <v>283</v>
      </c>
      <c r="X76" s="216"/>
      <c r="Y76" s="29">
        <f t="shared" ref="Y76:AK76" si="27">SUM(Y61:Y74)</f>
        <v>64</v>
      </c>
      <c r="Z76" s="29">
        <f t="shared" si="27"/>
        <v>74</v>
      </c>
      <c r="AA76" s="29">
        <f t="shared" si="27"/>
        <v>71</v>
      </c>
      <c r="AB76" s="29">
        <f t="shared" si="27"/>
        <v>72</v>
      </c>
      <c r="AC76" s="29">
        <f t="shared" si="27"/>
        <v>74</v>
      </c>
      <c r="AD76" s="29">
        <f t="shared" si="27"/>
        <v>47</v>
      </c>
      <c r="AE76" s="29">
        <f t="shared" si="27"/>
        <v>0</v>
      </c>
      <c r="AF76" s="29">
        <f t="shared" si="27"/>
        <v>0</v>
      </c>
      <c r="AG76" s="29">
        <f t="shared" si="27"/>
        <v>0</v>
      </c>
      <c r="AH76" s="29">
        <f t="shared" si="27"/>
        <v>0</v>
      </c>
      <c r="AI76" s="29">
        <f t="shared" si="27"/>
        <v>0</v>
      </c>
      <c r="AJ76" s="29">
        <f t="shared" si="27"/>
        <v>0</v>
      </c>
      <c r="AK76" s="29">
        <f t="shared" si="27"/>
        <v>85</v>
      </c>
    </row>
    <row r="77" spans="2:37" x14ac:dyDescent="0.3">
      <c r="B77" s="37"/>
      <c r="C77" s="37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9"/>
      <c r="W77" s="37"/>
      <c r="X77" s="37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</row>
    <row r="78" spans="2:37" x14ac:dyDescent="0.3">
      <c r="B78" s="265" t="s">
        <v>331</v>
      </c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O78" s="266"/>
      <c r="P78" s="266"/>
      <c r="Q78" s="266"/>
      <c r="R78" s="266"/>
      <c r="W78" s="265" t="s">
        <v>442</v>
      </c>
      <c r="X78" s="266"/>
      <c r="Y78" s="266"/>
      <c r="Z78" s="266"/>
      <c r="AA78" s="266"/>
      <c r="AB78" s="266"/>
      <c r="AC78" s="266"/>
      <c r="AD78" s="266"/>
      <c r="AE78" s="266"/>
      <c r="AF78" s="266"/>
      <c r="AG78" s="266"/>
      <c r="AH78" s="266"/>
      <c r="AI78" s="266"/>
      <c r="AJ78" s="266"/>
      <c r="AK78" s="266"/>
    </row>
    <row r="79" spans="2:37" s="17" customFormat="1" ht="28.8" x14ac:dyDescent="0.3">
      <c r="B79" s="16" t="s">
        <v>279</v>
      </c>
      <c r="C79" s="16" t="s">
        <v>264</v>
      </c>
      <c r="D79" s="16" t="s">
        <v>330</v>
      </c>
      <c r="E79" s="3">
        <v>46113</v>
      </c>
      <c r="F79" s="3">
        <v>46143</v>
      </c>
      <c r="G79" s="3">
        <v>46174</v>
      </c>
      <c r="H79" s="3">
        <v>46204</v>
      </c>
      <c r="I79" s="3">
        <v>46235</v>
      </c>
      <c r="J79" s="3">
        <v>46266</v>
      </c>
      <c r="K79" s="3">
        <v>46296</v>
      </c>
      <c r="L79" s="3">
        <v>46327</v>
      </c>
      <c r="M79" s="3">
        <v>46357</v>
      </c>
      <c r="N79" s="3">
        <v>46388</v>
      </c>
      <c r="O79" s="3">
        <v>46419</v>
      </c>
      <c r="P79" s="3">
        <v>46447</v>
      </c>
      <c r="Q79" s="16" t="s">
        <v>329</v>
      </c>
      <c r="R79" s="16" t="s">
        <v>379</v>
      </c>
      <c r="T79" s="41">
        <v>46113</v>
      </c>
      <c r="U79" s="41">
        <f ca="1">TODAY()-1</f>
        <v>46271</v>
      </c>
      <c r="V79" s="17">
        <f ca="1">U79-T79</f>
        <v>158</v>
      </c>
      <c r="W79" s="16" t="s">
        <v>279</v>
      </c>
      <c r="X79" s="16" t="s">
        <v>264</v>
      </c>
      <c r="Y79" s="3">
        <v>46113</v>
      </c>
      <c r="Z79" s="3">
        <v>46143</v>
      </c>
      <c r="AA79" s="3">
        <v>46174</v>
      </c>
      <c r="AB79" s="3">
        <v>46204</v>
      </c>
      <c r="AC79" s="3">
        <v>46235</v>
      </c>
      <c r="AD79" s="3">
        <v>46266</v>
      </c>
      <c r="AE79" s="3">
        <v>46296</v>
      </c>
      <c r="AF79" s="3">
        <v>46327</v>
      </c>
      <c r="AG79" s="3">
        <v>46357</v>
      </c>
      <c r="AH79" s="3">
        <v>46388</v>
      </c>
      <c r="AI79" s="3">
        <v>46419</v>
      </c>
      <c r="AJ79" s="3">
        <v>46447</v>
      </c>
      <c r="AK79" s="16" t="s">
        <v>443</v>
      </c>
    </row>
    <row r="80" spans="2:37" x14ac:dyDescent="0.3">
      <c r="B80" s="18">
        <f t="shared" ref="B80:B93" si="28">ROW()-ROW($B$79)</f>
        <v>1</v>
      </c>
      <c r="C80" s="19" t="s">
        <v>345</v>
      </c>
      <c r="D80" s="35">
        <f>VLOOKUP(C80,Code!$A:$G,2,0)</f>
        <v>6</v>
      </c>
      <c r="E80" s="21">
        <f>VLOOKUP(C80,'Txn Pivot'!$A:$N,3,0)</f>
        <v>5123</v>
      </c>
      <c r="F80" s="21">
        <f>VLOOKUP(C80,'Txn Pivot'!$A:$N,4,0)</f>
        <v>5016</v>
      </c>
      <c r="G80" s="21">
        <f>VLOOKUP(C80,'Txn Pivot'!$A:$N,5,0)</f>
        <v>4541</v>
      </c>
      <c r="H80" s="21">
        <f>VLOOKUP(C80,'Txn Pivot'!$A:$N,6,0)</f>
        <v>5301</v>
      </c>
      <c r="I80" s="21">
        <f>VLOOKUP(C80,'Txn Pivot'!$A:$N,7,0)</f>
        <v>5515</v>
      </c>
      <c r="J80" s="21">
        <f>VLOOKUP(C80,'Txn Pivot'!$A:$N,8,0)</f>
        <v>1027</v>
      </c>
      <c r="K80" s="21">
        <f>VLOOKUP(C80,'Txn Pivot'!$A:$N,9,0)</f>
        <v>0</v>
      </c>
      <c r="L80" s="21">
        <f>VLOOKUP(C80,'Txn Pivot'!$A:$N,10,0)</f>
        <v>0</v>
      </c>
      <c r="M80" s="21">
        <f>VLOOKUP(C80,'Txn Pivot'!$A:$N,11,0)</f>
        <v>0</v>
      </c>
      <c r="N80" s="21">
        <f>VLOOKUP(C80,'Txn Pivot'!$A:$N,12,0)</f>
        <v>0</v>
      </c>
      <c r="O80" s="21">
        <f>VLOOKUP(C80,'Txn Pivot'!$A:$N,13,0)</f>
        <v>0</v>
      </c>
      <c r="P80" s="21">
        <f>VLOOKUP(C80,'Txn Pivot'!$A:$N,14,0)</f>
        <v>0</v>
      </c>
      <c r="Q80" s="22">
        <f t="shared" ref="Q80:Q93" si="29">SUM(E80:P80)</f>
        <v>26523</v>
      </c>
      <c r="R80" s="40">
        <f ca="1">(Q80/D80)/$V$79</f>
        <v>27.977848101265824</v>
      </c>
      <c r="T80" s="24"/>
      <c r="U80" s="25"/>
      <c r="V80" s="25"/>
      <c r="W80" s="18">
        <f>ROW()-ROW($B$79)</f>
        <v>1</v>
      </c>
      <c r="X80" s="19" t="str">
        <f>C80</f>
        <v>Under Office (Birbhum)</v>
      </c>
      <c r="Y80" s="21">
        <f>VLOOKUP(X80,'Txn Pivot'!$Q:$AD,2,0)</f>
        <v>7</v>
      </c>
      <c r="Z80" s="21">
        <f>VLOOKUP(X80,'Txn Pivot'!$Q:$AD,3,0)</f>
        <v>6</v>
      </c>
      <c r="AA80" s="21">
        <f>VLOOKUP(X80,'Txn Pivot'!$Q:$AD,4,0)</f>
        <v>6</v>
      </c>
      <c r="AB80" s="21">
        <f>VLOOKUP(X80,'Txn Pivot'!$Q:$AD,5,0)</f>
        <v>6</v>
      </c>
      <c r="AC80" s="21">
        <f>VLOOKUP(X80,'Txn Pivot'!$Q:$AD,6,0)</f>
        <v>7</v>
      </c>
      <c r="AD80" s="21">
        <f>VLOOKUP(X80,'Txn Pivot'!$Q:$AD,7,0)</f>
        <v>6</v>
      </c>
      <c r="AE80" s="21">
        <f>VLOOKUP(X80,'Txn Pivot'!$Q:$AD,8,0)</f>
        <v>0</v>
      </c>
      <c r="AF80" s="21">
        <f>VLOOKUP(X80,'Txn Pivot'!$Q:$AD,9,0)</f>
        <v>0</v>
      </c>
      <c r="AG80" s="21">
        <f>VLOOKUP(X80,'Txn Pivot'!$Q:$AD,10,0)</f>
        <v>0</v>
      </c>
      <c r="AH80" s="21">
        <f>VLOOKUP(X80,'Txn Pivot'!$Q:$AD,11,0)</f>
        <v>0</v>
      </c>
      <c r="AI80" s="21">
        <f>VLOOKUP(X80,'Txn Pivot'!$Q:$AD,12,0)</f>
        <v>0</v>
      </c>
      <c r="AJ80" s="21">
        <f>VLOOKUP(X80,'Txn Pivot'!$Q:$AD,13,0)</f>
        <v>0</v>
      </c>
      <c r="AK80" s="22">
        <f>VLOOKUP(X80,'Txn Pivot'!$Q:$AD,14,0)</f>
        <v>7</v>
      </c>
    </row>
    <row r="81" spans="2:37" x14ac:dyDescent="0.3">
      <c r="B81" s="18">
        <f t="shared" si="28"/>
        <v>2</v>
      </c>
      <c r="C81" s="19" t="s">
        <v>102</v>
      </c>
      <c r="D81" s="35">
        <f>VLOOKUP(C81,Code!$A:$G,2,0)</f>
        <v>3</v>
      </c>
      <c r="E81" s="21">
        <f>VLOOKUP(C81,'Txn Pivot'!$A:$N,3,0)</f>
        <v>1557</v>
      </c>
      <c r="F81" s="21">
        <f>VLOOKUP(C81,'Txn Pivot'!$A:$N,4,0)</f>
        <v>1500</v>
      </c>
      <c r="G81" s="21">
        <f>VLOOKUP(C81,'Txn Pivot'!$A:$N,5,0)</f>
        <v>1812</v>
      </c>
      <c r="H81" s="21">
        <f>VLOOKUP(C81,'Txn Pivot'!$A:$N,6,0)</f>
        <v>2450</v>
      </c>
      <c r="I81" s="21">
        <f>VLOOKUP(C81,'Txn Pivot'!$A:$N,7,0)</f>
        <v>3927</v>
      </c>
      <c r="J81" s="21">
        <f>VLOOKUP(C81,'Txn Pivot'!$A:$N,8,0)</f>
        <v>774</v>
      </c>
      <c r="K81" s="21">
        <f>VLOOKUP(C81,'Txn Pivot'!$A:$N,9,0)</f>
        <v>0</v>
      </c>
      <c r="L81" s="21">
        <f>VLOOKUP(C81,'Txn Pivot'!$A:$N,10,0)</f>
        <v>0</v>
      </c>
      <c r="M81" s="21">
        <f>VLOOKUP(C81,'Txn Pivot'!$A:$N,11,0)</f>
        <v>0</v>
      </c>
      <c r="N81" s="21">
        <f>VLOOKUP(C81,'Txn Pivot'!$A:$N,12,0)</f>
        <v>0</v>
      </c>
      <c r="O81" s="21">
        <f>VLOOKUP(C81,'Txn Pivot'!$A:$N,13,0)</f>
        <v>0</v>
      </c>
      <c r="P81" s="21">
        <f>VLOOKUP(C81,'Txn Pivot'!$A:$N,14,0)</f>
        <v>0</v>
      </c>
      <c r="Q81" s="22">
        <f t="shared" si="29"/>
        <v>12020</v>
      </c>
      <c r="R81" s="40">
        <f ca="1">(Q81/D81)/$V$79</f>
        <v>25.358649789029535</v>
      </c>
      <c r="T81" s="24"/>
      <c r="U81" s="25"/>
      <c r="V81" s="25"/>
      <c r="W81" s="18">
        <f>ROW()-ROW($B$79)</f>
        <v>2</v>
      </c>
      <c r="X81" s="19" t="str">
        <f t="shared" ref="X81:X93" si="30">C81</f>
        <v>Rajendra Kumar Bapari</v>
      </c>
      <c r="Y81" s="21">
        <f>VLOOKUP(X81,'Txn Pivot'!$Q:$AD,2,0)</f>
        <v>3</v>
      </c>
      <c r="Z81" s="21">
        <f>VLOOKUP(X81,'Txn Pivot'!$Q:$AD,3,0)</f>
        <v>3</v>
      </c>
      <c r="AA81" s="21">
        <f>VLOOKUP(X81,'Txn Pivot'!$Q:$AD,4,0)</f>
        <v>3</v>
      </c>
      <c r="AB81" s="21">
        <f>VLOOKUP(X81,'Txn Pivot'!$Q:$AD,5,0)</f>
        <v>3</v>
      </c>
      <c r="AC81" s="21">
        <f>VLOOKUP(X81,'Txn Pivot'!$Q:$AD,6,0)</f>
        <v>3</v>
      </c>
      <c r="AD81" s="21">
        <f>VLOOKUP(X81,'Txn Pivot'!$Q:$AD,7,0)</f>
        <v>3</v>
      </c>
      <c r="AE81" s="21">
        <f>VLOOKUP(X81,'Txn Pivot'!$Q:$AD,8,0)</f>
        <v>0</v>
      </c>
      <c r="AF81" s="21">
        <f>VLOOKUP(X81,'Txn Pivot'!$Q:$AD,9,0)</f>
        <v>0</v>
      </c>
      <c r="AG81" s="21">
        <f>VLOOKUP(X81,'Txn Pivot'!$Q:$AD,10,0)</f>
        <v>0</v>
      </c>
      <c r="AH81" s="21">
        <f>VLOOKUP(X81,'Txn Pivot'!$Q:$AD,11,0)</f>
        <v>0</v>
      </c>
      <c r="AI81" s="21">
        <f>VLOOKUP(X81,'Txn Pivot'!$Q:$AD,12,0)</f>
        <v>0</v>
      </c>
      <c r="AJ81" s="21">
        <f>VLOOKUP(X81,'Txn Pivot'!$Q:$AD,13,0)</f>
        <v>0</v>
      </c>
      <c r="AK81" s="22">
        <f>VLOOKUP(X81,'Txn Pivot'!$Q:$AD,14,0)</f>
        <v>3</v>
      </c>
    </row>
    <row r="82" spans="2:37" x14ac:dyDescent="0.3">
      <c r="B82" s="18">
        <f t="shared" si="28"/>
        <v>3</v>
      </c>
      <c r="C82" s="19" t="s">
        <v>100</v>
      </c>
      <c r="D82" s="35">
        <f>VLOOKUP(C82,Code!$A:$G,2,0)</f>
        <v>2</v>
      </c>
      <c r="E82" s="21">
        <f>VLOOKUP(C82,'Txn Pivot'!$A:$N,3,0)</f>
        <v>1885</v>
      </c>
      <c r="F82" s="21">
        <f>VLOOKUP(C82,'Txn Pivot'!$A:$N,4,0)</f>
        <v>1490</v>
      </c>
      <c r="G82" s="21">
        <f>VLOOKUP(C82,'Txn Pivot'!$A:$N,5,0)</f>
        <v>1642</v>
      </c>
      <c r="H82" s="21">
        <f>VLOOKUP(C82,'Txn Pivot'!$A:$N,6,0)</f>
        <v>1680</v>
      </c>
      <c r="I82" s="21">
        <f>VLOOKUP(C82,'Txn Pivot'!$A:$N,7,0)</f>
        <v>1617</v>
      </c>
      <c r="J82" s="21">
        <f>VLOOKUP(C82,'Txn Pivot'!$A:$N,8,0)</f>
        <v>292</v>
      </c>
      <c r="K82" s="21">
        <f>VLOOKUP(C82,'Txn Pivot'!$A:$N,9,0)</f>
        <v>0</v>
      </c>
      <c r="L82" s="21">
        <f>VLOOKUP(C82,'Txn Pivot'!$A:$N,10,0)</f>
        <v>0</v>
      </c>
      <c r="M82" s="21">
        <f>VLOOKUP(C82,'Txn Pivot'!$A:$N,11,0)</f>
        <v>0</v>
      </c>
      <c r="N82" s="21">
        <f>VLOOKUP(C82,'Txn Pivot'!$A:$N,12,0)</f>
        <v>0</v>
      </c>
      <c r="O82" s="21">
        <f>VLOOKUP(C82,'Txn Pivot'!$A:$N,13,0)</f>
        <v>0</v>
      </c>
      <c r="P82" s="21">
        <f>VLOOKUP(C82,'Txn Pivot'!$A:$N,14,0)</f>
        <v>0</v>
      </c>
      <c r="Q82" s="22">
        <f t="shared" si="29"/>
        <v>8606</v>
      </c>
      <c r="R82" s="40">
        <f ca="1">(Q82/D82)/$V$79</f>
        <v>27.234177215189874</v>
      </c>
      <c r="W82" s="18">
        <f>ROW()-ROW($B$79)</f>
        <v>3</v>
      </c>
      <c r="X82" s="19" t="str">
        <f t="shared" si="30"/>
        <v>Rajiul Momin</v>
      </c>
      <c r="Y82" s="21">
        <f>VLOOKUP(X82,'Txn Pivot'!$Q:$AD,2,0)</f>
        <v>2</v>
      </c>
      <c r="Z82" s="21">
        <f>VLOOKUP(X82,'Txn Pivot'!$Q:$AD,3,0)</f>
        <v>2</v>
      </c>
      <c r="AA82" s="21">
        <f>VLOOKUP(X82,'Txn Pivot'!$Q:$AD,4,0)</f>
        <v>2</v>
      </c>
      <c r="AB82" s="21">
        <f>VLOOKUP(X82,'Txn Pivot'!$Q:$AD,5,0)</f>
        <v>2</v>
      </c>
      <c r="AC82" s="21">
        <f>VLOOKUP(X82,'Txn Pivot'!$Q:$AD,6,0)</f>
        <v>2</v>
      </c>
      <c r="AD82" s="21">
        <f>VLOOKUP(X82,'Txn Pivot'!$Q:$AD,7,0)</f>
        <v>2</v>
      </c>
      <c r="AE82" s="21">
        <f>VLOOKUP(X82,'Txn Pivot'!$Q:$AD,8,0)</f>
        <v>0</v>
      </c>
      <c r="AF82" s="21">
        <f>VLOOKUP(X82,'Txn Pivot'!$Q:$AD,9,0)</f>
        <v>0</v>
      </c>
      <c r="AG82" s="21">
        <f>VLOOKUP(X82,'Txn Pivot'!$Q:$AD,10,0)</f>
        <v>0</v>
      </c>
      <c r="AH82" s="21">
        <f>VLOOKUP(X82,'Txn Pivot'!$Q:$AD,11,0)</f>
        <v>0</v>
      </c>
      <c r="AI82" s="21">
        <f>VLOOKUP(X82,'Txn Pivot'!$Q:$AD,12,0)</f>
        <v>0</v>
      </c>
      <c r="AJ82" s="21">
        <f>VLOOKUP(X82,'Txn Pivot'!$Q:$AD,13,0)</f>
        <v>0</v>
      </c>
      <c r="AK82" s="22">
        <f>VLOOKUP(X82,'Txn Pivot'!$Q:$AD,14,0)</f>
        <v>2</v>
      </c>
    </row>
    <row r="83" spans="2:37" x14ac:dyDescent="0.3">
      <c r="B83" s="18">
        <f t="shared" si="28"/>
        <v>4</v>
      </c>
      <c r="C83" s="19" t="s">
        <v>457</v>
      </c>
      <c r="D83" s="35">
        <f>VLOOKUP(C83,Code!$A:$G,2,0)</f>
        <v>19</v>
      </c>
      <c r="E83" s="21">
        <f>VLOOKUP(C83,'Txn Pivot'!$A:$N,3,0)</f>
        <v>13998</v>
      </c>
      <c r="F83" s="21">
        <f>VLOOKUP(C83,'Txn Pivot'!$A:$N,4,0)</f>
        <v>14292</v>
      </c>
      <c r="G83" s="21">
        <f>VLOOKUP(C83,'Txn Pivot'!$A:$N,5,0)</f>
        <v>12924</v>
      </c>
      <c r="H83" s="21">
        <f>VLOOKUP(C83,'Txn Pivot'!$A:$N,6,0)</f>
        <v>14584</v>
      </c>
      <c r="I83" s="21">
        <f>VLOOKUP(C83,'Txn Pivot'!$A:$N,7,0)</f>
        <v>16570</v>
      </c>
      <c r="J83" s="21">
        <f>VLOOKUP(C83,'Txn Pivot'!$A:$N,8,0)</f>
        <v>3049</v>
      </c>
      <c r="K83" s="21">
        <f>VLOOKUP(C83,'Txn Pivot'!$A:$N,9,0)</f>
        <v>0</v>
      </c>
      <c r="L83" s="21">
        <f>VLOOKUP(C83,'Txn Pivot'!$A:$N,10,0)</f>
        <v>0</v>
      </c>
      <c r="M83" s="21">
        <f>VLOOKUP(C83,'Txn Pivot'!$A:$N,11,0)</f>
        <v>0</v>
      </c>
      <c r="N83" s="21">
        <f>VLOOKUP(C83,'Txn Pivot'!$A:$N,12,0)</f>
        <v>0</v>
      </c>
      <c r="O83" s="21">
        <f>VLOOKUP(C83,'Txn Pivot'!$A:$N,13,0)</f>
        <v>0</v>
      </c>
      <c r="P83" s="21">
        <f>VLOOKUP(C83,'Txn Pivot'!$A:$N,14,0)</f>
        <v>0</v>
      </c>
      <c r="Q83" s="22">
        <f t="shared" si="29"/>
        <v>75417</v>
      </c>
      <c r="R83" s="40">
        <f ca="1">(Q83/D83)/$V$79</f>
        <v>25.122251832111925</v>
      </c>
      <c r="T83" s="26"/>
      <c r="U83" s="27"/>
      <c r="W83" s="18">
        <f>ROW()-ROW($B$79)</f>
        <v>4</v>
      </c>
      <c r="X83" s="19" t="str">
        <f t="shared" si="30"/>
        <v>Under Office (W Medinipur)</v>
      </c>
      <c r="Y83" s="21">
        <f>VLOOKUP(X83,'Txn Pivot'!$Q:$AD,2,0)</f>
        <v>19</v>
      </c>
      <c r="Z83" s="21">
        <f>VLOOKUP(X83,'Txn Pivot'!$Q:$AD,3,0)</f>
        <v>19</v>
      </c>
      <c r="AA83" s="21">
        <f>VLOOKUP(X83,'Txn Pivot'!$Q:$AD,4,0)</f>
        <v>19</v>
      </c>
      <c r="AB83" s="21">
        <f>VLOOKUP(X83,'Txn Pivot'!$Q:$AD,5,0)</f>
        <v>19</v>
      </c>
      <c r="AC83" s="21">
        <f>VLOOKUP(X83,'Txn Pivot'!$Q:$AD,6,0)</f>
        <v>19</v>
      </c>
      <c r="AD83" s="21">
        <f>VLOOKUP(X83,'Txn Pivot'!$Q:$AD,7,0)</f>
        <v>19</v>
      </c>
      <c r="AE83" s="21">
        <f>VLOOKUP(X83,'Txn Pivot'!$Q:$AD,8,0)</f>
        <v>0</v>
      </c>
      <c r="AF83" s="21">
        <f>VLOOKUP(X83,'Txn Pivot'!$Q:$AD,9,0)</f>
        <v>0</v>
      </c>
      <c r="AG83" s="21">
        <f>VLOOKUP(X83,'Txn Pivot'!$Q:$AD,10,0)</f>
        <v>0</v>
      </c>
      <c r="AH83" s="21">
        <f>VLOOKUP(X83,'Txn Pivot'!$Q:$AD,11,0)</f>
        <v>0</v>
      </c>
      <c r="AI83" s="21">
        <f>VLOOKUP(X83,'Txn Pivot'!$Q:$AD,12,0)</f>
        <v>0</v>
      </c>
      <c r="AJ83" s="21">
        <f>VLOOKUP(X83,'Txn Pivot'!$Q:$AD,13,0)</f>
        <v>0</v>
      </c>
      <c r="AK83" s="22">
        <f>VLOOKUP(X83,'Txn Pivot'!$Q:$AD,14,0)</f>
        <v>19</v>
      </c>
    </row>
    <row r="84" spans="2:37" x14ac:dyDescent="0.3">
      <c r="B84" s="18">
        <f t="shared" si="28"/>
        <v>5</v>
      </c>
      <c r="C84" s="19" t="s">
        <v>455</v>
      </c>
      <c r="D84" s="35">
        <f>VLOOKUP(C84,Code!$A:$G,2,0)</f>
        <v>16</v>
      </c>
      <c r="E84" s="21">
        <f>VLOOKUP(C84,'Txn Pivot'!$A:$N,3,0)</f>
        <v>10260</v>
      </c>
      <c r="F84" s="21">
        <f>VLOOKUP(C84,'Txn Pivot'!$A:$N,4,0)</f>
        <v>8739</v>
      </c>
      <c r="G84" s="21">
        <f>VLOOKUP(C84,'Txn Pivot'!$A:$N,5,0)</f>
        <v>7103</v>
      </c>
      <c r="H84" s="21">
        <f>VLOOKUP(C84,'Txn Pivot'!$A:$N,6,0)</f>
        <v>8673</v>
      </c>
      <c r="I84" s="21">
        <f>VLOOKUP(C84,'Txn Pivot'!$A:$N,7,0)</f>
        <v>9605</v>
      </c>
      <c r="J84" s="21">
        <f>VLOOKUP(C84,'Txn Pivot'!$A:$N,8,0)</f>
        <v>1730</v>
      </c>
      <c r="K84" s="21">
        <f>VLOOKUP(C84,'Txn Pivot'!$A:$N,9,0)</f>
        <v>0</v>
      </c>
      <c r="L84" s="21">
        <f>VLOOKUP(C84,'Txn Pivot'!$A:$N,10,0)</f>
        <v>0</v>
      </c>
      <c r="M84" s="21">
        <f>VLOOKUP(C84,'Txn Pivot'!$A:$N,11,0)</f>
        <v>0</v>
      </c>
      <c r="N84" s="21">
        <f>VLOOKUP(C84,'Txn Pivot'!$A:$N,12,0)</f>
        <v>0</v>
      </c>
      <c r="O84" s="21">
        <f>VLOOKUP(C84,'Txn Pivot'!$A:$N,13,0)</f>
        <v>0</v>
      </c>
      <c r="P84" s="21">
        <f>VLOOKUP(C84,'Txn Pivot'!$A:$N,14,0)</f>
        <v>0</v>
      </c>
      <c r="Q84" s="22">
        <f t="shared" si="29"/>
        <v>46110</v>
      </c>
      <c r="R84" s="40">
        <f ca="1">(Q84/D84)/$V$79</f>
        <v>18.239715189873419</v>
      </c>
      <c r="W84" s="18">
        <f>ROW()-ROW($B$79)</f>
        <v>5</v>
      </c>
      <c r="X84" s="19" t="str">
        <f t="shared" si="30"/>
        <v>Souvik Maity</v>
      </c>
      <c r="Y84" s="21">
        <f>VLOOKUP(X84,'Txn Pivot'!$Q:$AD,2,0)</f>
        <v>15</v>
      </c>
      <c r="Z84" s="21">
        <f>VLOOKUP(X84,'Txn Pivot'!$Q:$AD,3,0)</f>
        <v>15</v>
      </c>
      <c r="AA84" s="21">
        <f>VLOOKUP(X84,'Txn Pivot'!$Q:$AD,4,0)</f>
        <v>16</v>
      </c>
      <c r="AB84" s="21">
        <f>VLOOKUP(X84,'Txn Pivot'!$Q:$AD,5,0)</f>
        <v>15</v>
      </c>
      <c r="AC84" s="21">
        <f>VLOOKUP(X84,'Txn Pivot'!$Q:$AD,6,0)</f>
        <v>15</v>
      </c>
      <c r="AD84" s="21">
        <f>VLOOKUP(X84,'Txn Pivot'!$Q:$AD,7,0)</f>
        <v>16</v>
      </c>
      <c r="AE84" s="21">
        <f>VLOOKUP(X84,'Txn Pivot'!$Q:$AD,8,0)</f>
        <v>0</v>
      </c>
      <c r="AF84" s="21">
        <f>VLOOKUP(X84,'Txn Pivot'!$Q:$AD,9,0)</f>
        <v>0</v>
      </c>
      <c r="AG84" s="21">
        <f>VLOOKUP(X84,'Txn Pivot'!$Q:$AD,10,0)</f>
        <v>0</v>
      </c>
      <c r="AH84" s="21">
        <f>VLOOKUP(X84,'Txn Pivot'!$Q:$AD,11,0)</f>
        <v>0</v>
      </c>
      <c r="AI84" s="21">
        <f>VLOOKUP(X84,'Txn Pivot'!$Q:$AD,12,0)</f>
        <v>0</v>
      </c>
      <c r="AJ84" s="21">
        <f>VLOOKUP(X84,'Txn Pivot'!$Q:$AD,13,0)</f>
        <v>0</v>
      </c>
      <c r="AK84" s="22">
        <f>VLOOKUP(X84,'Txn Pivot'!$Q:$AD,14,0)</f>
        <v>16</v>
      </c>
    </row>
    <row r="85" spans="2:37" x14ac:dyDescent="0.3">
      <c r="B85" s="18">
        <f t="shared" si="28"/>
        <v>6</v>
      </c>
      <c r="C85" s="19" t="s">
        <v>97</v>
      </c>
      <c r="D85" s="35">
        <f>VLOOKUP(C85,Code!$A:$G,2,0)</f>
        <v>3</v>
      </c>
      <c r="E85" s="21">
        <f>VLOOKUP(C85,'Txn Pivot'!$A:$N,3,0)</f>
        <v>1428</v>
      </c>
      <c r="F85" s="21">
        <f>VLOOKUP(C85,'Txn Pivot'!$A:$N,4,0)</f>
        <v>1673</v>
      </c>
      <c r="G85" s="21">
        <f>VLOOKUP(C85,'Txn Pivot'!$A:$N,5,0)</f>
        <v>1344</v>
      </c>
      <c r="H85" s="21">
        <f>VLOOKUP(C85,'Txn Pivot'!$A:$N,6,0)</f>
        <v>1394</v>
      </c>
      <c r="I85" s="21">
        <f>VLOOKUP(C85,'Txn Pivot'!$A:$N,7,0)</f>
        <v>1458</v>
      </c>
      <c r="J85" s="21">
        <f>VLOOKUP(C85,'Txn Pivot'!$A:$N,8,0)</f>
        <v>296</v>
      </c>
      <c r="K85" s="21">
        <f>VLOOKUP(C85,'Txn Pivot'!$A:$N,9,0)</f>
        <v>0</v>
      </c>
      <c r="L85" s="21">
        <f>VLOOKUP(C85,'Txn Pivot'!$A:$N,10,0)</f>
        <v>0</v>
      </c>
      <c r="M85" s="21">
        <f>VLOOKUP(C85,'Txn Pivot'!$A:$N,11,0)</f>
        <v>0</v>
      </c>
      <c r="N85" s="21">
        <f>VLOOKUP(C85,'Txn Pivot'!$A:$N,12,0)</f>
        <v>0</v>
      </c>
      <c r="O85" s="21">
        <f>VLOOKUP(C85,'Txn Pivot'!$A:$N,13,0)</f>
        <v>0</v>
      </c>
      <c r="P85" s="21">
        <f>VLOOKUP(C85,'Txn Pivot'!$A:$N,14,0)</f>
        <v>0</v>
      </c>
      <c r="Q85" s="22">
        <f t="shared" si="29"/>
        <v>7593</v>
      </c>
      <c r="R85" s="40">
        <f ca="1">(Q85/D85)/$V$79</f>
        <v>16.018987341772153</v>
      </c>
      <c r="W85" s="18">
        <f>ROW()-ROW($B$79)</f>
        <v>6</v>
      </c>
      <c r="X85" s="19" t="str">
        <f t="shared" si="30"/>
        <v>Chandi Charan Mahato</v>
      </c>
      <c r="Y85" s="21">
        <f>VLOOKUP(X85,'Txn Pivot'!$Q:$AD,2,0)</f>
        <v>5</v>
      </c>
      <c r="Z85" s="21">
        <f>VLOOKUP(X85,'Txn Pivot'!$Q:$AD,3,0)</f>
        <v>6</v>
      </c>
      <c r="AA85" s="21">
        <f>VLOOKUP(X85,'Txn Pivot'!$Q:$AD,4,0)</f>
        <v>4</v>
      </c>
      <c r="AB85" s="21">
        <f>VLOOKUP(X85,'Txn Pivot'!$Q:$AD,5,0)</f>
        <v>5</v>
      </c>
      <c r="AC85" s="21">
        <f>VLOOKUP(X85,'Txn Pivot'!$Q:$AD,6,0)</f>
        <v>5</v>
      </c>
      <c r="AD85" s="21">
        <f>VLOOKUP(X85,'Txn Pivot'!$Q:$AD,7,0)</f>
        <v>3</v>
      </c>
      <c r="AE85" s="21">
        <f>VLOOKUP(X85,'Txn Pivot'!$Q:$AD,8,0)</f>
        <v>0</v>
      </c>
      <c r="AF85" s="21">
        <f>VLOOKUP(X85,'Txn Pivot'!$Q:$AD,9,0)</f>
        <v>0</v>
      </c>
      <c r="AG85" s="21">
        <f>VLOOKUP(X85,'Txn Pivot'!$Q:$AD,10,0)</f>
        <v>0</v>
      </c>
      <c r="AH85" s="21">
        <f>VLOOKUP(X85,'Txn Pivot'!$Q:$AD,11,0)</f>
        <v>0</v>
      </c>
      <c r="AI85" s="21">
        <f>VLOOKUP(X85,'Txn Pivot'!$Q:$AD,12,0)</f>
        <v>0</v>
      </c>
      <c r="AJ85" s="21">
        <f>VLOOKUP(X85,'Txn Pivot'!$Q:$AD,13,0)</f>
        <v>0</v>
      </c>
      <c r="AK85" s="22">
        <f>VLOOKUP(X85,'Txn Pivot'!$Q:$AD,14,0)</f>
        <v>6</v>
      </c>
    </row>
    <row r="86" spans="2:37" x14ac:dyDescent="0.3">
      <c r="B86" s="18">
        <f t="shared" si="28"/>
        <v>7</v>
      </c>
      <c r="C86" s="19" t="s">
        <v>99</v>
      </c>
      <c r="D86" s="35">
        <f>VLOOKUP(C86,Code!$A:$G,2,0)</f>
        <v>3</v>
      </c>
      <c r="E86" s="21">
        <f>VLOOKUP(C86,'Txn Pivot'!$A:$N,3,0)</f>
        <v>1405</v>
      </c>
      <c r="F86" s="21">
        <f>VLOOKUP(C86,'Txn Pivot'!$A:$N,4,0)</f>
        <v>1292</v>
      </c>
      <c r="G86" s="21">
        <f>VLOOKUP(C86,'Txn Pivot'!$A:$N,5,0)</f>
        <v>1286</v>
      </c>
      <c r="H86" s="21">
        <f>VLOOKUP(C86,'Txn Pivot'!$A:$N,6,0)</f>
        <v>1317</v>
      </c>
      <c r="I86" s="21">
        <f>VLOOKUP(C86,'Txn Pivot'!$A:$N,7,0)</f>
        <v>1375</v>
      </c>
      <c r="J86" s="21">
        <f>VLOOKUP(C86,'Txn Pivot'!$A:$N,8,0)</f>
        <v>287</v>
      </c>
      <c r="K86" s="21">
        <f>VLOOKUP(C86,'Txn Pivot'!$A:$N,9,0)</f>
        <v>0</v>
      </c>
      <c r="L86" s="21">
        <f>VLOOKUP(C86,'Txn Pivot'!$A:$N,10,0)</f>
        <v>0</v>
      </c>
      <c r="M86" s="21">
        <f>VLOOKUP(C86,'Txn Pivot'!$A:$N,11,0)</f>
        <v>0</v>
      </c>
      <c r="N86" s="21">
        <f>VLOOKUP(C86,'Txn Pivot'!$A:$N,12,0)</f>
        <v>0</v>
      </c>
      <c r="O86" s="21">
        <f>VLOOKUP(C86,'Txn Pivot'!$A:$N,13,0)</f>
        <v>0</v>
      </c>
      <c r="P86" s="21">
        <f>VLOOKUP(C86,'Txn Pivot'!$A:$N,14,0)</f>
        <v>0</v>
      </c>
      <c r="Q86" s="22">
        <f t="shared" si="29"/>
        <v>6962</v>
      </c>
      <c r="R86" s="40">
        <f ca="1">(Q86/D86)/$V$79</f>
        <v>14.687763713080168</v>
      </c>
      <c r="W86" s="18">
        <f>ROW()-ROW($B$79)</f>
        <v>7</v>
      </c>
      <c r="X86" s="19" t="str">
        <f t="shared" si="30"/>
        <v>Avi Sk</v>
      </c>
      <c r="Y86" s="21">
        <f>VLOOKUP(X86,'Txn Pivot'!$Q:$AD,2,0)</f>
        <v>3</v>
      </c>
      <c r="Z86" s="21">
        <f>VLOOKUP(X86,'Txn Pivot'!$Q:$AD,3,0)</f>
        <v>3</v>
      </c>
      <c r="AA86" s="21">
        <f>VLOOKUP(X86,'Txn Pivot'!$Q:$AD,4,0)</f>
        <v>3</v>
      </c>
      <c r="AB86" s="21">
        <f>VLOOKUP(X86,'Txn Pivot'!$Q:$AD,5,0)</f>
        <v>3</v>
      </c>
      <c r="AC86" s="21">
        <f>VLOOKUP(X86,'Txn Pivot'!$Q:$AD,6,0)</f>
        <v>3</v>
      </c>
      <c r="AD86" s="21">
        <f>VLOOKUP(X86,'Txn Pivot'!$Q:$AD,7,0)</f>
        <v>3</v>
      </c>
      <c r="AE86" s="21">
        <f>VLOOKUP(X86,'Txn Pivot'!$Q:$AD,8,0)</f>
        <v>0</v>
      </c>
      <c r="AF86" s="21">
        <f>VLOOKUP(X86,'Txn Pivot'!$Q:$AD,9,0)</f>
        <v>0</v>
      </c>
      <c r="AG86" s="21">
        <f>VLOOKUP(X86,'Txn Pivot'!$Q:$AD,10,0)</f>
        <v>0</v>
      </c>
      <c r="AH86" s="21">
        <f>VLOOKUP(X86,'Txn Pivot'!$Q:$AD,11,0)</f>
        <v>0</v>
      </c>
      <c r="AI86" s="21">
        <f>VLOOKUP(X86,'Txn Pivot'!$Q:$AD,12,0)</f>
        <v>0</v>
      </c>
      <c r="AJ86" s="21">
        <f>VLOOKUP(X86,'Txn Pivot'!$Q:$AD,13,0)</f>
        <v>0</v>
      </c>
      <c r="AK86" s="22">
        <f>VLOOKUP(X86,'Txn Pivot'!$Q:$AD,14,0)</f>
        <v>3</v>
      </c>
    </row>
    <row r="87" spans="2:37" x14ac:dyDescent="0.3">
      <c r="B87" s="18">
        <f t="shared" si="28"/>
        <v>8</v>
      </c>
      <c r="C87" s="19" t="s">
        <v>98</v>
      </c>
      <c r="D87" s="35">
        <f>VLOOKUP(C87,Code!$A:$G,2,0)</f>
        <v>3</v>
      </c>
      <c r="E87" s="21">
        <f>VLOOKUP(C87,'Txn Pivot'!$A:$N,3,0)</f>
        <v>961</v>
      </c>
      <c r="F87" s="21">
        <f>VLOOKUP(C87,'Txn Pivot'!$A:$N,4,0)</f>
        <v>844</v>
      </c>
      <c r="G87" s="21">
        <f>VLOOKUP(C87,'Txn Pivot'!$A:$N,5,0)</f>
        <v>908</v>
      </c>
      <c r="H87" s="21">
        <f>VLOOKUP(C87,'Txn Pivot'!$A:$N,6,0)</f>
        <v>1101</v>
      </c>
      <c r="I87" s="21">
        <f>VLOOKUP(C87,'Txn Pivot'!$A:$N,7,0)</f>
        <v>1147</v>
      </c>
      <c r="J87" s="21">
        <f>VLOOKUP(C87,'Txn Pivot'!$A:$N,8,0)</f>
        <v>202</v>
      </c>
      <c r="K87" s="21">
        <f>VLOOKUP(C87,'Txn Pivot'!$A:$N,9,0)</f>
        <v>0</v>
      </c>
      <c r="L87" s="21">
        <f>VLOOKUP(C87,'Txn Pivot'!$A:$N,10,0)</f>
        <v>0</v>
      </c>
      <c r="M87" s="21">
        <f>VLOOKUP(C87,'Txn Pivot'!$A:$N,11,0)</f>
        <v>0</v>
      </c>
      <c r="N87" s="21">
        <f>VLOOKUP(C87,'Txn Pivot'!$A:$N,12,0)</f>
        <v>0</v>
      </c>
      <c r="O87" s="21">
        <f>VLOOKUP(C87,'Txn Pivot'!$A:$N,13,0)</f>
        <v>0</v>
      </c>
      <c r="P87" s="21">
        <f>VLOOKUP(C87,'Txn Pivot'!$A:$N,14,0)</f>
        <v>0</v>
      </c>
      <c r="Q87" s="22">
        <f t="shared" si="29"/>
        <v>5163</v>
      </c>
      <c r="R87" s="40">
        <f ca="1">(Q87/D87)/$V$79</f>
        <v>10.89240506329114</v>
      </c>
      <c r="W87" s="18">
        <f>ROW()-ROW($B$79)</f>
        <v>8</v>
      </c>
      <c r="X87" s="19" t="str">
        <f>C87</f>
        <v>Shyamalesh Sarkar</v>
      </c>
      <c r="Y87" s="21">
        <f>VLOOKUP(X87,'Txn Pivot'!$Q:$AD,2,0)</f>
        <v>3</v>
      </c>
      <c r="Z87" s="21">
        <f>VLOOKUP(X87,'Txn Pivot'!$Q:$AD,3,0)</f>
        <v>3</v>
      </c>
      <c r="AA87" s="21">
        <f>VLOOKUP(X87,'Txn Pivot'!$Q:$AD,4,0)</f>
        <v>3</v>
      </c>
      <c r="AB87" s="21">
        <f>VLOOKUP(X87,'Txn Pivot'!$Q:$AD,5,0)</f>
        <v>3</v>
      </c>
      <c r="AC87" s="21">
        <f>VLOOKUP(X87,'Txn Pivot'!$Q:$AD,6,0)</f>
        <v>3</v>
      </c>
      <c r="AD87" s="21">
        <f>VLOOKUP(X87,'Txn Pivot'!$Q:$AD,7,0)</f>
        <v>3</v>
      </c>
      <c r="AE87" s="21">
        <f>VLOOKUP(X87,'Txn Pivot'!$Q:$AD,8,0)</f>
        <v>0</v>
      </c>
      <c r="AF87" s="21">
        <f>VLOOKUP(X87,'Txn Pivot'!$Q:$AD,9,0)</f>
        <v>0</v>
      </c>
      <c r="AG87" s="21">
        <f>VLOOKUP(X87,'Txn Pivot'!$Q:$AD,10,0)</f>
        <v>0</v>
      </c>
      <c r="AH87" s="21">
        <f>VLOOKUP(X87,'Txn Pivot'!$Q:$AD,11,0)</f>
        <v>0</v>
      </c>
      <c r="AI87" s="21">
        <f>VLOOKUP(X87,'Txn Pivot'!$Q:$AD,12,0)</f>
        <v>0</v>
      </c>
      <c r="AJ87" s="21">
        <f>VLOOKUP(X87,'Txn Pivot'!$Q:$AD,13,0)</f>
        <v>0</v>
      </c>
      <c r="AK87" s="22">
        <f>VLOOKUP(X87,'Txn Pivot'!$Q:$AD,14,0)</f>
        <v>3</v>
      </c>
    </row>
    <row r="88" spans="2:37" x14ac:dyDescent="0.3">
      <c r="B88" s="18">
        <f t="shared" si="28"/>
        <v>9</v>
      </c>
      <c r="C88" s="19" t="s">
        <v>96</v>
      </c>
      <c r="D88" s="35">
        <f>VLOOKUP(C88,Code!$A:$G,2,0)</f>
        <v>10</v>
      </c>
      <c r="E88" s="21">
        <f>VLOOKUP(C88,'Txn Pivot'!$A:$N,3,0)</f>
        <v>3234</v>
      </c>
      <c r="F88" s="21">
        <f>VLOOKUP(C88,'Txn Pivot'!$A:$N,4,0)</f>
        <v>3209</v>
      </c>
      <c r="G88" s="21">
        <f>VLOOKUP(C88,'Txn Pivot'!$A:$N,5,0)</f>
        <v>2834</v>
      </c>
      <c r="H88" s="21">
        <f>VLOOKUP(C88,'Txn Pivot'!$A:$N,6,0)</f>
        <v>3017</v>
      </c>
      <c r="I88" s="21">
        <f>VLOOKUP(C88,'Txn Pivot'!$A:$N,7,0)</f>
        <v>2468</v>
      </c>
      <c r="J88" s="21">
        <f>VLOOKUP(C88,'Txn Pivot'!$A:$N,8,0)</f>
        <v>473</v>
      </c>
      <c r="K88" s="21">
        <f>VLOOKUP(C88,'Txn Pivot'!$A:$N,9,0)</f>
        <v>0</v>
      </c>
      <c r="L88" s="21">
        <f>VLOOKUP(C88,'Txn Pivot'!$A:$N,10,0)</f>
        <v>0</v>
      </c>
      <c r="M88" s="21">
        <f>VLOOKUP(C88,'Txn Pivot'!$A:$N,11,0)</f>
        <v>0</v>
      </c>
      <c r="N88" s="21">
        <f>VLOOKUP(C88,'Txn Pivot'!$A:$N,12,0)</f>
        <v>0</v>
      </c>
      <c r="O88" s="21">
        <f>VLOOKUP(C88,'Txn Pivot'!$A:$N,13,0)</f>
        <v>0</v>
      </c>
      <c r="P88" s="21">
        <f>VLOOKUP(C88,'Txn Pivot'!$A:$N,14,0)</f>
        <v>0</v>
      </c>
      <c r="Q88" s="22">
        <f t="shared" si="29"/>
        <v>15235</v>
      </c>
      <c r="R88" s="40">
        <f ca="1">(Q88/D88)/$V$79</f>
        <v>9.6424050632911396</v>
      </c>
      <c r="W88" s="18">
        <f>ROW()-ROW($B$79)</f>
        <v>9</v>
      </c>
      <c r="X88" s="19" t="str">
        <f t="shared" si="30"/>
        <v>Sunil Biswas</v>
      </c>
      <c r="Y88" s="21">
        <f>VLOOKUP(X88,'Txn Pivot'!$Q:$AD,2,0)</f>
        <v>13</v>
      </c>
      <c r="Z88" s="21">
        <f>VLOOKUP(X88,'Txn Pivot'!$Q:$AD,3,0)</f>
        <v>13</v>
      </c>
      <c r="AA88" s="21">
        <f>VLOOKUP(X88,'Txn Pivot'!$Q:$AD,4,0)</f>
        <v>13</v>
      </c>
      <c r="AB88" s="21">
        <f>VLOOKUP(X88,'Txn Pivot'!$Q:$AD,5,0)</f>
        <v>13</v>
      </c>
      <c r="AC88" s="21">
        <f>VLOOKUP(X88,'Txn Pivot'!$Q:$AD,6,0)</f>
        <v>12</v>
      </c>
      <c r="AD88" s="21">
        <f>VLOOKUP(X88,'Txn Pivot'!$Q:$AD,7,0)</f>
        <v>10</v>
      </c>
      <c r="AE88" s="21">
        <f>VLOOKUP(X88,'Txn Pivot'!$Q:$AD,8,0)</f>
        <v>0</v>
      </c>
      <c r="AF88" s="21">
        <f>VLOOKUP(X88,'Txn Pivot'!$Q:$AD,9,0)</f>
        <v>0</v>
      </c>
      <c r="AG88" s="21">
        <f>VLOOKUP(X88,'Txn Pivot'!$Q:$AD,10,0)</f>
        <v>0</v>
      </c>
      <c r="AH88" s="21">
        <f>VLOOKUP(X88,'Txn Pivot'!$Q:$AD,11,0)</f>
        <v>0</v>
      </c>
      <c r="AI88" s="21">
        <f>VLOOKUP(X88,'Txn Pivot'!$Q:$AD,12,0)</f>
        <v>0</v>
      </c>
      <c r="AJ88" s="21">
        <f>VLOOKUP(X88,'Txn Pivot'!$Q:$AD,13,0)</f>
        <v>0</v>
      </c>
      <c r="AK88" s="22">
        <f>VLOOKUP(X88,'Txn Pivot'!$Q:$AD,14,0)</f>
        <v>15</v>
      </c>
    </row>
    <row r="89" spans="2:37" x14ac:dyDescent="0.3">
      <c r="B89" s="18">
        <f t="shared" si="28"/>
        <v>10</v>
      </c>
      <c r="C89" s="19" t="s">
        <v>103</v>
      </c>
      <c r="D89" s="35">
        <f>VLOOKUP(C89,Code!$A:$G,2,0)</f>
        <v>1</v>
      </c>
      <c r="E89" s="21">
        <f>VLOOKUP(C89,'Txn Pivot'!$A:$N,3,0)</f>
        <v>408</v>
      </c>
      <c r="F89" s="21">
        <f>VLOOKUP(C89,'Txn Pivot'!$A:$N,4,0)</f>
        <v>288</v>
      </c>
      <c r="G89" s="21">
        <f>VLOOKUP(C89,'Txn Pivot'!$A:$N,5,0)</f>
        <v>169</v>
      </c>
      <c r="H89" s="21">
        <f>VLOOKUP(C89,'Txn Pivot'!$A:$N,6,0)</f>
        <v>240</v>
      </c>
      <c r="I89" s="21">
        <f>VLOOKUP(C89,'Txn Pivot'!$A:$N,7,0)</f>
        <v>296</v>
      </c>
      <c r="J89" s="21">
        <f>VLOOKUP(C89,'Txn Pivot'!$A:$N,8,0)</f>
        <v>27</v>
      </c>
      <c r="K89" s="21">
        <f>VLOOKUP(C89,'Txn Pivot'!$A:$N,9,0)</f>
        <v>0</v>
      </c>
      <c r="L89" s="21">
        <f>VLOOKUP(C89,'Txn Pivot'!$A:$N,10,0)</f>
        <v>0</v>
      </c>
      <c r="M89" s="21">
        <f>VLOOKUP(C89,'Txn Pivot'!$A:$N,11,0)</f>
        <v>0</v>
      </c>
      <c r="N89" s="21">
        <f>VLOOKUP(C89,'Txn Pivot'!$A:$N,12,0)</f>
        <v>0</v>
      </c>
      <c r="O89" s="21">
        <f>VLOOKUP(C89,'Txn Pivot'!$A:$N,13,0)</f>
        <v>0</v>
      </c>
      <c r="P89" s="21">
        <f>VLOOKUP(C89,'Txn Pivot'!$A:$N,14,0)</f>
        <v>0</v>
      </c>
      <c r="Q89" s="22">
        <f t="shared" si="29"/>
        <v>1428</v>
      </c>
      <c r="R89" s="40">
        <f ca="1">(Q89/D89)/$V$79</f>
        <v>9.037974683544304</v>
      </c>
      <c r="W89" s="18">
        <f>ROW()-ROW($B$79)</f>
        <v>10</v>
      </c>
      <c r="X89" s="19" t="str">
        <f t="shared" si="30"/>
        <v>Sanjoy Paul</v>
      </c>
      <c r="Y89" s="21">
        <f>VLOOKUP(X89,'Txn Pivot'!$Q:$AD,2,0)</f>
        <v>1</v>
      </c>
      <c r="Z89" s="21">
        <f>VLOOKUP(X89,'Txn Pivot'!$Q:$AD,3,0)</f>
        <v>1</v>
      </c>
      <c r="AA89" s="21">
        <f>VLOOKUP(X89,'Txn Pivot'!$Q:$AD,4,0)</f>
        <v>1</v>
      </c>
      <c r="AB89" s="21">
        <f>VLOOKUP(X89,'Txn Pivot'!$Q:$AD,5,0)</f>
        <v>1</v>
      </c>
      <c r="AC89" s="21">
        <f>VLOOKUP(X89,'Txn Pivot'!$Q:$AD,6,0)</f>
        <v>1</v>
      </c>
      <c r="AD89" s="21">
        <f>VLOOKUP(X89,'Txn Pivot'!$Q:$AD,7,0)</f>
        <v>1</v>
      </c>
      <c r="AE89" s="21">
        <f>VLOOKUP(X89,'Txn Pivot'!$Q:$AD,8,0)</f>
        <v>0</v>
      </c>
      <c r="AF89" s="21">
        <f>VLOOKUP(X89,'Txn Pivot'!$Q:$AD,9,0)</f>
        <v>0</v>
      </c>
      <c r="AG89" s="21">
        <f>VLOOKUP(X89,'Txn Pivot'!$Q:$AD,10,0)</f>
        <v>0</v>
      </c>
      <c r="AH89" s="21">
        <f>VLOOKUP(X89,'Txn Pivot'!$Q:$AD,11,0)</f>
        <v>0</v>
      </c>
      <c r="AI89" s="21">
        <f>VLOOKUP(X89,'Txn Pivot'!$Q:$AD,12,0)</f>
        <v>0</v>
      </c>
      <c r="AJ89" s="21">
        <f>VLOOKUP(X89,'Txn Pivot'!$Q:$AD,13,0)</f>
        <v>0</v>
      </c>
      <c r="AK89" s="22">
        <f>VLOOKUP(X89,'Txn Pivot'!$Q:$AD,14,0)</f>
        <v>1</v>
      </c>
    </row>
    <row r="90" spans="2:37" x14ac:dyDescent="0.3">
      <c r="B90" s="18">
        <f t="shared" si="28"/>
        <v>11</v>
      </c>
      <c r="C90" s="19" t="s">
        <v>95</v>
      </c>
      <c r="D90" s="35">
        <f>VLOOKUP(C90,Code!$A:$G,2,0)</f>
        <v>6</v>
      </c>
      <c r="E90" s="21">
        <f>VLOOKUP(C90,'Txn Pivot'!$A:$N,3,0)</f>
        <v>940</v>
      </c>
      <c r="F90" s="21">
        <f>VLOOKUP(C90,'Txn Pivot'!$A:$N,4,0)</f>
        <v>905</v>
      </c>
      <c r="G90" s="21">
        <f>VLOOKUP(C90,'Txn Pivot'!$A:$N,5,0)</f>
        <v>666</v>
      </c>
      <c r="H90" s="21">
        <f>VLOOKUP(C90,'Txn Pivot'!$A:$N,6,0)</f>
        <v>966</v>
      </c>
      <c r="I90" s="21">
        <f>VLOOKUP(C90,'Txn Pivot'!$A:$N,7,0)</f>
        <v>986</v>
      </c>
      <c r="J90" s="21">
        <f>VLOOKUP(C90,'Txn Pivot'!$A:$N,8,0)</f>
        <v>184</v>
      </c>
      <c r="K90" s="21">
        <f>VLOOKUP(C90,'Txn Pivot'!$A:$N,9,0)</f>
        <v>0</v>
      </c>
      <c r="L90" s="21">
        <f>VLOOKUP(C90,'Txn Pivot'!$A:$N,10,0)</f>
        <v>0</v>
      </c>
      <c r="M90" s="21">
        <f>VLOOKUP(C90,'Txn Pivot'!$A:$N,11,0)</f>
        <v>0</v>
      </c>
      <c r="N90" s="21">
        <f>VLOOKUP(C90,'Txn Pivot'!$A:$N,12,0)</f>
        <v>0</v>
      </c>
      <c r="O90" s="21">
        <f>VLOOKUP(C90,'Txn Pivot'!$A:$N,13,0)</f>
        <v>0</v>
      </c>
      <c r="P90" s="21">
        <f>VLOOKUP(C90,'Txn Pivot'!$A:$N,14,0)</f>
        <v>0</v>
      </c>
      <c r="Q90" s="22">
        <f t="shared" si="29"/>
        <v>4647</v>
      </c>
      <c r="R90" s="40">
        <f ca="1">(Q90/D90)/$V$79</f>
        <v>4.9018987341772151</v>
      </c>
      <c r="W90" s="18">
        <f>ROW()-ROW($B$79)</f>
        <v>11</v>
      </c>
      <c r="X90" s="19" t="str">
        <f t="shared" si="30"/>
        <v>Santanu Bera</v>
      </c>
      <c r="Y90" s="21">
        <f>VLOOKUP(X90,'Txn Pivot'!$Q:$AD,2,0)</f>
        <v>5</v>
      </c>
      <c r="Z90" s="21">
        <f>VLOOKUP(X90,'Txn Pivot'!$Q:$AD,3,0)</f>
        <v>5</v>
      </c>
      <c r="AA90" s="21">
        <f>VLOOKUP(X90,'Txn Pivot'!$Q:$AD,4,0)</f>
        <v>6</v>
      </c>
      <c r="AB90" s="21">
        <f>VLOOKUP(X90,'Txn Pivot'!$Q:$AD,5,0)</f>
        <v>6</v>
      </c>
      <c r="AC90" s="21">
        <f>VLOOKUP(X90,'Txn Pivot'!$Q:$AD,6,0)</f>
        <v>6</v>
      </c>
      <c r="AD90" s="21">
        <f>VLOOKUP(X90,'Txn Pivot'!$Q:$AD,7,0)</f>
        <v>6</v>
      </c>
      <c r="AE90" s="21">
        <f>VLOOKUP(X90,'Txn Pivot'!$Q:$AD,8,0)</f>
        <v>0</v>
      </c>
      <c r="AF90" s="21">
        <f>VLOOKUP(X90,'Txn Pivot'!$Q:$AD,9,0)</f>
        <v>0</v>
      </c>
      <c r="AG90" s="21">
        <f>VLOOKUP(X90,'Txn Pivot'!$Q:$AD,10,0)</f>
        <v>0</v>
      </c>
      <c r="AH90" s="21">
        <f>VLOOKUP(X90,'Txn Pivot'!$Q:$AD,11,0)</f>
        <v>0</v>
      </c>
      <c r="AI90" s="21">
        <f>VLOOKUP(X90,'Txn Pivot'!$Q:$AD,12,0)</f>
        <v>0</v>
      </c>
      <c r="AJ90" s="21">
        <f>VLOOKUP(X90,'Txn Pivot'!$Q:$AD,13,0)</f>
        <v>0</v>
      </c>
      <c r="AK90" s="22">
        <f>VLOOKUP(X90,'Txn Pivot'!$Q:$AD,14,0)</f>
        <v>6</v>
      </c>
    </row>
    <row r="91" spans="2:37" x14ac:dyDescent="0.3">
      <c r="B91" s="18">
        <f t="shared" si="28"/>
        <v>12</v>
      </c>
      <c r="C91" s="19" t="s">
        <v>93</v>
      </c>
      <c r="D91" s="35">
        <f>VLOOKUP(C91,Code!$A:$G,2,0)</f>
        <v>4</v>
      </c>
      <c r="E91" s="21">
        <f>VLOOKUP(C91,'Txn Pivot'!$A:$N,3,0)</f>
        <v>475</v>
      </c>
      <c r="F91" s="21">
        <f>VLOOKUP(C91,'Txn Pivot'!$A:$N,4,0)</f>
        <v>458</v>
      </c>
      <c r="G91" s="21">
        <f>VLOOKUP(C91,'Txn Pivot'!$A:$N,5,0)</f>
        <v>496</v>
      </c>
      <c r="H91" s="21">
        <f>VLOOKUP(C91,'Txn Pivot'!$A:$N,6,0)</f>
        <v>586</v>
      </c>
      <c r="I91" s="21">
        <f>VLOOKUP(C91,'Txn Pivot'!$A:$N,7,0)</f>
        <v>812</v>
      </c>
      <c r="J91" s="21">
        <f>VLOOKUP(C91,'Txn Pivot'!$A:$N,8,0)</f>
        <v>104</v>
      </c>
      <c r="K91" s="21">
        <f>VLOOKUP(C91,'Txn Pivot'!$A:$N,9,0)</f>
        <v>0</v>
      </c>
      <c r="L91" s="21">
        <f>VLOOKUP(C91,'Txn Pivot'!$A:$N,10,0)</f>
        <v>0</v>
      </c>
      <c r="M91" s="21">
        <f>VLOOKUP(C91,'Txn Pivot'!$A:$N,11,0)</f>
        <v>0</v>
      </c>
      <c r="N91" s="21">
        <f>VLOOKUP(C91,'Txn Pivot'!$A:$N,12,0)</f>
        <v>0</v>
      </c>
      <c r="O91" s="21">
        <f>VLOOKUP(C91,'Txn Pivot'!$A:$N,13,0)</f>
        <v>0</v>
      </c>
      <c r="P91" s="21">
        <f>VLOOKUP(C91,'Txn Pivot'!$A:$N,14,0)</f>
        <v>0</v>
      </c>
      <c r="Q91" s="22">
        <f t="shared" si="29"/>
        <v>2931</v>
      </c>
      <c r="R91" s="40">
        <f ca="1">(Q91/D91)/$V$79</f>
        <v>4.6376582278481013</v>
      </c>
      <c r="W91" s="18">
        <f>ROW()-ROW($B$79)</f>
        <v>12</v>
      </c>
      <c r="X91" s="19" t="str">
        <f t="shared" si="30"/>
        <v>Manindra Nath Barman</v>
      </c>
      <c r="Y91" s="21">
        <f>VLOOKUP(X91,'Txn Pivot'!$Q:$AD,2,0)</f>
        <v>4</v>
      </c>
      <c r="Z91" s="21">
        <f>VLOOKUP(X91,'Txn Pivot'!$Q:$AD,3,0)</f>
        <v>5</v>
      </c>
      <c r="AA91" s="21">
        <f>VLOOKUP(X91,'Txn Pivot'!$Q:$AD,4,0)</f>
        <v>6</v>
      </c>
      <c r="AB91" s="21">
        <f>VLOOKUP(X91,'Txn Pivot'!$Q:$AD,5,0)</f>
        <v>6</v>
      </c>
      <c r="AC91" s="21">
        <f>VLOOKUP(X91,'Txn Pivot'!$Q:$AD,6,0)</f>
        <v>7</v>
      </c>
      <c r="AD91" s="21">
        <f>VLOOKUP(X91,'Txn Pivot'!$Q:$AD,7,0)</f>
        <v>4</v>
      </c>
      <c r="AE91" s="21">
        <f>VLOOKUP(X91,'Txn Pivot'!$Q:$AD,8,0)</f>
        <v>0</v>
      </c>
      <c r="AF91" s="21">
        <f>VLOOKUP(X91,'Txn Pivot'!$Q:$AD,9,0)</f>
        <v>0</v>
      </c>
      <c r="AG91" s="21">
        <f>VLOOKUP(X91,'Txn Pivot'!$Q:$AD,10,0)</f>
        <v>0</v>
      </c>
      <c r="AH91" s="21">
        <f>VLOOKUP(X91,'Txn Pivot'!$Q:$AD,11,0)</f>
        <v>0</v>
      </c>
      <c r="AI91" s="21">
        <f>VLOOKUP(X91,'Txn Pivot'!$Q:$AD,12,0)</f>
        <v>0</v>
      </c>
      <c r="AJ91" s="21">
        <f>VLOOKUP(X91,'Txn Pivot'!$Q:$AD,13,0)</f>
        <v>0</v>
      </c>
      <c r="AK91" s="22">
        <f>VLOOKUP(X91,'Txn Pivot'!$Q:$AD,14,0)</f>
        <v>6</v>
      </c>
    </row>
    <row r="92" spans="2:37" x14ac:dyDescent="0.3">
      <c r="B92" s="18">
        <f t="shared" si="28"/>
        <v>13</v>
      </c>
      <c r="C92" s="19" t="s">
        <v>101</v>
      </c>
      <c r="D92" s="35">
        <f>VLOOKUP(C92,Code!$A:$G,2,0)</f>
        <v>2</v>
      </c>
      <c r="E92" s="21">
        <f>VLOOKUP(C92,'Txn Pivot'!$A:$N,3,0)</f>
        <v>238</v>
      </c>
      <c r="F92" s="21">
        <f>VLOOKUP(C92,'Txn Pivot'!$A:$N,4,0)</f>
        <v>254</v>
      </c>
      <c r="G92" s="21">
        <f>VLOOKUP(C92,'Txn Pivot'!$A:$N,5,0)</f>
        <v>207</v>
      </c>
      <c r="H92" s="21">
        <f>VLOOKUP(C92,'Txn Pivot'!$A:$N,6,0)</f>
        <v>326</v>
      </c>
      <c r="I92" s="21">
        <f>VLOOKUP(C92,'Txn Pivot'!$A:$N,7,0)</f>
        <v>234</v>
      </c>
      <c r="J92" s="21">
        <f>VLOOKUP(C92,'Txn Pivot'!$A:$N,8,0)</f>
        <v>78</v>
      </c>
      <c r="K92" s="21">
        <f>VLOOKUP(C92,'Txn Pivot'!$A:$N,9,0)</f>
        <v>0</v>
      </c>
      <c r="L92" s="21">
        <f>VLOOKUP(C92,'Txn Pivot'!$A:$N,10,0)</f>
        <v>0</v>
      </c>
      <c r="M92" s="21">
        <f>VLOOKUP(C92,'Txn Pivot'!$A:$N,11,0)</f>
        <v>0</v>
      </c>
      <c r="N92" s="21">
        <f>VLOOKUP(C92,'Txn Pivot'!$A:$N,12,0)</f>
        <v>0</v>
      </c>
      <c r="O92" s="21">
        <f>VLOOKUP(C92,'Txn Pivot'!$A:$N,13,0)</f>
        <v>0</v>
      </c>
      <c r="P92" s="21">
        <f>VLOOKUP(C92,'Txn Pivot'!$A:$N,14,0)</f>
        <v>0</v>
      </c>
      <c r="Q92" s="22">
        <f t="shared" si="29"/>
        <v>1337</v>
      </c>
      <c r="R92" s="40">
        <f ca="1">(Q92/D92)/$V$79</f>
        <v>4.231012658227848</v>
      </c>
      <c r="W92" s="18">
        <f>ROW()-ROW($B$79)</f>
        <v>13</v>
      </c>
      <c r="X92" s="19" t="str">
        <f t="shared" si="30"/>
        <v>Pijush Singha</v>
      </c>
      <c r="Y92" s="21">
        <f>VLOOKUP(X92,'Txn Pivot'!$Q:$AD,2,0)</f>
        <v>2</v>
      </c>
      <c r="Z92" s="21">
        <f>VLOOKUP(X92,'Txn Pivot'!$Q:$AD,3,0)</f>
        <v>2</v>
      </c>
      <c r="AA92" s="21">
        <f>VLOOKUP(X92,'Txn Pivot'!$Q:$AD,4,0)</f>
        <v>2</v>
      </c>
      <c r="AB92" s="21">
        <f>VLOOKUP(X92,'Txn Pivot'!$Q:$AD,5,0)</f>
        <v>2</v>
      </c>
      <c r="AC92" s="21">
        <f>VLOOKUP(X92,'Txn Pivot'!$Q:$AD,6,0)</f>
        <v>2</v>
      </c>
      <c r="AD92" s="21">
        <f>VLOOKUP(X92,'Txn Pivot'!$Q:$AD,7,0)</f>
        <v>2</v>
      </c>
      <c r="AE92" s="21">
        <f>VLOOKUP(X92,'Txn Pivot'!$Q:$AD,8,0)</f>
        <v>0</v>
      </c>
      <c r="AF92" s="21">
        <f>VLOOKUP(X92,'Txn Pivot'!$Q:$AD,9,0)</f>
        <v>0</v>
      </c>
      <c r="AG92" s="21">
        <f>VLOOKUP(X92,'Txn Pivot'!$Q:$AD,10,0)</f>
        <v>0</v>
      </c>
      <c r="AH92" s="21">
        <f>VLOOKUP(X92,'Txn Pivot'!$Q:$AD,11,0)</f>
        <v>0</v>
      </c>
      <c r="AI92" s="21">
        <f>VLOOKUP(X92,'Txn Pivot'!$Q:$AD,12,0)</f>
        <v>0</v>
      </c>
      <c r="AJ92" s="21">
        <f>VLOOKUP(X92,'Txn Pivot'!$Q:$AD,13,0)</f>
        <v>0</v>
      </c>
      <c r="AK92" s="22">
        <f>VLOOKUP(X92,'Txn Pivot'!$Q:$AD,14,0)</f>
        <v>2</v>
      </c>
    </row>
    <row r="93" spans="2:37" x14ac:dyDescent="0.3">
      <c r="B93" s="18">
        <f t="shared" si="28"/>
        <v>14</v>
      </c>
      <c r="C93" s="19" t="s">
        <v>449</v>
      </c>
      <c r="D93" s="35">
        <f>VLOOKUP(C93,Code!$A:$G,2,0)</f>
        <v>1</v>
      </c>
      <c r="E93" s="21">
        <f>VLOOKUP(C93,'Txn Pivot'!$A:$N,3,0)</f>
        <v>0</v>
      </c>
      <c r="F93" s="21">
        <f>VLOOKUP(C93,'Txn Pivot'!$A:$N,4,0)</f>
        <v>0</v>
      </c>
      <c r="G93" s="21">
        <f>VLOOKUP(C93,'Txn Pivot'!$A:$N,5,0)</f>
        <v>0</v>
      </c>
      <c r="H93" s="21">
        <f>VLOOKUP(C93,'Txn Pivot'!$A:$N,6,0)</f>
        <v>0</v>
      </c>
      <c r="I93" s="21">
        <f>VLOOKUP(C93,'Txn Pivot'!$A:$N,7,0)</f>
        <v>128</v>
      </c>
      <c r="J93" s="21">
        <f>VLOOKUP(C93,'Txn Pivot'!$A:$N,8,0)</f>
        <v>69</v>
      </c>
      <c r="K93" s="21">
        <f>VLOOKUP(C93,'Txn Pivot'!$A:$N,9,0)</f>
        <v>0</v>
      </c>
      <c r="L93" s="21">
        <f>VLOOKUP(C93,'Txn Pivot'!$A:$N,10,0)</f>
        <v>0</v>
      </c>
      <c r="M93" s="21">
        <f>VLOOKUP(C93,'Txn Pivot'!$A:$N,11,0)</f>
        <v>0</v>
      </c>
      <c r="N93" s="21">
        <f>VLOOKUP(C93,'Txn Pivot'!$A:$N,12,0)</f>
        <v>0</v>
      </c>
      <c r="O93" s="21">
        <f>VLOOKUP(C93,'Txn Pivot'!$A:$N,13,0)</f>
        <v>0</v>
      </c>
      <c r="P93" s="21">
        <f>VLOOKUP(C93,'Txn Pivot'!$A:$N,14,0)</f>
        <v>0</v>
      </c>
      <c r="Q93" s="22">
        <f t="shared" si="29"/>
        <v>197</v>
      </c>
      <c r="R93" s="40">
        <f ca="1">(Q93/D93)/$V$79</f>
        <v>1.2468354430379747</v>
      </c>
      <c r="W93" s="18">
        <f>ROW()-ROW($B$79)</f>
        <v>14</v>
      </c>
      <c r="X93" s="19" t="str">
        <f t="shared" si="30"/>
        <v>Mousumi Sarkar</v>
      </c>
      <c r="Y93" s="21">
        <f>VLOOKUP(X93,'Txn Pivot'!$Q:$AD,2,0)</f>
        <v>0</v>
      </c>
      <c r="Z93" s="21">
        <f>VLOOKUP(X93,'Txn Pivot'!$Q:$AD,3,0)</f>
        <v>0</v>
      </c>
      <c r="AA93" s="21">
        <f>VLOOKUP(X93,'Txn Pivot'!$Q:$AD,4,0)</f>
        <v>0</v>
      </c>
      <c r="AB93" s="21">
        <f>VLOOKUP(X93,'Txn Pivot'!$Q:$AD,5,0)</f>
        <v>0</v>
      </c>
      <c r="AC93" s="21">
        <f>VLOOKUP(X93,'Txn Pivot'!$Q:$AD,6,0)</f>
        <v>1</v>
      </c>
      <c r="AD93" s="21">
        <f>VLOOKUP(X93,'Txn Pivot'!$Q:$AD,7,0)</f>
        <v>1</v>
      </c>
      <c r="AE93" s="21">
        <f>VLOOKUP(X93,'Txn Pivot'!$Q:$AD,8,0)</f>
        <v>0</v>
      </c>
      <c r="AF93" s="21">
        <f>VLOOKUP(X93,'Txn Pivot'!$Q:$AD,9,0)</f>
        <v>0</v>
      </c>
      <c r="AG93" s="21">
        <f>VLOOKUP(X93,'Txn Pivot'!$Q:$AD,10,0)</f>
        <v>0</v>
      </c>
      <c r="AH93" s="21">
        <f>VLOOKUP(X93,'Txn Pivot'!$Q:$AD,11,0)</f>
        <v>0</v>
      </c>
      <c r="AI93" s="21">
        <f>VLOOKUP(X93,'Txn Pivot'!$Q:$AD,12,0)</f>
        <v>0</v>
      </c>
      <c r="AJ93" s="21">
        <f>VLOOKUP(X93,'Txn Pivot'!$Q:$AD,13,0)</f>
        <v>0</v>
      </c>
      <c r="AK93" s="22">
        <f>VLOOKUP(X93,'Txn Pivot'!$Q:$AD,14,0)</f>
        <v>0</v>
      </c>
    </row>
    <row r="94" spans="2:37" ht="3" customHeight="1" x14ac:dyDescent="0.3">
      <c r="R94" s="28"/>
    </row>
    <row r="95" spans="2:37" x14ac:dyDescent="0.3">
      <c r="B95" s="215" t="s">
        <v>283</v>
      </c>
      <c r="C95" s="216"/>
      <c r="D95" s="36">
        <f t="shared" ref="D95:Q95" si="31">SUM(D80:D93)</f>
        <v>79</v>
      </c>
      <c r="E95" s="29">
        <f t="shared" si="31"/>
        <v>41912</v>
      </c>
      <c r="F95" s="29">
        <f t="shared" si="31"/>
        <v>39960</v>
      </c>
      <c r="G95" s="29">
        <f t="shared" si="31"/>
        <v>35932</v>
      </c>
      <c r="H95" s="29">
        <f t="shared" si="31"/>
        <v>41635</v>
      </c>
      <c r="I95" s="29">
        <f t="shared" si="31"/>
        <v>46138</v>
      </c>
      <c r="J95" s="29">
        <f t="shared" si="31"/>
        <v>8592</v>
      </c>
      <c r="K95" s="29">
        <f t="shared" si="31"/>
        <v>0</v>
      </c>
      <c r="L95" s="29">
        <f t="shared" si="31"/>
        <v>0</v>
      </c>
      <c r="M95" s="29">
        <f t="shared" si="31"/>
        <v>0</v>
      </c>
      <c r="N95" s="29">
        <f t="shared" si="31"/>
        <v>0</v>
      </c>
      <c r="O95" s="29">
        <f t="shared" si="31"/>
        <v>0</v>
      </c>
      <c r="P95" s="29">
        <f t="shared" si="31"/>
        <v>0</v>
      </c>
      <c r="Q95" s="29">
        <f t="shared" si="31"/>
        <v>214169</v>
      </c>
      <c r="R95" s="29">
        <f ca="1">(Q95/D95)/$V$79</f>
        <v>17.158227848101266</v>
      </c>
      <c r="W95" s="215" t="s">
        <v>283</v>
      </c>
      <c r="X95" s="216"/>
      <c r="Y95" s="29">
        <f t="shared" ref="Y95:AK95" si="32">SUM(Y80:Y93)</f>
        <v>82</v>
      </c>
      <c r="Z95" s="29">
        <f t="shared" si="32"/>
        <v>83</v>
      </c>
      <c r="AA95" s="29">
        <f t="shared" si="32"/>
        <v>84</v>
      </c>
      <c r="AB95" s="29">
        <f t="shared" si="32"/>
        <v>84</v>
      </c>
      <c r="AC95" s="29">
        <f t="shared" si="32"/>
        <v>86</v>
      </c>
      <c r="AD95" s="29">
        <f t="shared" si="32"/>
        <v>79</v>
      </c>
      <c r="AE95" s="29">
        <f t="shared" si="32"/>
        <v>0</v>
      </c>
      <c r="AF95" s="29">
        <f t="shared" si="32"/>
        <v>0</v>
      </c>
      <c r="AG95" s="29">
        <f t="shared" si="32"/>
        <v>0</v>
      </c>
      <c r="AH95" s="29">
        <f t="shared" si="32"/>
        <v>0</v>
      </c>
      <c r="AI95" s="29">
        <f t="shared" si="32"/>
        <v>0</v>
      </c>
      <c r="AJ95" s="29">
        <f t="shared" si="32"/>
        <v>0</v>
      </c>
      <c r="AK95" s="29">
        <f t="shared" si="32"/>
        <v>89</v>
      </c>
    </row>
    <row r="97" spans="2:37" x14ac:dyDescent="0.3">
      <c r="B97" s="265" t="s">
        <v>325</v>
      </c>
      <c r="C97" s="266"/>
      <c r="D97" s="266"/>
      <c r="E97" s="266"/>
      <c r="F97" s="266"/>
      <c r="G97" s="266"/>
      <c r="H97" s="266"/>
      <c r="I97" s="266"/>
      <c r="J97" s="266"/>
      <c r="K97" s="266"/>
      <c r="L97" s="266"/>
      <c r="M97" s="266"/>
      <c r="N97" s="266"/>
      <c r="O97" s="266"/>
      <c r="P97" s="266"/>
      <c r="Q97" s="266"/>
      <c r="R97" s="266"/>
      <c r="W97" s="265" t="s">
        <v>325</v>
      </c>
      <c r="X97" s="266"/>
      <c r="Y97" s="266"/>
      <c r="Z97" s="266"/>
      <c r="AA97" s="266"/>
      <c r="AB97" s="266"/>
      <c r="AC97" s="266"/>
      <c r="AD97" s="266"/>
      <c r="AE97" s="266"/>
      <c r="AF97" s="266"/>
      <c r="AG97" s="266"/>
      <c r="AH97" s="266"/>
      <c r="AI97" s="266"/>
      <c r="AJ97" s="266"/>
      <c r="AK97" s="266"/>
    </row>
    <row r="98" spans="2:37" s="17" customFormat="1" ht="28.8" x14ac:dyDescent="0.3">
      <c r="B98" s="16" t="s">
        <v>279</v>
      </c>
      <c r="C98" s="16" t="s">
        <v>264</v>
      </c>
      <c r="D98" s="16" t="s">
        <v>287</v>
      </c>
      <c r="E98" s="3">
        <v>46113</v>
      </c>
      <c r="F98" s="3">
        <v>46143</v>
      </c>
      <c r="G98" s="3">
        <v>46174</v>
      </c>
      <c r="H98" s="3">
        <v>46204</v>
      </c>
      <c r="I98" s="3">
        <v>46235</v>
      </c>
      <c r="J98" s="3">
        <v>46266</v>
      </c>
      <c r="K98" s="3">
        <v>46296</v>
      </c>
      <c r="L98" s="3">
        <v>46327</v>
      </c>
      <c r="M98" s="3">
        <v>46357</v>
      </c>
      <c r="N98" s="3">
        <v>46388</v>
      </c>
      <c r="O98" s="3">
        <v>46419</v>
      </c>
      <c r="P98" s="3">
        <v>46447</v>
      </c>
      <c r="Q98" s="16" t="s">
        <v>273</v>
      </c>
      <c r="R98" s="16" t="s">
        <v>328</v>
      </c>
      <c r="W98" s="16" t="s">
        <v>279</v>
      </c>
      <c r="X98" s="16" t="s">
        <v>264</v>
      </c>
      <c r="Y98" s="3">
        <v>46113</v>
      </c>
      <c r="Z98" s="3">
        <v>46143</v>
      </c>
      <c r="AA98" s="3">
        <v>46174</v>
      </c>
      <c r="AB98" s="3">
        <v>46204</v>
      </c>
      <c r="AC98" s="3">
        <v>46235</v>
      </c>
      <c r="AD98" s="3">
        <v>46266</v>
      </c>
      <c r="AE98" s="3">
        <v>46296</v>
      </c>
      <c r="AF98" s="3">
        <v>46327</v>
      </c>
      <c r="AG98" s="3">
        <v>46357</v>
      </c>
      <c r="AH98" s="3">
        <v>46388</v>
      </c>
      <c r="AI98" s="3">
        <v>46419</v>
      </c>
      <c r="AJ98" s="3">
        <v>46447</v>
      </c>
      <c r="AK98" s="16" t="s">
        <v>443</v>
      </c>
    </row>
    <row r="99" spans="2:37" x14ac:dyDescent="0.3">
      <c r="B99" s="18">
        <f>ROW()-ROW($B$98)</f>
        <v>1</v>
      </c>
      <c r="C99" s="19" t="s">
        <v>102</v>
      </c>
      <c r="D99" s="35">
        <f>VLOOKUP(C99,Code!$A:$G,4,0)</f>
        <v>3</v>
      </c>
      <c r="E99" s="21">
        <f>VLOOKUP(C99,'Comm Pivot'!$A:$N,2,0)</f>
        <v>23798</v>
      </c>
      <c r="F99" s="21">
        <f>VLOOKUP(C99,'Comm Pivot'!$A:$N,3,0)</f>
        <v>22839</v>
      </c>
      <c r="G99" s="21">
        <f>VLOOKUP(C99,'Comm Pivot'!$A:$N,4,0)</f>
        <v>27775.75</v>
      </c>
      <c r="H99" s="21">
        <f>VLOOKUP(C99,'Comm Pivot'!$A:$N,5,0)</f>
        <v>39851.5</v>
      </c>
      <c r="I99" s="21">
        <f>VLOOKUP(C99,'Comm Pivot'!$A:$N,6,0)</f>
        <v>65113.5</v>
      </c>
      <c r="J99" s="21">
        <f>VLOOKUP(C99,'Comm Pivot'!$A:$N,7,0)</f>
        <v>0</v>
      </c>
      <c r="K99" s="21">
        <f>VLOOKUP(C99,'Comm Pivot'!$A:$N,8,0)</f>
        <v>0</v>
      </c>
      <c r="L99" s="21">
        <f>VLOOKUP(C99,'Comm Pivot'!$A:$N,9,0)</f>
        <v>0</v>
      </c>
      <c r="M99" s="21">
        <f>VLOOKUP(C99,'Comm Pivot'!$A:$N,10,0)</f>
        <v>0</v>
      </c>
      <c r="N99" s="21">
        <f>VLOOKUP(C99,'Comm Pivot'!$A:$N,11,0)</f>
        <v>0</v>
      </c>
      <c r="O99" s="21">
        <f>VLOOKUP(C99,'Comm Pivot'!$A:$N,12,0)</f>
        <v>0</v>
      </c>
      <c r="P99" s="21">
        <f>VLOOKUP(C99,'Comm Pivot'!$A:$N,13,0)</f>
        <v>0</v>
      </c>
      <c r="Q99" s="22">
        <f t="shared" ref="Q99:Q112" si="33">SUM(E99:P99)</f>
        <v>179377.75</v>
      </c>
      <c r="R99" s="40">
        <f t="shared" ref="R99:R112" si="34">Q99/D99/$R$115</f>
        <v>19930.861111111113</v>
      </c>
      <c r="T99" s="24"/>
      <c r="U99" s="25"/>
      <c r="V99" s="25"/>
      <c r="W99" s="18">
        <f t="shared" ref="W99:W112" si="35">ROW()-ROW($B$98)</f>
        <v>1</v>
      </c>
      <c r="X99" s="19" t="str">
        <f>C99</f>
        <v>Rajendra Kumar Bapari</v>
      </c>
      <c r="Y99" s="21">
        <f>VLOOKUP(X99,'Comm Pivot'!$P:$AC,2,0)</f>
        <v>3</v>
      </c>
      <c r="Z99" s="21">
        <f>VLOOKUP(X99,'Comm Pivot'!$P:$AC,3,0)</f>
        <v>3</v>
      </c>
      <c r="AA99" s="21">
        <f>VLOOKUP(X99,'Comm Pivot'!$P:$AC,4,0)</f>
        <v>3</v>
      </c>
      <c r="AB99" s="21">
        <f>VLOOKUP(X99,'Comm Pivot'!$P:$AC,5,0)</f>
        <v>3</v>
      </c>
      <c r="AC99" s="21">
        <f>VLOOKUP(X99,'Comm Pivot'!$P:$AC,6,0)</f>
        <v>3</v>
      </c>
      <c r="AD99" s="21">
        <f>VLOOKUP(X99,'Comm Pivot'!$P:$AC,7,0)</f>
        <v>0</v>
      </c>
      <c r="AE99" s="21">
        <f>VLOOKUP(X99,'Comm Pivot'!$P:$AC,8,0)</f>
        <v>0</v>
      </c>
      <c r="AF99" s="21">
        <f>VLOOKUP(X99,'Comm Pivot'!$P:$AC,9,0)</f>
        <v>0</v>
      </c>
      <c r="AG99" s="21">
        <f>VLOOKUP(X99,'Comm Pivot'!$P:$AC,10,0)</f>
        <v>0</v>
      </c>
      <c r="AH99" s="21">
        <f>VLOOKUP(X99,'Comm Pivot'!$P:$AC,11,0)</f>
        <v>0</v>
      </c>
      <c r="AI99" s="21">
        <f>VLOOKUP(X99,'Comm Pivot'!$P:$AC,12,0)</f>
        <v>0</v>
      </c>
      <c r="AJ99" s="21">
        <f>VLOOKUP(X99,'Comm Pivot'!$P:$AC,13,0)</f>
        <v>0</v>
      </c>
      <c r="AK99" s="22">
        <f>VLOOKUP(X99,'Comm Pivot'!$P:$AC,14,0)</f>
        <v>3</v>
      </c>
    </row>
    <row r="100" spans="2:37" x14ac:dyDescent="0.3">
      <c r="B100" s="18">
        <f>ROW()-ROW($B$98)</f>
        <v>2</v>
      </c>
      <c r="C100" s="19" t="s">
        <v>457</v>
      </c>
      <c r="D100" s="35">
        <f>VLOOKUP(C100,Code!$A:$G,4,0)</f>
        <v>19</v>
      </c>
      <c r="E100" s="21">
        <f>VLOOKUP(C100,'Comm Pivot'!$A:$N,2,0)</f>
        <v>175386</v>
      </c>
      <c r="F100" s="21">
        <f>VLOOKUP(C100,'Comm Pivot'!$A:$N,3,0)</f>
        <v>185631.75</v>
      </c>
      <c r="G100" s="21">
        <f>VLOOKUP(C100,'Comm Pivot'!$A:$N,4,0)</f>
        <v>170952.25</v>
      </c>
      <c r="H100" s="21">
        <f>VLOOKUP(C100,'Comm Pivot'!$A:$N,5,0)</f>
        <v>194291.5</v>
      </c>
      <c r="I100" s="21">
        <f>VLOOKUP(C100,'Comm Pivot'!$A:$N,6,0)</f>
        <v>218364.5</v>
      </c>
      <c r="J100" s="21">
        <f>VLOOKUP(C100,'Comm Pivot'!$A:$N,7,0)</f>
        <v>0</v>
      </c>
      <c r="K100" s="21">
        <f>VLOOKUP(C100,'Comm Pivot'!$A:$N,8,0)</f>
        <v>0</v>
      </c>
      <c r="L100" s="21">
        <f>VLOOKUP(C100,'Comm Pivot'!$A:$N,9,0)</f>
        <v>0</v>
      </c>
      <c r="M100" s="21">
        <f>VLOOKUP(C100,'Comm Pivot'!$A:$N,10,0)</f>
        <v>0</v>
      </c>
      <c r="N100" s="21">
        <f>VLOOKUP(C100,'Comm Pivot'!$A:$N,11,0)</f>
        <v>0</v>
      </c>
      <c r="O100" s="21">
        <f>VLOOKUP(C100,'Comm Pivot'!$A:$N,12,0)</f>
        <v>0</v>
      </c>
      <c r="P100" s="21">
        <f>VLOOKUP(C100,'Comm Pivot'!$A:$N,13,0)</f>
        <v>0</v>
      </c>
      <c r="Q100" s="22">
        <f t="shared" si="33"/>
        <v>944626</v>
      </c>
      <c r="R100" s="40">
        <f t="shared" si="34"/>
        <v>16572.385964912279</v>
      </c>
      <c r="T100" s="24"/>
      <c r="U100" s="25"/>
      <c r="V100" s="25"/>
      <c r="W100" s="18">
        <f t="shared" si="35"/>
        <v>2</v>
      </c>
      <c r="X100" s="19" t="str">
        <f t="shared" ref="X100:X112" si="36">C100</f>
        <v>Under Office (W Medinipur)</v>
      </c>
      <c r="Y100" s="21">
        <f>VLOOKUP(X100,'Comm Pivot'!$P:$AC,2,0)</f>
        <v>19</v>
      </c>
      <c r="Z100" s="21">
        <f>VLOOKUP(X100,'Comm Pivot'!$P:$AC,3,0)</f>
        <v>19</v>
      </c>
      <c r="AA100" s="21">
        <f>VLOOKUP(X100,'Comm Pivot'!$P:$AC,4,0)</f>
        <v>19</v>
      </c>
      <c r="AB100" s="21">
        <f>VLOOKUP(X100,'Comm Pivot'!$P:$AC,5,0)</f>
        <v>19</v>
      </c>
      <c r="AC100" s="21">
        <f>VLOOKUP(X100,'Comm Pivot'!$P:$AC,6,0)</f>
        <v>19</v>
      </c>
      <c r="AD100" s="21">
        <f>VLOOKUP(X100,'Comm Pivot'!$P:$AC,7,0)</f>
        <v>0</v>
      </c>
      <c r="AE100" s="21">
        <f>VLOOKUP(X100,'Comm Pivot'!$P:$AC,8,0)</f>
        <v>0</v>
      </c>
      <c r="AF100" s="21">
        <f>VLOOKUP(X100,'Comm Pivot'!$P:$AC,9,0)</f>
        <v>0</v>
      </c>
      <c r="AG100" s="21">
        <f>VLOOKUP(X100,'Comm Pivot'!$P:$AC,10,0)</f>
        <v>0</v>
      </c>
      <c r="AH100" s="21">
        <f>VLOOKUP(X100,'Comm Pivot'!$P:$AC,11,0)</f>
        <v>0</v>
      </c>
      <c r="AI100" s="21">
        <f>VLOOKUP(X100,'Comm Pivot'!$P:$AC,12,0)</f>
        <v>0</v>
      </c>
      <c r="AJ100" s="21">
        <f>VLOOKUP(X100,'Comm Pivot'!$P:$AC,13,0)</f>
        <v>0</v>
      </c>
      <c r="AK100" s="22">
        <f>VLOOKUP(X100,'Comm Pivot'!$P:$AC,14,0)</f>
        <v>19</v>
      </c>
    </row>
    <row r="101" spans="2:37" x14ac:dyDescent="0.3">
      <c r="B101" s="18">
        <f>ROW()-ROW($B$98)</f>
        <v>3</v>
      </c>
      <c r="C101" s="19" t="s">
        <v>100</v>
      </c>
      <c r="D101" s="35">
        <f>VLOOKUP(C101,Code!$A:$G,4,0)</f>
        <v>2</v>
      </c>
      <c r="E101" s="21">
        <f>VLOOKUP(C101,'Comm Pivot'!$A:$N,2,0)</f>
        <v>20202.5</v>
      </c>
      <c r="F101" s="21">
        <f>VLOOKUP(C101,'Comm Pivot'!$A:$N,3,0)</f>
        <v>17663</v>
      </c>
      <c r="G101" s="21">
        <f>VLOOKUP(C101,'Comm Pivot'!$A:$N,4,0)</f>
        <v>21646</v>
      </c>
      <c r="H101" s="21">
        <f>VLOOKUP(C101,'Comm Pivot'!$A:$N,5,0)</f>
        <v>19635.75</v>
      </c>
      <c r="I101" s="21">
        <f>VLOOKUP(C101,'Comm Pivot'!$A:$N,6,0)</f>
        <v>18184.5</v>
      </c>
      <c r="J101" s="21">
        <f>VLOOKUP(C101,'Comm Pivot'!$A:$N,7,0)</f>
        <v>0</v>
      </c>
      <c r="K101" s="21">
        <f>VLOOKUP(C101,'Comm Pivot'!$A:$N,8,0)</f>
        <v>0</v>
      </c>
      <c r="L101" s="21">
        <f>VLOOKUP(C101,'Comm Pivot'!$A:$N,9,0)</f>
        <v>0</v>
      </c>
      <c r="M101" s="21">
        <f>VLOOKUP(C101,'Comm Pivot'!$A:$N,10,0)</f>
        <v>0</v>
      </c>
      <c r="N101" s="21">
        <f>VLOOKUP(C101,'Comm Pivot'!$A:$N,11,0)</f>
        <v>0</v>
      </c>
      <c r="O101" s="21">
        <f>VLOOKUP(C101,'Comm Pivot'!$A:$N,12,0)</f>
        <v>0</v>
      </c>
      <c r="P101" s="21">
        <f>VLOOKUP(C101,'Comm Pivot'!$A:$N,13,0)</f>
        <v>0</v>
      </c>
      <c r="Q101" s="22">
        <f t="shared" si="33"/>
        <v>97331.75</v>
      </c>
      <c r="R101" s="40">
        <f t="shared" si="34"/>
        <v>16221.958333333334</v>
      </c>
      <c r="W101" s="18">
        <f t="shared" si="35"/>
        <v>3</v>
      </c>
      <c r="X101" s="19" t="str">
        <f t="shared" si="36"/>
        <v>Rajiul Momin</v>
      </c>
      <c r="Y101" s="21">
        <f>VLOOKUP(X101,'Comm Pivot'!$P:$AC,2,0)</f>
        <v>2</v>
      </c>
      <c r="Z101" s="21">
        <f>VLOOKUP(X101,'Comm Pivot'!$P:$AC,3,0)</f>
        <v>2</v>
      </c>
      <c r="AA101" s="21">
        <f>VLOOKUP(X101,'Comm Pivot'!$P:$AC,4,0)</f>
        <v>2</v>
      </c>
      <c r="AB101" s="21">
        <f>VLOOKUP(X101,'Comm Pivot'!$P:$AC,5,0)</f>
        <v>2</v>
      </c>
      <c r="AC101" s="21">
        <f>VLOOKUP(X101,'Comm Pivot'!$P:$AC,6,0)</f>
        <v>2</v>
      </c>
      <c r="AD101" s="21">
        <f>VLOOKUP(X101,'Comm Pivot'!$P:$AC,7,0)</f>
        <v>0</v>
      </c>
      <c r="AE101" s="21">
        <f>VLOOKUP(X101,'Comm Pivot'!$P:$AC,8,0)</f>
        <v>0</v>
      </c>
      <c r="AF101" s="21">
        <f>VLOOKUP(X101,'Comm Pivot'!$P:$AC,9,0)</f>
        <v>0</v>
      </c>
      <c r="AG101" s="21">
        <f>VLOOKUP(X101,'Comm Pivot'!$P:$AC,10,0)</f>
        <v>0</v>
      </c>
      <c r="AH101" s="21">
        <f>VLOOKUP(X101,'Comm Pivot'!$P:$AC,11,0)</f>
        <v>0</v>
      </c>
      <c r="AI101" s="21">
        <f>VLOOKUP(X101,'Comm Pivot'!$P:$AC,12,0)</f>
        <v>0</v>
      </c>
      <c r="AJ101" s="21">
        <f>VLOOKUP(X101,'Comm Pivot'!$P:$AC,13,0)</f>
        <v>0</v>
      </c>
      <c r="AK101" s="22">
        <f>VLOOKUP(X101,'Comm Pivot'!$P:$AC,14,0)</f>
        <v>2</v>
      </c>
    </row>
    <row r="102" spans="2:37" x14ac:dyDescent="0.3">
      <c r="B102" s="18">
        <f>ROW()-ROW($B$98)</f>
        <v>4</v>
      </c>
      <c r="C102" s="19" t="s">
        <v>99</v>
      </c>
      <c r="D102" s="35">
        <f>VLOOKUP(C102,Code!$A:$G,4,0)</f>
        <v>3</v>
      </c>
      <c r="E102" s="21">
        <f>VLOOKUP(C102,'Comm Pivot'!$A:$N,2,0)</f>
        <v>18991.75</v>
      </c>
      <c r="F102" s="21">
        <f>VLOOKUP(C102,'Comm Pivot'!$A:$N,3,0)</f>
        <v>18855.5</v>
      </c>
      <c r="G102" s="21">
        <f>VLOOKUP(C102,'Comm Pivot'!$A:$N,4,0)</f>
        <v>17157.5</v>
      </c>
      <c r="H102" s="21">
        <f>VLOOKUP(C102,'Comm Pivot'!$A:$N,5,0)</f>
        <v>17569.25</v>
      </c>
      <c r="I102" s="21">
        <f>VLOOKUP(C102,'Comm Pivot'!$A:$N,6,0)</f>
        <v>17868.75</v>
      </c>
      <c r="J102" s="21">
        <f>VLOOKUP(C102,'Comm Pivot'!$A:$N,7,0)</f>
        <v>0</v>
      </c>
      <c r="K102" s="21">
        <f>VLOOKUP(C102,'Comm Pivot'!$A:$N,8,0)</f>
        <v>0</v>
      </c>
      <c r="L102" s="21">
        <f>VLOOKUP(C102,'Comm Pivot'!$A:$N,9,0)</f>
        <v>0</v>
      </c>
      <c r="M102" s="21">
        <f>VLOOKUP(C102,'Comm Pivot'!$A:$N,10,0)</f>
        <v>0</v>
      </c>
      <c r="N102" s="21">
        <f>VLOOKUP(C102,'Comm Pivot'!$A:$N,11,0)</f>
        <v>0</v>
      </c>
      <c r="O102" s="21">
        <f>VLOOKUP(C102,'Comm Pivot'!$A:$N,12,0)</f>
        <v>0</v>
      </c>
      <c r="P102" s="21">
        <f>VLOOKUP(C102,'Comm Pivot'!$A:$N,13,0)</f>
        <v>0</v>
      </c>
      <c r="Q102" s="22">
        <f t="shared" si="33"/>
        <v>90442.75</v>
      </c>
      <c r="R102" s="40">
        <f t="shared" si="34"/>
        <v>10049.194444444443</v>
      </c>
      <c r="T102" s="26"/>
      <c r="U102" s="27"/>
      <c r="W102" s="18">
        <f t="shared" si="35"/>
        <v>4</v>
      </c>
      <c r="X102" s="19" t="str">
        <f t="shared" si="36"/>
        <v>Avi Sk</v>
      </c>
      <c r="Y102" s="21">
        <f>VLOOKUP(X102,'Comm Pivot'!$P:$AC,2,0)</f>
        <v>3</v>
      </c>
      <c r="Z102" s="21">
        <f>VLOOKUP(X102,'Comm Pivot'!$P:$AC,3,0)</f>
        <v>3</v>
      </c>
      <c r="AA102" s="21">
        <f>VLOOKUP(X102,'Comm Pivot'!$P:$AC,4,0)</f>
        <v>3</v>
      </c>
      <c r="AB102" s="21">
        <f>VLOOKUP(X102,'Comm Pivot'!$P:$AC,5,0)</f>
        <v>3</v>
      </c>
      <c r="AC102" s="21">
        <f>VLOOKUP(X102,'Comm Pivot'!$P:$AC,6,0)</f>
        <v>3</v>
      </c>
      <c r="AD102" s="21">
        <f>VLOOKUP(X102,'Comm Pivot'!$P:$AC,7,0)</f>
        <v>0</v>
      </c>
      <c r="AE102" s="21">
        <f>VLOOKUP(X102,'Comm Pivot'!$P:$AC,8,0)</f>
        <v>0</v>
      </c>
      <c r="AF102" s="21">
        <f>VLOOKUP(X102,'Comm Pivot'!$P:$AC,9,0)</f>
        <v>0</v>
      </c>
      <c r="AG102" s="21">
        <f>VLOOKUP(X102,'Comm Pivot'!$P:$AC,10,0)</f>
        <v>0</v>
      </c>
      <c r="AH102" s="21">
        <f>VLOOKUP(X102,'Comm Pivot'!$P:$AC,11,0)</f>
        <v>0</v>
      </c>
      <c r="AI102" s="21">
        <f>VLOOKUP(X102,'Comm Pivot'!$P:$AC,12,0)</f>
        <v>0</v>
      </c>
      <c r="AJ102" s="21">
        <f>VLOOKUP(X102,'Comm Pivot'!$P:$AC,13,0)</f>
        <v>0</v>
      </c>
      <c r="AK102" s="22">
        <f>VLOOKUP(X102,'Comm Pivot'!$P:$AC,14,0)</f>
        <v>3</v>
      </c>
    </row>
    <row r="103" spans="2:37" x14ac:dyDescent="0.3">
      <c r="B103" s="18">
        <f>ROW()-ROW($B$98)</f>
        <v>5</v>
      </c>
      <c r="C103" s="19" t="s">
        <v>345</v>
      </c>
      <c r="D103" s="35">
        <f>VLOOKUP(C103,Code!$A:$G,4,0)</f>
        <v>10</v>
      </c>
      <c r="E103" s="21">
        <f>VLOOKUP(C103,'Comm Pivot'!$A:$N,2,0)</f>
        <v>53806.5</v>
      </c>
      <c r="F103" s="21">
        <f>VLOOKUP(C103,'Comm Pivot'!$A:$N,3,0)</f>
        <v>53689.5</v>
      </c>
      <c r="G103" s="21">
        <f>VLOOKUP(C103,'Comm Pivot'!$A:$N,4,0)</f>
        <v>49007.25</v>
      </c>
      <c r="H103" s="21">
        <f>VLOOKUP(C103,'Comm Pivot'!$A:$N,5,0)</f>
        <v>59427.5</v>
      </c>
      <c r="I103" s="21">
        <f>VLOOKUP(C103,'Comm Pivot'!$A:$N,6,0)</f>
        <v>59865.25</v>
      </c>
      <c r="J103" s="21">
        <f>VLOOKUP(C103,'Comm Pivot'!$A:$N,7,0)</f>
        <v>0</v>
      </c>
      <c r="K103" s="21">
        <f>VLOOKUP(C103,'Comm Pivot'!$A:$N,8,0)</f>
        <v>0</v>
      </c>
      <c r="L103" s="21">
        <f>VLOOKUP(C103,'Comm Pivot'!$A:$N,9,0)</f>
        <v>0</v>
      </c>
      <c r="M103" s="21">
        <f>VLOOKUP(C103,'Comm Pivot'!$A:$N,10,0)</f>
        <v>0</v>
      </c>
      <c r="N103" s="21">
        <f>VLOOKUP(C103,'Comm Pivot'!$A:$N,11,0)</f>
        <v>0</v>
      </c>
      <c r="O103" s="21">
        <f>VLOOKUP(C103,'Comm Pivot'!$A:$N,12,0)</f>
        <v>0</v>
      </c>
      <c r="P103" s="21">
        <f>VLOOKUP(C103,'Comm Pivot'!$A:$N,13,0)</f>
        <v>0</v>
      </c>
      <c r="Q103" s="22">
        <f t="shared" si="33"/>
        <v>275796</v>
      </c>
      <c r="R103" s="40">
        <f t="shared" si="34"/>
        <v>9193.1999999999989</v>
      </c>
      <c r="T103" s="26"/>
      <c r="U103" s="27"/>
      <c r="W103" s="18">
        <f t="shared" si="35"/>
        <v>5</v>
      </c>
      <c r="X103" s="19" t="str">
        <f t="shared" si="36"/>
        <v>Under Office (Birbhum)</v>
      </c>
      <c r="Y103" s="21">
        <f>VLOOKUP(X103,'Comm Pivot'!$P:$AC,2,0)</f>
        <v>7</v>
      </c>
      <c r="Z103" s="21">
        <f>VLOOKUP(X103,'Comm Pivot'!$P:$AC,3,0)</f>
        <v>6</v>
      </c>
      <c r="AA103" s="21">
        <f>VLOOKUP(X103,'Comm Pivot'!$P:$AC,4,0)</f>
        <v>6</v>
      </c>
      <c r="AB103" s="21">
        <f>VLOOKUP(X103,'Comm Pivot'!$P:$AC,5,0)</f>
        <v>6</v>
      </c>
      <c r="AC103" s="21">
        <f>VLOOKUP(X103,'Comm Pivot'!$P:$AC,6,0)</f>
        <v>7</v>
      </c>
      <c r="AD103" s="21">
        <f>VLOOKUP(X103,'Comm Pivot'!$P:$AC,7,0)</f>
        <v>0</v>
      </c>
      <c r="AE103" s="21">
        <f>VLOOKUP(X103,'Comm Pivot'!$P:$AC,8,0)</f>
        <v>0</v>
      </c>
      <c r="AF103" s="21">
        <f>VLOOKUP(X103,'Comm Pivot'!$P:$AC,9,0)</f>
        <v>0</v>
      </c>
      <c r="AG103" s="21">
        <f>VLOOKUP(X103,'Comm Pivot'!$P:$AC,10,0)</f>
        <v>0</v>
      </c>
      <c r="AH103" s="21">
        <f>VLOOKUP(X103,'Comm Pivot'!$P:$AC,11,0)</f>
        <v>0</v>
      </c>
      <c r="AI103" s="21">
        <f>VLOOKUP(X103,'Comm Pivot'!$P:$AC,12,0)</f>
        <v>0</v>
      </c>
      <c r="AJ103" s="21">
        <f>VLOOKUP(X103,'Comm Pivot'!$P:$AC,13,0)</f>
        <v>0</v>
      </c>
      <c r="AK103" s="22">
        <f>VLOOKUP(X103,'Comm Pivot'!$P:$AC,14,0)</f>
        <v>7</v>
      </c>
    </row>
    <row r="104" spans="2:37" x14ac:dyDescent="0.3">
      <c r="B104" s="18">
        <f>ROW()-ROW($B$98)</f>
        <v>6</v>
      </c>
      <c r="C104" s="19" t="s">
        <v>455</v>
      </c>
      <c r="D104" s="35">
        <f>VLOOKUP(C104,Code!$A:$G,4,0)</f>
        <v>20</v>
      </c>
      <c r="E104" s="21">
        <f>VLOOKUP(C104,'Comm Pivot'!$A:$N,2,0)</f>
        <v>109253.25</v>
      </c>
      <c r="F104" s="21">
        <f>VLOOKUP(C104,'Comm Pivot'!$A:$N,3,0)</f>
        <v>105819.25</v>
      </c>
      <c r="G104" s="21">
        <f>VLOOKUP(C104,'Comm Pivot'!$A:$N,4,0)</f>
        <v>82410</v>
      </c>
      <c r="H104" s="21">
        <f>VLOOKUP(C104,'Comm Pivot'!$A:$N,5,0)</f>
        <v>99307</v>
      </c>
      <c r="I104" s="21">
        <f>VLOOKUP(C104,'Comm Pivot'!$A:$N,6,0)</f>
        <v>109453.75</v>
      </c>
      <c r="J104" s="21">
        <f>VLOOKUP(C104,'Comm Pivot'!$A:$N,7,0)</f>
        <v>0</v>
      </c>
      <c r="K104" s="21">
        <f>VLOOKUP(C104,'Comm Pivot'!$A:$N,8,0)</f>
        <v>0</v>
      </c>
      <c r="L104" s="21">
        <f>VLOOKUP(C104,'Comm Pivot'!$A:$N,9,0)</f>
        <v>0</v>
      </c>
      <c r="M104" s="21">
        <f>VLOOKUP(C104,'Comm Pivot'!$A:$N,10,0)</f>
        <v>0</v>
      </c>
      <c r="N104" s="21">
        <f>VLOOKUP(C104,'Comm Pivot'!$A:$N,11,0)</f>
        <v>0</v>
      </c>
      <c r="O104" s="21">
        <f>VLOOKUP(C104,'Comm Pivot'!$A:$N,12,0)</f>
        <v>0</v>
      </c>
      <c r="P104" s="21">
        <f>VLOOKUP(C104,'Comm Pivot'!$A:$N,13,0)</f>
        <v>0</v>
      </c>
      <c r="Q104" s="22">
        <f t="shared" si="33"/>
        <v>506243.25</v>
      </c>
      <c r="R104" s="40">
        <f t="shared" si="34"/>
        <v>8437.3874999999989</v>
      </c>
      <c r="T104" s="26"/>
      <c r="U104" s="27"/>
      <c r="W104" s="18">
        <f t="shared" si="35"/>
        <v>6</v>
      </c>
      <c r="X104" s="19" t="str">
        <f t="shared" si="36"/>
        <v>Souvik Maity</v>
      </c>
      <c r="Y104" s="21">
        <f>VLOOKUP(X104,'Comm Pivot'!$P:$AC,2,0)</f>
        <v>16</v>
      </c>
      <c r="Z104" s="21">
        <f>VLOOKUP(X104,'Comm Pivot'!$P:$AC,3,0)</f>
        <v>16</v>
      </c>
      <c r="AA104" s="21">
        <f>VLOOKUP(X104,'Comm Pivot'!$P:$AC,4,0)</f>
        <v>16</v>
      </c>
      <c r="AB104" s="21">
        <f>VLOOKUP(X104,'Comm Pivot'!$P:$AC,5,0)</f>
        <v>16</v>
      </c>
      <c r="AC104" s="21">
        <f>VLOOKUP(X104,'Comm Pivot'!$P:$AC,6,0)</f>
        <v>16</v>
      </c>
      <c r="AD104" s="21">
        <f>VLOOKUP(X104,'Comm Pivot'!$P:$AC,7,0)</f>
        <v>0</v>
      </c>
      <c r="AE104" s="21">
        <f>VLOOKUP(X104,'Comm Pivot'!$P:$AC,8,0)</f>
        <v>0</v>
      </c>
      <c r="AF104" s="21">
        <f>VLOOKUP(X104,'Comm Pivot'!$P:$AC,9,0)</f>
        <v>0</v>
      </c>
      <c r="AG104" s="21">
        <f>VLOOKUP(X104,'Comm Pivot'!$P:$AC,10,0)</f>
        <v>0</v>
      </c>
      <c r="AH104" s="21">
        <f>VLOOKUP(X104,'Comm Pivot'!$P:$AC,11,0)</f>
        <v>0</v>
      </c>
      <c r="AI104" s="21">
        <f>VLOOKUP(X104,'Comm Pivot'!$P:$AC,12,0)</f>
        <v>0</v>
      </c>
      <c r="AJ104" s="21">
        <f>VLOOKUP(X104,'Comm Pivot'!$P:$AC,13,0)</f>
        <v>0</v>
      </c>
      <c r="AK104" s="22">
        <f>VLOOKUP(X104,'Comm Pivot'!$P:$AC,14,0)</f>
        <v>16</v>
      </c>
    </row>
    <row r="105" spans="2:37" x14ac:dyDescent="0.3">
      <c r="B105" s="18">
        <f>ROW()-ROW($B$98)</f>
        <v>7</v>
      </c>
      <c r="C105" s="19" t="s">
        <v>98</v>
      </c>
      <c r="D105" s="35">
        <f>VLOOKUP(C105,Code!$A:$G,4,0)</f>
        <v>3</v>
      </c>
      <c r="E105" s="21">
        <f>VLOOKUP(C105,'Comm Pivot'!$A:$N,2,0)</f>
        <v>10404.5</v>
      </c>
      <c r="F105" s="21">
        <f>VLOOKUP(C105,'Comm Pivot'!$A:$N,3,0)</f>
        <v>9405.75</v>
      </c>
      <c r="G105" s="21">
        <f>VLOOKUP(C105,'Comm Pivot'!$A:$N,4,0)</f>
        <v>9906</v>
      </c>
      <c r="H105" s="21">
        <f>VLOOKUP(C105,'Comm Pivot'!$A:$N,5,0)</f>
        <v>12412.75</v>
      </c>
      <c r="I105" s="21">
        <f>VLOOKUP(C105,'Comm Pivot'!$A:$N,6,0)</f>
        <v>13309.25</v>
      </c>
      <c r="J105" s="21">
        <f>VLOOKUP(C105,'Comm Pivot'!$A:$N,7,0)</f>
        <v>0</v>
      </c>
      <c r="K105" s="21">
        <f>VLOOKUP(C105,'Comm Pivot'!$A:$N,8,0)</f>
        <v>0</v>
      </c>
      <c r="L105" s="21">
        <f>VLOOKUP(C105,'Comm Pivot'!$A:$N,9,0)</f>
        <v>0</v>
      </c>
      <c r="M105" s="21">
        <f>VLOOKUP(C105,'Comm Pivot'!$A:$N,10,0)</f>
        <v>0</v>
      </c>
      <c r="N105" s="21">
        <f>VLOOKUP(C105,'Comm Pivot'!$A:$N,11,0)</f>
        <v>0</v>
      </c>
      <c r="O105" s="21">
        <f>VLOOKUP(C105,'Comm Pivot'!$A:$N,12,0)</f>
        <v>0</v>
      </c>
      <c r="P105" s="21">
        <f>VLOOKUP(C105,'Comm Pivot'!$A:$N,13,0)</f>
        <v>0</v>
      </c>
      <c r="Q105" s="22">
        <f t="shared" si="33"/>
        <v>55438.25</v>
      </c>
      <c r="R105" s="40">
        <f t="shared" si="34"/>
        <v>6159.8055555555557</v>
      </c>
      <c r="W105" s="18">
        <f t="shared" si="35"/>
        <v>7</v>
      </c>
      <c r="X105" s="19" t="str">
        <f t="shared" si="36"/>
        <v>Shyamalesh Sarkar</v>
      </c>
      <c r="Y105" s="21">
        <f>VLOOKUP(X105,'Comm Pivot'!$P:$AC,2,0)</f>
        <v>3</v>
      </c>
      <c r="Z105" s="21">
        <f>VLOOKUP(X105,'Comm Pivot'!$P:$AC,3,0)</f>
        <v>3</v>
      </c>
      <c r="AA105" s="21">
        <f>VLOOKUP(X105,'Comm Pivot'!$P:$AC,4,0)</f>
        <v>3</v>
      </c>
      <c r="AB105" s="21">
        <f>VLOOKUP(X105,'Comm Pivot'!$P:$AC,5,0)</f>
        <v>3</v>
      </c>
      <c r="AC105" s="21">
        <f>VLOOKUP(X105,'Comm Pivot'!$P:$AC,6,0)</f>
        <v>3</v>
      </c>
      <c r="AD105" s="21">
        <f>VLOOKUP(X105,'Comm Pivot'!$P:$AC,7,0)</f>
        <v>0</v>
      </c>
      <c r="AE105" s="21">
        <f>VLOOKUP(X105,'Comm Pivot'!$P:$AC,8,0)</f>
        <v>0</v>
      </c>
      <c r="AF105" s="21">
        <f>VLOOKUP(X105,'Comm Pivot'!$P:$AC,9,0)</f>
        <v>0</v>
      </c>
      <c r="AG105" s="21">
        <f>VLOOKUP(X105,'Comm Pivot'!$P:$AC,10,0)</f>
        <v>0</v>
      </c>
      <c r="AH105" s="21">
        <f>VLOOKUP(X105,'Comm Pivot'!$P:$AC,11,0)</f>
        <v>0</v>
      </c>
      <c r="AI105" s="21">
        <f>VLOOKUP(X105,'Comm Pivot'!$P:$AC,12,0)</f>
        <v>0</v>
      </c>
      <c r="AJ105" s="21">
        <f>VLOOKUP(X105,'Comm Pivot'!$P:$AC,13,0)</f>
        <v>0</v>
      </c>
      <c r="AK105" s="22">
        <f>VLOOKUP(X105,'Comm Pivot'!$P:$AC,14,0)</f>
        <v>3</v>
      </c>
    </row>
    <row r="106" spans="2:37" x14ac:dyDescent="0.3">
      <c r="B106" s="18">
        <f>ROW()-ROW($B$98)</f>
        <v>8</v>
      </c>
      <c r="C106" s="19" t="s">
        <v>103</v>
      </c>
      <c r="D106" s="35">
        <f>VLOOKUP(C106,Code!$A:$G,4,0)</f>
        <v>1</v>
      </c>
      <c r="E106" s="21">
        <f>VLOOKUP(C106,'Comm Pivot'!$A:$N,2,0)</f>
        <v>3713.75</v>
      </c>
      <c r="F106" s="21">
        <f>VLOOKUP(C106,'Comm Pivot'!$A:$N,3,0)</f>
        <v>2330.5</v>
      </c>
      <c r="G106" s="21">
        <f>VLOOKUP(C106,'Comm Pivot'!$A:$N,4,0)</f>
        <v>1675.75</v>
      </c>
      <c r="H106" s="21">
        <f>VLOOKUP(C106,'Comm Pivot'!$A:$N,5,0)</f>
        <v>2404.5</v>
      </c>
      <c r="I106" s="21">
        <f>VLOOKUP(C106,'Comm Pivot'!$A:$N,6,0)</f>
        <v>2696.75</v>
      </c>
      <c r="J106" s="21">
        <f>VLOOKUP(C106,'Comm Pivot'!$A:$N,7,0)</f>
        <v>0</v>
      </c>
      <c r="K106" s="21">
        <f>VLOOKUP(C106,'Comm Pivot'!$A:$N,8,0)</f>
        <v>0</v>
      </c>
      <c r="L106" s="21">
        <f>VLOOKUP(C106,'Comm Pivot'!$A:$N,9,0)</f>
        <v>0</v>
      </c>
      <c r="M106" s="21">
        <f>VLOOKUP(C106,'Comm Pivot'!$A:$N,10,0)</f>
        <v>0</v>
      </c>
      <c r="N106" s="21">
        <f>VLOOKUP(C106,'Comm Pivot'!$A:$N,11,0)</f>
        <v>0</v>
      </c>
      <c r="O106" s="21">
        <f>VLOOKUP(C106,'Comm Pivot'!$A:$N,12,0)</f>
        <v>0</v>
      </c>
      <c r="P106" s="21">
        <f>VLOOKUP(C106,'Comm Pivot'!$A:$N,13,0)</f>
        <v>0</v>
      </c>
      <c r="Q106" s="22">
        <f t="shared" si="33"/>
        <v>12821.25</v>
      </c>
      <c r="R106" s="40">
        <f t="shared" si="34"/>
        <v>4273.75</v>
      </c>
      <c r="W106" s="18">
        <f t="shared" si="35"/>
        <v>8</v>
      </c>
      <c r="X106" s="19" t="str">
        <f t="shared" si="36"/>
        <v>Sanjoy Paul</v>
      </c>
      <c r="Y106" s="21">
        <f>VLOOKUP(X106,'Comm Pivot'!$P:$AC,2,0)</f>
        <v>1</v>
      </c>
      <c r="Z106" s="21">
        <f>VLOOKUP(X106,'Comm Pivot'!$P:$AC,3,0)</f>
        <v>1</v>
      </c>
      <c r="AA106" s="21">
        <f>VLOOKUP(X106,'Comm Pivot'!$P:$AC,4,0)</f>
        <v>1</v>
      </c>
      <c r="AB106" s="21">
        <f>VLOOKUP(X106,'Comm Pivot'!$P:$AC,5,0)</f>
        <v>1</v>
      </c>
      <c r="AC106" s="21">
        <f>VLOOKUP(X106,'Comm Pivot'!$P:$AC,6,0)</f>
        <v>1</v>
      </c>
      <c r="AD106" s="21">
        <f>VLOOKUP(X106,'Comm Pivot'!$P:$AC,7,0)</f>
        <v>0</v>
      </c>
      <c r="AE106" s="21">
        <f>VLOOKUP(X106,'Comm Pivot'!$P:$AC,8,0)</f>
        <v>0</v>
      </c>
      <c r="AF106" s="21">
        <f>VLOOKUP(X106,'Comm Pivot'!$P:$AC,9,0)</f>
        <v>0</v>
      </c>
      <c r="AG106" s="21">
        <f>VLOOKUP(X106,'Comm Pivot'!$P:$AC,10,0)</f>
        <v>0</v>
      </c>
      <c r="AH106" s="21">
        <f>VLOOKUP(X106,'Comm Pivot'!$P:$AC,11,0)</f>
        <v>0</v>
      </c>
      <c r="AI106" s="21">
        <f>VLOOKUP(X106,'Comm Pivot'!$P:$AC,12,0)</f>
        <v>0</v>
      </c>
      <c r="AJ106" s="21">
        <f>VLOOKUP(X106,'Comm Pivot'!$P:$AC,13,0)</f>
        <v>0</v>
      </c>
      <c r="AK106" s="22">
        <f>VLOOKUP(X106,'Comm Pivot'!$P:$AC,14,0)</f>
        <v>1</v>
      </c>
    </row>
    <row r="107" spans="2:37" x14ac:dyDescent="0.3">
      <c r="B107" s="18">
        <f>ROW()-ROW($B$98)</f>
        <v>9</v>
      </c>
      <c r="C107" s="19" t="s">
        <v>97</v>
      </c>
      <c r="D107" s="35">
        <f>VLOOKUP(C107,Code!$A:$G,4,0)</f>
        <v>7</v>
      </c>
      <c r="E107" s="21">
        <f>VLOOKUP(C107,'Comm Pivot'!$A:$N,2,0)</f>
        <v>15441</v>
      </c>
      <c r="F107" s="21">
        <f>VLOOKUP(C107,'Comm Pivot'!$A:$N,3,0)</f>
        <v>18851</v>
      </c>
      <c r="G107" s="21">
        <f>VLOOKUP(C107,'Comm Pivot'!$A:$N,4,0)</f>
        <v>15705.5</v>
      </c>
      <c r="H107" s="21">
        <f>VLOOKUP(C107,'Comm Pivot'!$A:$N,5,0)</f>
        <v>15151.25</v>
      </c>
      <c r="I107" s="21">
        <f>VLOOKUP(C107,'Comm Pivot'!$A:$N,6,0)</f>
        <v>16130.75</v>
      </c>
      <c r="J107" s="21">
        <f>VLOOKUP(C107,'Comm Pivot'!$A:$N,7,0)</f>
        <v>0</v>
      </c>
      <c r="K107" s="21">
        <f>VLOOKUP(C107,'Comm Pivot'!$A:$N,8,0)</f>
        <v>0</v>
      </c>
      <c r="L107" s="21">
        <f>VLOOKUP(C107,'Comm Pivot'!$A:$N,9,0)</f>
        <v>0</v>
      </c>
      <c r="M107" s="21">
        <f>VLOOKUP(C107,'Comm Pivot'!$A:$N,10,0)</f>
        <v>0</v>
      </c>
      <c r="N107" s="21">
        <f>VLOOKUP(C107,'Comm Pivot'!$A:$N,11,0)</f>
        <v>0</v>
      </c>
      <c r="O107" s="21">
        <f>VLOOKUP(C107,'Comm Pivot'!$A:$N,12,0)</f>
        <v>0</v>
      </c>
      <c r="P107" s="21">
        <f>VLOOKUP(C107,'Comm Pivot'!$A:$N,13,0)</f>
        <v>0</v>
      </c>
      <c r="Q107" s="22">
        <f t="shared" si="33"/>
        <v>81279.5</v>
      </c>
      <c r="R107" s="40">
        <f t="shared" si="34"/>
        <v>3870.4523809523812</v>
      </c>
      <c r="W107" s="18">
        <f t="shared" si="35"/>
        <v>9</v>
      </c>
      <c r="X107" s="19" t="str">
        <f t="shared" si="36"/>
        <v>Chandi Charan Mahato</v>
      </c>
      <c r="Y107" s="21">
        <f>VLOOKUP(X107,'Comm Pivot'!$P:$AC,2,0)</f>
        <v>5</v>
      </c>
      <c r="Z107" s="21">
        <f>VLOOKUP(X107,'Comm Pivot'!$P:$AC,3,0)</f>
        <v>5</v>
      </c>
      <c r="AA107" s="21">
        <f>VLOOKUP(X107,'Comm Pivot'!$P:$AC,4,0)</f>
        <v>4</v>
      </c>
      <c r="AB107" s="21">
        <f>VLOOKUP(X107,'Comm Pivot'!$P:$AC,5,0)</f>
        <v>5</v>
      </c>
      <c r="AC107" s="21">
        <f>VLOOKUP(X107,'Comm Pivot'!$P:$AC,6,0)</f>
        <v>5</v>
      </c>
      <c r="AD107" s="21">
        <f>VLOOKUP(X107,'Comm Pivot'!$P:$AC,7,0)</f>
        <v>0</v>
      </c>
      <c r="AE107" s="21">
        <f>VLOOKUP(X107,'Comm Pivot'!$P:$AC,8,0)</f>
        <v>0</v>
      </c>
      <c r="AF107" s="21">
        <f>VLOOKUP(X107,'Comm Pivot'!$P:$AC,9,0)</f>
        <v>0</v>
      </c>
      <c r="AG107" s="21">
        <f>VLOOKUP(X107,'Comm Pivot'!$P:$AC,10,0)</f>
        <v>0</v>
      </c>
      <c r="AH107" s="21">
        <f>VLOOKUP(X107,'Comm Pivot'!$P:$AC,11,0)</f>
        <v>0</v>
      </c>
      <c r="AI107" s="21">
        <f>VLOOKUP(X107,'Comm Pivot'!$P:$AC,12,0)</f>
        <v>0</v>
      </c>
      <c r="AJ107" s="21">
        <f>VLOOKUP(X107,'Comm Pivot'!$P:$AC,13,0)</f>
        <v>0</v>
      </c>
      <c r="AK107" s="22">
        <f>VLOOKUP(X107,'Comm Pivot'!$P:$AC,14,0)</f>
        <v>5</v>
      </c>
    </row>
    <row r="108" spans="2:37" x14ac:dyDescent="0.3">
      <c r="B108" s="18">
        <f>ROW()-ROW($B$98)</f>
        <v>10</v>
      </c>
      <c r="C108" s="19" t="s">
        <v>96</v>
      </c>
      <c r="D108" s="35">
        <f>VLOOKUP(C108,Code!$A:$G,4,0)</f>
        <v>16</v>
      </c>
      <c r="E108" s="21">
        <f>VLOOKUP(C108,'Comm Pivot'!$A:$N,2,0)</f>
        <v>35691.75</v>
      </c>
      <c r="F108" s="21">
        <f>VLOOKUP(C108,'Comm Pivot'!$A:$N,3,0)</f>
        <v>41215.75</v>
      </c>
      <c r="G108" s="21">
        <f>VLOOKUP(C108,'Comm Pivot'!$A:$N,4,0)</f>
        <v>32128.5</v>
      </c>
      <c r="H108" s="21">
        <f>VLOOKUP(C108,'Comm Pivot'!$A:$N,5,0)</f>
        <v>35305.25</v>
      </c>
      <c r="I108" s="21">
        <f>VLOOKUP(C108,'Comm Pivot'!$A:$N,6,0)</f>
        <v>29368</v>
      </c>
      <c r="J108" s="21">
        <f>VLOOKUP(C108,'Comm Pivot'!$A:$N,7,0)</f>
        <v>0</v>
      </c>
      <c r="K108" s="21">
        <f>VLOOKUP(C108,'Comm Pivot'!$A:$N,8,0)</f>
        <v>0</v>
      </c>
      <c r="L108" s="21">
        <f>VLOOKUP(C108,'Comm Pivot'!$A:$N,9,0)</f>
        <v>0</v>
      </c>
      <c r="M108" s="21">
        <f>VLOOKUP(C108,'Comm Pivot'!$A:$N,10,0)</f>
        <v>0</v>
      </c>
      <c r="N108" s="21">
        <f>VLOOKUP(C108,'Comm Pivot'!$A:$N,11,0)</f>
        <v>0</v>
      </c>
      <c r="O108" s="21">
        <f>VLOOKUP(C108,'Comm Pivot'!$A:$N,12,0)</f>
        <v>0</v>
      </c>
      <c r="P108" s="21">
        <f>VLOOKUP(C108,'Comm Pivot'!$A:$N,13,0)</f>
        <v>0</v>
      </c>
      <c r="Q108" s="22">
        <f t="shared" si="33"/>
        <v>173709.25</v>
      </c>
      <c r="R108" s="40">
        <f t="shared" si="34"/>
        <v>3618.9427083333335</v>
      </c>
      <c r="W108" s="18">
        <f t="shared" si="35"/>
        <v>10</v>
      </c>
      <c r="X108" s="19" t="str">
        <f t="shared" si="36"/>
        <v>Sunil Biswas</v>
      </c>
      <c r="Y108" s="21">
        <f>VLOOKUP(X108,'Comm Pivot'!$P:$AC,2,0)</f>
        <v>13</v>
      </c>
      <c r="Z108" s="21">
        <f>VLOOKUP(X108,'Comm Pivot'!$P:$AC,3,0)</f>
        <v>13</v>
      </c>
      <c r="AA108" s="21">
        <f>VLOOKUP(X108,'Comm Pivot'!$P:$AC,4,0)</f>
        <v>13</v>
      </c>
      <c r="AB108" s="21">
        <f>VLOOKUP(X108,'Comm Pivot'!$P:$AC,5,0)</f>
        <v>13</v>
      </c>
      <c r="AC108" s="21">
        <f>VLOOKUP(X108,'Comm Pivot'!$P:$AC,6,0)</f>
        <v>12</v>
      </c>
      <c r="AD108" s="21">
        <f>VLOOKUP(X108,'Comm Pivot'!$P:$AC,7,0)</f>
        <v>0</v>
      </c>
      <c r="AE108" s="21">
        <f>VLOOKUP(X108,'Comm Pivot'!$P:$AC,8,0)</f>
        <v>0</v>
      </c>
      <c r="AF108" s="21">
        <f>VLOOKUP(X108,'Comm Pivot'!$P:$AC,9,0)</f>
        <v>0</v>
      </c>
      <c r="AG108" s="21">
        <f>VLOOKUP(X108,'Comm Pivot'!$P:$AC,10,0)</f>
        <v>0</v>
      </c>
      <c r="AH108" s="21">
        <f>VLOOKUP(X108,'Comm Pivot'!$P:$AC,11,0)</f>
        <v>0</v>
      </c>
      <c r="AI108" s="21">
        <f>VLOOKUP(X108,'Comm Pivot'!$P:$AC,12,0)</f>
        <v>0</v>
      </c>
      <c r="AJ108" s="21">
        <f>VLOOKUP(X108,'Comm Pivot'!$P:$AC,13,0)</f>
        <v>0</v>
      </c>
      <c r="AK108" s="22">
        <f>VLOOKUP(X108,'Comm Pivot'!$P:$AC,14,0)</f>
        <v>15</v>
      </c>
    </row>
    <row r="109" spans="2:37" x14ac:dyDescent="0.3">
      <c r="B109" s="18">
        <f>ROW()-ROW($B$98)</f>
        <v>11</v>
      </c>
      <c r="C109" s="19" t="s">
        <v>101</v>
      </c>
      <c r="D109" s="35">
        <f>VLOOKUP(C109,Code!$A:$G,4,0)</f>
        <v>2</v>
      </c>
      <c r="E109" s="21">
        <f>VLOOKUP(C109,'Comm Pivot'!$A:$N,2,0)</f>
        <v>3126</v>
      </c>
      <c r="F109" s="21">
        <f>VLOOKUP(C109,'Comm Pivot'!$A:$N,3,0)</f>
        <v>3335</v>
      </c>
      <c r="G109" s="21">
        <f>VLOOKUP(C109,'Comm Pivot'!$A:$N,4,0)</f>
        <v>2677</v>
      </c>
      <c r="H109" s="21">
        <f>VLOOKUP(C109,'Comm Pivot'!$A:$N,5,0)</f>
        <v>4570.75</v>
      </c>
      <c r="I109" s="21">
        <f>VLOOKUP(C109,'Comm Pivot'!$A:$N,6,0)</f>
        <v>3072</v>
      </c>
      <c r="J109" s="21">
        <f>VLOOKUP(C109,'Comm Pivot'!$A:$N,7,0)</f>
        <v>0</v>
      </c>
      <c r="K109" s="21">
        <f>VLOOKUP(C109,'Comm Pivot'!$A:$N,8,0)</f>
        <v>0</v>
      </c>
      <c r="L109" s="21">
        <f>VLOOKUP(C109,'Comm Pivot'!$A:$N,9,0)</f>
        <v>0</v>
      </c>
      <c r="M109" s="21">
        <f>VLOOKUP(C109,'Comm Pivot'!$A:$N,10,0)</f>
        <v>0</v>
      </c>
      <c r="N109" s="21">
        <f>VLOOKUP(C109,'Comm Pivot'!$A:$N,11,0)</f>
        <v>0</v>
      </c>
      <c r="O109" s="21">
        <f>VLOOKUP(C109,'Comm Pivot'!$A:$N,12,0)</f>
        <v>0</v>
      </c>
      <c r="P109" s="21">
        <f>VLOOKUP(C109,'Comm Pivot'!$A:$N,13,0)</f>
        <v>0</v>
      </c>
      <c r="Q109" s="22">
        <f t="shared" si="33"/>
        <v>16780.75</v>
      </c>
      <c r="R109" s="40">
        <f t="shared" si="34"/>
        <v>2796.7916666666665</v>
      </c>
      <c r="W109" s="18">
        <f t="shared" si="35"/>
        <v>11</v>
      </c>
      <c r="X109" s="19" t="str">
        <f t="shared" si="36"/>
        <v>Pijush Singha</v>
      </c>
      <c r="Y109" s="21">
        <f>VLOOKUP(X109,'Comm Pivot'!$P:$AC,2,0)</f>
        <v>2</v>
      </c>
      <c r="Z109" s="21">
        <f>VLOOKUP(X109,'Comm Pivot'!$P:$AC,3,0)</f>
        <v>2</v>
      </c>
      <c r="AA109" s="21">
        <f>VLOOKUP(X109,'Comm Pivot'!$P:$AC,4,0)</f>
        <v>2</v>
      </c>
      <c r="AB109" s="21">
        <f>VLOOKUP(X109,'Comm Pivot'!$P:$AC,5,0)</f>
        <v>2</v>
      </c>
      <c r="AC109" s="21">
        <f>VLOOKUP(X109,'Comm Pivot'!$P:$AC,6,0)</f>
        <v>2</v>
      </c>
      <c r="AD109" s="21">
        <f>VLOOKUP(X109,'Comm Pivot'!$P:$AC,7,0)</f>
        <v>0</v>
      </c>
      <c r="AE109" s="21">
        <f>VLOOKUP(X109,'Comm Pivot'!$P:$AC,8,0)</f>
        <v>0</v>
      </c>
      <c r="AF109" s="21">
        <f>VLOOKUP(X109,'Comm Pivot'!$P:$AC,9,0)</f>
        <v>0</v>
      </c>
      <c r="AG109" s="21">
        <f>VLOOKUP(X109,'Comm Pivot'!$P:$AC,10,0)</f>
        <v>0</v>
      </c>
      <c r="AH109" s="21">
        <f>VLOOKUP(X109,'Comm Pivot'!$P:$AC,11,0)</f>
        <v>0</v>
      </c>
      <c r="AI109" s="21">
        <f>VLOOKUP(X109,'Comm Pivot'!$P:$AC,12,0)</f>
        <v>0</v>
      </c>
      <c r="AJ109" s="21">
        <f>VLOOKUP(X109,'Comm Pivot'!$P:$AC,13,0)</f>
        <v>0</v>
      </c>
      <c r="AK109" s="22">
        <f>VLOOKUP(X109,'Comm Pivot'!$P:$AC,14,0)</f>
        <v>2</v>
      </c>
    </row>
    <row r="110" spans="2:37" x14ac:dyDescent="0.3">
      <c r="B110" s="18">
        <f>ROW()-ROW($B$98)</f>
        <v>12</v>
      </c>
      <c r="C110" s="19" t="s">
        <v>95</v>
      </c>
      <c r="D110" s="35">
        <f>VLOOKUP(C110,Code!$A:$G,4,0)</f>
        <v>8</v>
      </c>
      <c r="E110" s="21">
        <f>VLOOKUP(C110,'Comm Pivot'!$A:$N,2,0)</f>
        <v>8379</v>
      </c>
      <c r="F110" s="21">
        <f>VLOOKUP(C110,'Comm Pivot'!$A:$N,3,0)</f>
        <v>8548.5</v>
      </c>
      <c r="G110" s="21">
        <f>VLOOKUP(C110,'Comm Pivot'!$A:$N,4,0)</f>
        <v>5908</v>
      </c>
      <c r="H110" s="21">
        <f>VLOOKUP(C110,'Comm Pivot'!$A:$N,5,0)</f>
        <v>9140.25</v>
      </c>
      <c r="I110" s="21">
        <f>VLOOKUP(C110,'Comm Pivot'!$A:$N,6,0)</f>
        <v>8688.25</v>
      </c>
      <c r="J110" s="21">
        <f>VLOOKUP(C110,'Comm Pivot'!$A:$N,7,0)</f>
        <v>0</v>
      </c>
      <c r="K110" s="21">
        <f>VLOOKUP(C110,'Comm Pivot'!$A:$N,8,0)</f>
        <v>0</v>
      </c>
      <c r="L110" s="21">
        <f>VLOOKUP(C110,'Comm Pivot'!$A:$N,9,0)</f>
        <v>0</v>
      </c>
      <c r="M110" s="21">
        <f>VLOOKUP(C110,'Comm Pivot'!$A:$N,10,0)</f>
        <v>0</v>
      </c>
      <c r="N110" s="21">
        <f>VLOOKUP(C110,'Comm Pivot'!$A:$N,11,0)</f>
        <v>0</v>
      </c>
      <c r="O110" s="21">
        <f>VLOOKUP(C110,'Comm Pivot'!$A:$N,12,0)</f>
        <v>0</v>
      </c>
      <c r="P110" s="21">
        <f>VLOOKUP(C110,'Comm Pivot'!$A:$N,13,0)</f>
        <v>0</v>
      </c>
      <c r="Q110" s="22">
        <f t="shared" si="33"/>
        <v>40664</v>
      </c>
      <c r="R110" s="40">
        <f t="shared" si="34"/>
        <v>1694.3333333333333</v>
      </c>
      <c r="W110" s="18">
        <f t="shared" si="35"/>
        <v>12</v>
      </c>
      <c r="X110" s="19" t="str">
        <f t="shared" si="36"/>
        <v>Santanu Bera</v>
      </c>
      <c r="Y110" s="21">
        <f>VLOOKUP(X110,'Comm Pivot'!$P:$AC,2,0)</f>
        <v>5</v>
      </c>
      <c r="Z110" s="21">
        <f>VLOOKUP(X110,'Comm Pivot'!$P:$AC,3,0)</f>
        <v>5</v>
      </c>
      <c r="AA110" s="21">
        <f>VLOOKUP(X110,'Comm Pivot'!$P:$AC,4,0)</f>
        <v>6</v>
      </c>
      <c r="AB110" s="21">
        <f>VLOOKUP(X110,'Comm Pivot'!$P:$AC,5,0)</f>
        <v>6</v>
      </c>
      <c r="AC110" s="21">
        <f>VLOOKUP(X110,'Comm Pivot'!$P:$AC,6,0)</f>
        <v>6</v>
      </c>
      <c r="AD110" s="21">
        <f>VLOOKUP(X110,'Comm Pivot'!$P:$AC,7,0)</f>
        <v>0</v>
      </c>
      <c r="AE110" s="21">
        <f>VLOOKUP(X110,'Comm Pivot'!$P:$AC,8,0)</f>
        <v>0</v>
      </c>
      <c r="AF110" s="21">
        <f>VLOOKUP(X110,'Comm Pivot'!$P:$AC,9,0)</f>
        <v>0</v>
      </c>
      <c r="AG110" s="21">
        <f>VLOOKUP(X110,'Comm Pivot'!$P:$AC,10,0)</f>
        <v>0</v>
      </c>
      <c r="AH110" s="21">
        <f>VLOOKUP(X110,'Comm Pivot'!$P:$AC,11,0)</f>
        <v>0</v>
      </c>
      <c r="AI110" s="21">
        <f>VLOOKUP(X110,'Comm Pivot'!$P:$AC,12,0)</f>
        <v>0</v>
      </c>
      <c r="AJ110" s="21">
        <f>VLOOKUP(X110,'Comm Pivot'!$P:$AC,13,0)</f>
        <v>0</v>
      </c>
      <c r="AK110" s="22">
        <f>VLOOKUP(X110,'Comm Pivot'!$P:$AC,14,0)</f>
        <v>6</v>
      </c>
    </row>
    <row r="111" spans="2:37" x14ac:dyDescent="0.3">
      <c r="B111" s="18">
        <f>ROW()-ROW($B$98)</f>
        <v>13</v>
      </c>
      <c r="C111" s="19" t="s">
        <v>93</v>
      </c>
      <c r="D111" s="35">
        <f>VLOOKUP(C111,Code!$A:$G,4,0)</f>
        <v>8</v>
      </c>
      <c r="E111" s="21">
        <f>VLOOKUP(C111,'Comm Pivot'!$A:$N,2,0)</f>
        <v>5290</v>
      </c>
      <c r="F111" s="21">
        <f>VLOOKUP(C111,'Comm Pivot'!$A:$N,3,0)</f>
        <v>5636.75</v>
      </c>
      <c r="G111" s="21">
        <f>VLOOKUP(C111,'Comm Pivot'!$A:$N,4,0)</f>
        <v>5792.5</v>
      </c>
      <c r="H111" s="21">
        <f>VLOOKUP(C111,'Comm Pivot'!$A:$N,5,0)</f>
        <v>7176.75</v>
      </c>
      <c r="I111" s="21">
        <f>VLOOKUP(C111,'Comm Pivot'!$A:$N,6,0)</f>
        <v>8939.25</v>
      </c>
      <c r="J111" s="21">
        <f>VLOOKUP(C111,'Comm Pivot'!$A:$N,7,0)</f>
        <v>0</v>
      </c>
      <c r="K111" s="21">
        <f>VLOOKUP(C111,'Comm Pivot'!$A:$N,8,0)</f>
        <v>0</v>
      </c>
      <c r="L111" s="21">
        <f>VLOOKUP(C111,'Comm Pivot'!$A:$N,9,0)</f>
        <v>0</v>
      </c>
      <c r="M111" s="21">
        <f>VLOOKUP(C111,'Comm Pivot'!$A:$N,10,0)</f>
        <v>0</v>
      </c>
      <c r="N111" s="21">
        <f>VLOOKUP(C111,'Comm Pivot'!$A:$N,11,0)</f>
        <v>0</v>
      </c>
      <c r="O111" s="21">
        <f>VLOOKUP(C111,'Comm Pivot'!$A:$N,12,0)</f>
        <v>0</v>
      </c>
      <c r="P111" s="21">
        <f>VLOOKUP(C111,'Comm Pivot'!$A:$N,13,0)</f>
        <v>0</v>
      </c>
      <c r="Q111" s="22">
        <f t="shared" si="33"/>
        <v>32835.25</v>
      </c>
      <c r="R111" s="40">
        <f t="shared" si="34"/>
        <v>1368.1354166666667</v>
      </c>
      <c r="W111" s="18">
        <f t="shared" si="35"/>
        <v>13</v>
      </c>
      <c r="X111" s="19" t="str">
        <f t="shared" si="36"/>
        <v>Manindra Nath Barman</v>
      </c>
      <c r="Y111" s="21">
        <f>VLOOKUP(X111,'Comm Pivot'!$P:$AC,2,0)</f>
        <v>4</v>
      </c>
      <c r="Z111" s="21">
        <f>VLOOKUP(X111,'Comm Pivot'!$P:$AC,3,0)</f>
        <v>5</v>
      </c>
      <c r="AA111" s="21">
        <f>VLOOKUP(X111,'Comm Pivot'!$P:$AC,4,0)</f>
        <v>6</v>
      </c>
      <c r="AB111" s="21">
        <f>VLOOKUP(X111,'Comm Pivot'!$P:$AC,5,0)</f>
        <v>6</v>
      </c>
      <c r="AC111" s="21">
        <f>VLOOKUP(X111,'Comm Pivot'!$P:$AC,6,0)</f>
        <v>7</v>
      </c>
      <c r="AD111" s="21">
        <f>VLOOKUP(X111,'Comm Pivot'!$P:$AC,7,0)</f>
        <v>0</v>
      </c>
      <c r="AE111" s="21">
        <f>VLOOKUP(X111,'Comm Pivot'!$P:$AC,8,0)</f>
        <v>0</v>
      </c>
      <c r="AF111" s="21">
        <f>VLOOKUP(X111,'Comm Pivot'!$P:$AC,9,0)</f>
        <v>0</v>
      </c>
      <c r="AG111" s="21">
        <f>VLOOKUP(X111,'Comm Pivot'!$P:$AC,10,0)</f>
        <v>0</v>
      </c>
      <c r="AH111" s="21">
        <f>VLOOKUP(X111,'Comm Pivot'!$P:$AC,11,0)</f>
        <v>0</v>
      </c>
      <c r="AI111" s="21">
        <f>VLOOKUP(X111,'Comm Pivot'!$P:$AC,12,0)</f>
        <v>0</v>
      </c>
      <c r="AJ111" s="21">
        <f>VLOOKUP(X111,'Comm Pivot'!$P:$AC,13,0)</f>
        <v>0</v>
      </c>
      <c r="AK111" s="22">
        <f>VLOOKUP(X111,'Comm Pivot'!$P:$AC,14,0)</f>
        <v>6</v>
      </c>
    </row>
    <row r="112" spans="2:37" x14ac:dyDescent="0.3">
      <c r="B112" s="18">
        <f>ROW()-ROW($B$98)</f>
        <v>14</v>
      </c>
      <c r="C112" s="19" t="s">
        <v>449</v>
      </c>
      <c r="D112" s="35">
        <f>VLOOKUP(C112,Code!$A:$G,4,0)</f>
        <v>1</v>
      </c>
      <c r="E112" s="21">
        <f>VLOOKUP(C112,'Comm Pivot'!$A:$N,2,0)</f>
        <v>0</v>
      </c>
      <c r="F112" s="21">
        <f>VLOOKUP(C112,'Comm Pivot'!$A:$N,3,0)</f>
        <v>0</v>
      </c>
      <c r="G112" s="21">
        <f>VLOOKUP(C112,'Comm Pivot'!$A:$N,4,0)</f>
        <v>0</v>
      </c>
      <c r="H112" s="21">
        <f>VLOOKUP(C112,'Comm Pivot'!$A:$N,5,0)</f>
        <v>0</v>
      </c>
      <c r="I112" s="21">
        <f>VLOOKUP(C112,'Comm Pivot'!$A:$N,6,0)</f>
        <v>1221</v>
      </c>
      <c r="J112" s="21">
        <f>VLOOKUP(C112,'Comm Pivot'!$A:$N,7,0)</f>
        <v>0</v>
      </c>
      <c r="K112" s="21">
        <f>VLOOKUP(C112,'Comm Pivot'!$A:$N,8,0)</f>
        <v>0</v>
      </c>
      <c r="L112" s="21">
        <f>VLOOKUP(C112,'Comm Pivot'!$A:$N,9,0)</f>
        <v>0</v>
      </c>
      <c r="M112" s="21">
        <f>VLOOKUP(C112,'Comm Pivot'!$A:$N,10,0)</f>
        <v>0</v>
      </c>
      <c r="N112" s="21">
        <f>VLOOKUP(C112,'Comm Pivot'!$A:$N,11,0)</f>
        <v>0</v>
      </c>
      <c r="O112" s="21">
        <f>VLOOKUP(C112,'Comm Pivot'!$A:$N,12,0)</f>
        <v>0</v>
      </c>
      <c r="P112" s="21">
        <f>VLOOKUP(C112,'Comm Pivot'!$A:$N,13,0)</f>
        <v>0</v>
      </c>
      <c r="Q112" s="22">
        <f t="shared" si="33"/>
        <v>1221</v>
      </c>
      <c r="R112" s="40">
        <f t="shared" si="34"/>
        <v>407</v>
      </c>
      <c r="W112" s="18">
        <f t="shared" si="35"/>
        <v>14</v>
      </c>
      <c r="X112" s="19" t="str">
        <f t="shared" si="36"/>
        <v>Mousumi Sarkar</v>
      </c>
      <c r="Y112" s="21">
        <f>VLOOKUP(X112,'Comm Pivot'!$P:$AC,2,0)</f>
        <v>0</v>
      </c>
      <c r="Z112" s="21">
        <f>VLOOKUP(X112,'Comm Pivot'!$P:$AC,3,0)</f>
        <v>0</v>
      </c>
      <c r="AA112" s="21">
        <f>VLOOKUP(X112,'Comm Pivot'!$P:$AC,4,0)</f>
        <v>0</v>
      </c>
      <c r="AB112" s="21">
        <f>VLOOKUP(X112,'Comm Pivot'!$P:$AC,5,0)</f>
        <v>0</v>
      </c>
      <c r="AC112" s="21">
        <f>VLOOKUP(X112,'Comm Pivot'!$P:$AC,6,0)</f>
        <v>1</v>
      </c>
      <c r="AD112" s="21">
        <f>VLOOKUP(X112,'Comm Pivot'!$P:$AC,7,0)</f>
        <v>0</v>
      </c>
      <c r="AE112" s="21">
        <f>VLOOKUP(X112,'Comm Pivot'!$P:$AC,8,0)</f>
        <v>0</v>
      </c>
      <c r="AF112" s="21">
        <f>VLOOKUP(X112,'Comm Pivot'!$P:$AC,9,0)</f>
        <v>0</v>
      </c>
      <c r="AG112" s="21">
        <f>VLOOKUP(X112,'Comm Pivot'!$P:$AC,10,0)</f>
        <v>0</v>
      </c>
      <c r="AH112" s="21">
        <f>VLOOKUP(X112,'Comm Pivot'!$P:$AC,11,0)</f>
        <v>0</v>
      </c>
      <c r="AI112" s="21">
        <f>VLOOKUP(X112,'Comm Pivot'!$P:$AC,12,0)</f>
        <v>0</v>
      </c>
      <c r="AJ112" s="21">
        <f>VLOOKUP(X112,'Comm Pivot'!$P:$AC,13,0)</f>
        <v>0</v>
      </c>
      <c r="AK112" s="22">
        <f>VLOOKUP(X112,'Comm Pivot'!$P:$AC,14,0)</f>
        <v>0</v>
      </c>
    </row>
    <row r="113" spans="2:37" ht="3" customHeight="1" x14ac:dyDescent="0.3">
      <c r="R113" s="212"/>
    </row>
    <row r="114" spans="2:37" x14ac:dyDescent="0.3">
      <c r="B114" s="215" t="s">
        <v>283</v>
      </c>
      <c r="C114" s="216"/>
      <c r="D114" s="36">
        <f t="shared" ref="D114:Q114" si="37">SUM(D99:D112)</f>
        <v>103</v>
      </c>
      <c r="E114" s="29">
        <f t="shared" si="37"/>
        <v>483484</v>
      </c>
      <c r="F114" s="29">
        <f t="shared" si="37"/>
        <v>493821.25</v>
      </c>
      <c r="G114" s="29">
        <f t="shared" si="37"/>
        <v>442742</v>
      </c>
      <c r="H114" s="29">
        <f t="shared" si="37"/>
        <v>516244</v>
      </c>
      <c r="I114" s="29">
        <f t="shared" si="37"/>
        <v>572275.5</v>
      </c>
      <c r="J114" s="29">
        <f t="shared" si="37"/>
        <v>0</v>
      </c>
      <c r="K114" s="29">
        <f t="shared" si="37"/>
        <v>0</v>
      </c>
      <c r="L114" s="29">
        <f t="shared" si="37"/>
        <v>0</v>
      </c>
      <c r="M114" s="29">
        <f t="shared" si="37"/>
        <v>0</v>
      </c>
      <c r="N114" s="29">
        <f t="shared" si="37"/>
        <v>0</v>
      </c>
      <c r="O114" s="29">
        <f t="shared" si="37"/>
        <v>0</v>
      </c>
      <c r="P114" s="29">
        <f t="shared" si="37"/>
        <v>0</v>
      </c>
      <c r="Q114" s="29">
        <f t="shared" si="37"/>
        <v>2508566.75</v>
      </c>
      <c r="R114" s="29">
        <f t="shared" ref="R114" si="38">Q114/D114/2</f>
        <v>12177.508495145632</v>
      </c>
      <c r="W114" s="215" t="s">
        <v>283</v>
      </c>
      <c r="X114" s="216"/>
      <c r="Y114" s="29">
        <f>SUM(Y99:Y112)</f>
        <v>83</v>
      </c>
      <c r="Z114" s="29">
        <f t="shared" ref="Z114:AK114" si="39">SUM(Z99:Z112)</f>
        <v>83</v>
      </c>
      <c r="AA114" s="29">
        <f t="shared" si="39"/>
        <v>84</v>
      </c>
      <c r="AB114" s="29">
        <f t="shared" si="39"/>
        <v>85</v>
      </c>
      <c r="AC114" s="29">
        <f t="shared" si="39"/>
        <v>87</v>
      </c>
      <c r="AD114" s="29">
        <f t="shared" si="39"/>
        <v>0</v>
      </c>
      <c r="AE114" s="29">
        <f t="shared" si="39"/>
        <v>0</v>
      </c>
      <c r="AF114" s="29">
        <f t="shared" si="39"/>
        <v>0</v>
      </c>
      <c r="AG114" s="29">
        <f t="shared" si="39"/>
        <v>0</v>
      </c>
      <c r="AH114" s="29">
        <f t="shared" si="39"/>
        <v>0</v>
      </c>
      <c r="AI114" s="29">
        <f t="shared" si="39"/>
        <v>0</v>
      </c>
      <c r="AJ114" s="29">
        <f t="shared" si="39"/>
        <v>0</v>
      </c>
      <c r="AK114" s="29">
        <f t="shared" si="39"/>
        <v>88</v>
      </c>
    </row>
    <row r="115" spans="2:37" hidden="1" x14ac:dyDescent="0.3">
      <c r="R115" s="6">
        <f>COUNTIF(E114:G114,"&gt;0")</f>
        <v>3</v>
      </c>
    </row>
  </sheetData>
  <mergeCells count="24">
    <mergeCell ref="W97:AK97"/>
    <mergeCell ref="W114:X114"/>
    <mergeCell ref="W57:X57"/>
    <mergeCell ref="W59:AK59"/>
    <mergeCell ref="W76:X76"/>
    <mergeCell ref="W78:AK78"/>
    <mergeCell ref="W95:X95"/>
    <mergeCell ref="W2:AK2"/>
    <mergeCell ref="W19:X19"/>
    <mergeCell ref="W21:AK21"/>
    <mergeCell ref="W38:X38"/>
    <mergeCell ref="W40:AK40"/>
    <mergeCell ref="B59:R59"/>
    <mergeCell ref="B76:C76"/>
    <mergeCell ref="B97:R97"/>
    <mergeCell ref="B114:C114"/>
    <mergeCell ref="B78:R78"/>
    <mergeCell ref="B95:C95"/>
    <mergeCell ref="B57:C57"/>
    <mergeCell ref="B2:R2"/>
    <mergeCell ref="B19:C19"/>
    <mergeCell ref="B21:R21"/>
    <mergeCell ref="B38:C38"/>
    <mergeCell ref="B40:R40"/>
  </mergeCells>
  <conditionalFormatting sqref="R4:R17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3:R36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2:R55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1:R74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0:R9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9:R112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19685039370078741" right="0.19685039370078741" top="0.19685039370078741" bottom="0.19685039370078741" header="0.31496062992125984" footer="0.31496062992125984"/>
  <pageSetup paperSize="9" scale="65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7DB0-408E-4958-8D17-D459F503FAB3}">
  <dimension ref="A3:AD18"/>
  <sheetViews>
    <sheetView topLeftCell="S1" workbookViewId="0">
      <selection activeCell="H24" sqref="H24"/>
    </sheetView>
  </sheetViews>
  <sheetFormatPr defaultRowHeight="14.4" x14ac:dyDescent="0.3"/>
  <cols>
    <col min="1" max="1" width="23.77734375" bestFit="1" customWidth="1"/>
    <col min="2" max="2" width="12.77734375" bestFit="1" customWidth="1"/>
    <col min="3" max="3" width="13.21875" bestFit="1" customWidth="1"/>
    <col min="4" max="4" width="14" bestFit="1" customWidth="1"/>
    <col min="5" max="5" width="13.109375" bestFit="1" customWidth="1"/>
    <col min="6" max="6" width="12.33203125" bestFit="1" customWidth="1"/>
    <col min="7" max="7" width="13.5546875" bestFit="1" customWidth="1"/>
    <col min="8" max="8" width="13.33203125" bestFit="1" customWidth="1"/>
    <col min="9" max="9" width="13.109375" bestFit="1" customWidth="1"/>
    <col min="10" max="10" width="13.6640625" bestFit="1" customWidth="1"/>
    <col min="11" max="11" width="13.33203125" bestFit="1" customWidth="1"/>
    <col min="12" max="12" width="12.88671875" bestFit="1" customWidth="1"/>
    <col min="13" max="13" width="13.21875" bestFit="1" customWidth="1"/>
    <col min="14" max="14" width="13.6640625" bestFit="1" customWidth="1"/>
    <col min="15" max="15" width="14.5546875" bestFit="1" customWidth="1"/>
    <col min="17" max="17" width="23.77734375" bestFit="1" customWidth="1"/>
    <col min="18" max="18" width="14.5546875" bestFit="1" customWidth="1"/>
    <col min="19" max="19" width="15.33203125" bestFit="1" customWidth="1"/>
    <col min="20" max="20" width="14.44140625" bestFit="1" customWidth="1"/>
    <col min="21" max="21" width="13.77734375" bestFit="1" customWidth="1"/>
    <col min="22" max="22" width="14.88671875" bestFit="1" customWidth="1"/>
    <col min="23" max="23" width="14.6640625" bestFit="1" customWidth="1"/>
    <col min="24" max="24" width="14.44140625" bestFit="1" customWidth="1"/>
    <col min="25" max="25" width="15" bestFit="1" customWidth="1"/>
    <col min="26" max="26" width="14.6640625" bestFit="1" customWidth="1"/>
    <col min="27" max="27" width="14.33203125" bestFit="1" customWidth="1"/>
    <col min="28" max="28" width="14.5546875" bestFit="1" customWidth="1"/>
    <col min="29" max="29" width="15" bestFit="1" customWidth="1"/>
    <col min="30" max="30" width="15.88671875" bestFit="1" customWidth="1"/>
    <col min="31" max="31" width="17.88671875" bestFit="1" customWidth="1"/>
  </cols>
  <sheetData>
    <row r="3" spans="1:30" x14ac:dyDescent="0.3">
      <c r="A3" s="31" t="s">
        <v>289</v>
      </c>
      <c r="B3" t="s">
        <v>290</v>
      </c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 t="s">
        <v>296</v>
      </c>
      <c r="I3" t="s">
        <v>297</v>
      </c>
      <c r="J3" t="s">
        <v>298</v>
      </c>
      <c r="K3" t="s">
        <v>299</v>
      </c>
      <c r="L3" t="s">
        <v>300</v>
      </c>
      <c r="M3" t="s">
        <v>301</v>
      </c>
      <c r="N3" t="s">
        <v>302</v>
      </c>
      <c r="O3" t="s">
        <v>342</v>
      </c>
      <c r="Q3" s="31" t="s">
        <v>289</v>
      </c>
      <c r="R3" t="s">
        <v>304</v>
      </c>
      <c r="S3" t="s">
        <v>305</v>
      </c>
      <c r="T3" t="s">
        <v>306</v>
      </c>
      <c r="U3" t="s">
        <v>307</v>
      </c>
      <c r="V3" t="s">
        <v>308</v>
      </c>
      <c r="W3" t="s">
        <v>309</v>
      </c>
      <c r="X3" t="s">
        <v>310</v>
      </c>
      <c r="Y3" t="s">
        <v>311</v>
      </c>
      <c r="Z3" t="s">
        <v>312</v>
      </c>
      <c r="AA3" t="s">
        <v>313</v>
      </c>
      <c r="AB3" t="s">
        <v>314</v>
      </c>
      <c r="AC3" t="s">
        <v>315</v>
      </c>
      <c r="AD3" t="s">
        <v>343</v>
      </c>
    </row>
    <row r="4" spans="1:30" x14ac:dyDescent="0.3">
      <c r="A4" s="32" t="s">
        <v>99</v>
      </c>
      <c r="B4" s="33">
        <v>540</v>
      </c>
      <c r="C4" s="276">
        <v>4</v>
      </c>
      <c r="D4" s="276">
        <v>10</v>
      </c>
      <c r="E4" s="276">
        <v>34</v>
      </c>
      <c r="F4" s="276">
        <v>23</v>
      </c>
      <c r="G4" s="276">
        <v>14</v>
      </c>
      <c r="H4" s="276">
        <v>10</v>
      </c>
      <c r="I4" s="276"/>
      <c r="J4" s="276"/>
      <c r="K4" s="276"/>
      <c r="L4" s="276"/>
      <c r="M4" s="276"/>
      <c r="N4" s="276"/>
      <c r="O4" s="33">
        <v>95</v>
      </c>
      <c r="Q4" s="32" t="s">
        <v>99</v>
      </c>
      <c r="R4" s="276">
        <v>2</v>
      </c>
      <c r="S4" s="276">
        <v>2</v>
      </c>
      <c r="T4" s="276">
        <v>3</v>
      </c>
      <c r="U4" s="276">
        <v>3</v>
      </c>
      <c r="V4" s="276">
        <v>3</v>
      </c>
      <c r="W4" s="276">
        <v>2</v>
      </c>
      <c r="X4" s="276"/>
      <c r="Y4" s="276"/>
      <c r="Z4" s="276"/>
      <c r="AA4" s="276"/>
      <c r="AB4" s="276"/>
      <c r="AC4" s="276"/>
      <c r="AD4" s="276">
        <v>3</v>
      </c>
    </row>
    <row r="5" spans="1:30" x14ac:dyDescent="0.3">
      <c r="A5" s="32" t="s">
        <v>97</v>
      </c>
      <c r="B5" s="33">
        <v>840</v>
      </c>
      <c r="C5" s="276">
        <v>81</v>
      </c>
      <c r="D5" s="276">
        <v>145</v>
      </c>
      <c r="E5" s="276">
        <v>81</v>
      </c>
      <c r="F5" s="276">
        <v>92</v>
      </c>
      <c r="G5" s="276">
        <v>89</v>
      </c>
      <c r="H5" s="276">
        <v>10</v>
      </c>
      <c r="I5" s="276"/>
      <c r="J5" s="276"/>
      <c r="K5" s="276"/>
      <c r="L5" s="276"/>
      <c r="M5" s="276"/>
      <c r="N5" s="276"/>
      <c r="O5" s="33">
        <v>498</v>
      </c>
      <c r="Q5" s="32" t="s">
        <v>97</v>
      </c>
      <c r="R5" s="276">
        <v>4</v>
      </c>
      <c r="S5" s="276">
        <v>5</v>
      </c>
      <c r="T5" s="276">
        <v>4</v>
      </c>
      <c r="U5" s="276">
        <v>4</v>
      </c>
      <c r="V5" s="276">
        <v>4</v>
      </c>
      <c r="W5" s="276">
        <v>3</v>
      </c>
      <c r="X5" s="276"/>
      <c r="Y5" s="276"/>
      <c r="Z5" s="276"/>
      <c r="AA5" s="276"/>
      <c r="AB5" s="276"/>
      <c r="AC5" s="276"/>
      <c r="AD5" s="276">
        <v>5</v>
      </c>
    </row>
    <row r="6" spans="1:30" x14ac:dyDescent="0.3">
      <c r="A6" s="32" t="s">
        <v>93</v>
      </c>
      <c r="B6" s="33">
        <v>960</v>
      </c>
      <c r="C6" s="276">
        <v>39</v>
      </c>
      <c r="D6" s="276">
        <v>66</v>
      </c>
      <c r="E6" s="276">
        <v>86</v>
      </c>
      <c r="F6" s="276">
        <v>103</v>
      </c>
      <c r="G6" s="276">
        <v>87</v>
      </c>
      <c r="H6" s="276">
        <v>13</v>
      </c>
      <c r="I6" s="276"/>
      <c r="J6" s="276"/>
      <c r="K6" s="276"/>
      <c r="L6" s="276"/>
      <c r="M6" s="276"/>
      <c r="N6" s="276"/>
      <c r="O6" s="33">
        <v>394</v>
      </c>
      <c r="Q6" s="32" t="s">
        <v>93</v>
      </c>
      <c r="R6" s="276">
        <v>3</v>
      </c>
      <c r="S6" s="276">
        <v>3</v>
      </c>
      <c r="T6" s="276">
        <v>4</v>
      </c>
      <c r="U6" s="276">
        <v>6</v>
      </c>
      <c r="V6" s="276">
        <v>6</v>
      </c>
      <c r="W6" s="276">
        <v>5</v>
      </c>
      <c r="X6" s="276"/>
      <c r="Y6" s="276"/>
      <c r="Z6" s="276"/>
      <c r="AA6" s="276"/>
      <c r="AB6" s="276"/>
      <c r="AC6" s="276"/>
      <c r="AD6" s="276">
        <v>7</v>
      </c>
    </row>
    <row r="7" spans="1:30" x14ac:dyDescent="0.3">
      <c r="A7" s="32" t="s">
        <v>101</v>
      </c>
      <c r="B7" s="33">
        <v>360</v>
      </c>
      <c r="C7" s="276">
        <v>25</v>
      </c>
      <c r="D7" s="276">
        <v>50</v>
      </c>
      <c r="E7" s="276">
        <v>24</v>
      </c>
      <c r="F7" s="276">
        <v>47</v>
      </c>
      <c r="G7" s="276">
        <v>33</v>
      </c>
      <c r="H7" s="276">
        <v>9</v>
      </c>
      <c r="I7" s="276"/>
      <c r="J7" s="276"/>
      <c r="K7" s="276"/>
      <c r="L7" s="276"/>
      <c r="M7" s="276"/>
      <c r="N7" s="276"/>
      <c r="O7" s="33">
        <v>188</v>
      </c>
      <c r="Q7" s="32" t="s">
        <v>101</v>
      </c>
      <c r="R7" s="276">
        <v>2</v>
      </c>
      <c r="S7" s="276">
        <v>2</v>
      </c>
      <c r="T7" s="276">
        <v>2</v>
      </c>
      <c r="U7" s="276">
        <v>2</v>
      </c>
      <c r="V7" s="276">
        <v>2</v>
      </c>
      <c r="W7" s="276">
        <v>2</v>
      </c>
      <c r="X7" s="276"/>
      <c r="Y7" s="276"/>
      <c r="Z7" s="276"/>
      <c r="AA7" s="276"/>
      <c r="AB7" s="276"/>
      <c r="AC7" s="276"/>
      <c r="AD7" s="276">
        <v>2</v>
      </c>
    </row>
    <row r="8" spans="1:30" x14ac:dyDescent="0.3">
      <c r="A8" s="32" t="s">
        <v>102</v>
      </c>
      <c r="B8" s="33">
        <v>540</v>
      </c>
      <c r="C8" s="276">
        <v>13</v>
      </c>
      <c r="D8" s="276">
        <v>46</v>
      </c>
      <c r="E8" s="276">
        <v>39</v>
      </c>
      <c r="F8" s="276">
        <v>33</v>
      </c>
      <c r="G8" s="276">
        <v>39</v>
      </c>
      <c r="H8" s="276">
        <v>13</v>
      </c>
      <c r="I8" s="276"/>
      <c r="J8" s="276"/>
      <c r="K8" s="276"/>
      <c r="L8" s="276"/>
      <c r="M8" s="276"/>
      <c r="N8" s="276"/>
      <c r="O8" s="33">
        <v>183</v>
      </c>
      <c r="Q8" s="32" t="s">
        <v>102</v>
      </c>
      <c r="R8" s="276">
        <v>2</v>
      </c>
      <c r="S8" s="276">
        <v>3</v>
      </c>
      <c r="T8" s="276">
        <v>3</v>
      </c>
      <c r="U8" s="276">
        <v>3</v>
      </c>
      <c r="V8" s="276">
        <v>3</v>
      </c>
      <c r="W8" s="276">
        <v>3</v>
      </c>
      <c r="X8" s="276"/>
      <c r="Y8" s="276"/>
      <c r="Z8" s="276"/>
      <c r="AA8" s="276"/>
      <c r="AB8" s="276"/>
      <c r="AC8" s="276"/>
      <c r="AD8" s="276">
        <v>3</v>
      </c>
    </row>
    <row r="9" spans="1:30" x14ac:dyDescent="0.3">
      <c r="A9" s="32" t="s">
        <v>100</v>
      </c>
      <c r="B9" s="33">
        <v>360</v>
      </c>
      <c r="C9" s="276">
        <v>18</v>
      </c>
      <c r="D9" s="276">
        <v>35</v>
      </c>
      <c r="E9" s="276">
        <v>31</v>
      </c>
      <c r="F9" s="276">
        <v>34</v>
      </c>
      <c r="G9" s="276">
        <v>21</v>
      </c>
      <c r="H9" s="276">
        <v>10</v>
      </c>
      <c r="I9" s="276"/>
      <c r="J9" s="276"/>
      <c r="K9" s="276"/>
      <c r="L9" s="276"/>
      <c r="M9" s="276"/>
      <c r="N9" s="276"/>
      <c r="O9" s="33">
        <v>149</v>
      </c>
      <c r="Q9" s="32" t="s">
        <v>100</v>
      </c>
      <c r="R9" s="276">
        <v>2</v>
      </c>
      <c r="S9" s="276">
        <v>2</v>
      </c>
      <c r="T9" s="276">
        <v>2</v>
      </c>
      <c r="U9" s="276">
        <v>2</v>
      </c>
      <c r="V9" s="276">
        <v>2</v>
      </c>
      <c r="W9" s="276">
        <v>2</v>
      </c>
      <c r="X9" s="276"/>
      <c r="Y9" s="276"/>
      <c r="Z9" s="276"/>
      <c r="AA9" s="276"/>
      <c r="AB9" s="276"/>
      <c r="AC9" s="276"/>
      <c r="AD9" s="276">
        <v>2</v>
      </c>
    </row>
    <row r="10" spans="1:30" x14ac:dyDescent="0.3">
      <c r="A10" s="32" t="s">
        <v>103</v>
      </c>
      <c r="B10" s="33">
        <v>180</v>
      </c>
      <c r="C10" s="276">
        <v>13</v>
      </c>
      <c r="D10" s="276">
        <v>20</v>
      </c>
      <c r="E10" s="276">
        <v>9</v>
      </c>
      <c r="F10" s="276">
        <v>19</v>
      </c>
      <c r="G10" s="276">
        <v>14</v>
      </c>
      <c r="H10" s="276">
        <v>1</v>
      </c>
      <c r="I10" s="276"/>
      <c r="J10" s="276"/>
      <c r="K10" s="276"/>
      <c r="L10" s="276"/>
      <c r="M10" s="276"/>
      <c r="N10" s="276"/>
      <c r="O10" s="33">
        <v>76</v>
      </c>
      <c r="Q10" s="32" t="s">
        <v>103</v>
      </c>
      <c r="R10" s="276">
        <v>1</v>
      </c>
      <c r="S10" s="276">
        <v>1</v>
      </c>
      <c r="T10" s="276">
        <v>1</v>
      </c>
      <c r="U10" s="276">
        <v>1</v>
      </c>
      <c r="V10" s="276">
        <v>1</v>
      </c>
      <c r="W10" s="276">
        <v>1</v>
      </c>
      <c r="X10" s="276"/>
      <c r="Y10" s="276"/>
      <c r="Z10" s="276"/>
      <c r="AA10" s="276"/>
      <c r="AB10" s="276"/>
      <c r="AC10" s="276"/>
      <c r="AD10" s="276">
        <v>1</v>
      </c>
    </row>
    <row r="11" spans="1:30" x14ac:dyDescent="0.3">
      <c r="A11" s="32" t="s">
        <v>95</v>
      </c>
      <c r="B11" s="33">
        <v>1020</v>
      </c>
      <c r="C11" s="276">
        <v>13</v>
      </c>
      <c r="D11" s="276">
        <v>28</v>
      </c>
      <c r="E11" s="276">
        <v>28</v>
      </c>
      <c r="F11" s="276">
        <v>56</v>
      </c>
      <c r="G11" s="276">
        <v>25</v>
      </c>
      <c r="H11" s="276">
        <v>2</v>
      </c>
      <c r="I11" s="276"/>
      <c r="J11" s="276"/>
      <c r="K11" s="276"/>
      <c r="L11" s="276"/>
      <c r="M11" s="276"/>
      <c r="N11" s="276"/>
      <c r="O11" s="33">
        <v>152</v>
      </c>
      <c r="Q11" s="32" t="s">
        <v>95</v>
      </c>
      <c r="R11" s="276">
        <v>3</v>
      </c>
      <c r="S11" s="276">
        <v>4</v>
      </c>
      <c r="T11" s="276">
        <v>4</v>
      </c>
      <c r="U11" s="276">
        <v>5</v>
      </c>
      <c r="V11" s="276">
        <v>3</v>
      </c>
      <c r="W11" s="276">
        <v>2</v>
      </c>
      <c r="X11" s="276"/>
      <c r="Y11" s="276"/>
      <c r="Z11" s="276"/>
      <c r="AA11" s="276"/>
      <c r="AB11" s="276"/>
      <c r="AC11" s="276"/>
      <c r="AD11" s="276">
        <v>5</v>
      </c>
    </row>
    <row r="12" spans="1:30" x14ac:dyDescent="0.3">
      <c r="A12" s="32" t="s">
        <v>98</v>
      </c>
      <c r="B12" s="33">
        <v>540</v>
      </c>
      <c r="C12" s="276">
        <v>66</v>
      </c>
      <c r="D12" s="276">
        <v>81</v>
      </c>
      <c r="E12" s="276">
        <v>104</v>
      </c>
      <c r="F12" s="276">
        <v>142</v>
      </c>
      <c r="G12" s="276">
        <v>69</v>
      </c>
      <c r="H12" s="276">
        <v>10</v>
      </c>
      <c r="I12" s="276"/>
      <c r="J12" s="276"/>
      <c r="K12" s="276"/>
      <c r="L12" s="276"/>
      <c r="M12" s="276"/>
      <c r="N12" s="276"/>
      <c r="O12" s="33">
        <v>472</v>
      </c>
      <c r="Q12" s="32" t="s">
        <v>98</v>
      </c>
      <c r="R12" s="276">
        <v>3</v>
      </c>
      <c r="S12" s="276">
        <v>3</v>
      </c>
      <c r="T12" s="276">
        <v>3</v>
      </c>
      <c r="U12" s="276">
        <v>3</v>
      </c>
      <c r="V12" s="276">
        <v>3</v>
      </c>
      <c r="W12" s="276">
        <v>3</v>
      </c>
      <c r="X12" s="276"/>
      <c r="Y12" s="276"/>
      <c r="Z12" s="276"/>
      <c r="AA12" s="276"/>
      <c r="AB12" s="276"/>
      <c r="AC12" s="276"/>
      <c r="AD12" s="276">
        <v>3</v>
      </c>
    </row>
    <row r="13" spans="1:30" x14ac:dyDescent="0.3">
      <c r="A13" s="32" t="s">
        <v>96</v>
      </c>
      <c r="B13" s="33">
        <v>2220</v>
      </c>
      <c r="C13" s="276">
        <v>92</v>
      </c>
      <c r="D13" s="276">
        <v>386</v>
      </c>
      <c r="E13" s="276">
        <v>176</v>
      </c>
      <c r="F13" s="276">
        <v>301</v>
      </c>
      <c r="G13" s="276">
        <v>137</v>
      </c>
      <c r="H13" s="276">
        <v>21</v>
      </c>
      <c r="I13" s="276"/>
      <c r="J13" s="276"/>
      <c r="K13" s="276"/>
      <c r="L13" s="276"/>
      <c r="M13" s="276"/>
      <c r="N13" s="276"/>
      <c r="O13" s="33">
        <v>1113</v>
      </c>
      <c r="Q13" s="32" t="s">
        <v>96</v>
      </c>
      <c r="R13" s="276">
        <v>13</v>
      </c>
      <c r="S13" s="276">
        <v>11</v>
      </c>
      <c r="T13" s="276">
        <v>12</v>
      </c>
      <c r="U13" s="276">
        <v>13</v>
      </c>
      <c r="V13" s="276">
        <v>12</v>
      </c>
      <c r="W13" s="276">
        <v>9</v>
      </c>
      <c r="X13" s="276"/>
      <c r="Y13" s="276"/>
      <c r="Z13" s="276"/>
      <c r="AA13" s="276"/>
      <c r="AB13" s="276"/>
      <c r="AC13" s="276"/>
      <c r="AD13" s="276">
        <v>15</v>
      </c>
    </row>
    <row r="14" spans="1:30" x14ac:dyDescent="0.3">
      <c r="A14" s="32" t="s">
        <v>345</v>
      </c>
      <c r="B14" s="33">
        <v>1140</v>
      </c>
      <c r="C14" s="276">
        <v>48</v>
      </c>
      <c r="D14" s="276">
        <v>71</v>
      </c>
      <c r="E14" s="276">
        <v>92</v>
      </c>
      <c r="F14" s="276">
        <v>83</v>
      </c>
      <c r="G14" s="276">
        <v>85</v>
      </c>
      <c r="H14" s="276">
        <v>18</v>
      </c>
      <c r="I14" s="276"/>
      <c r="J14" s="276"/>
      <c r="K14" s="276"/>
      <c r="L14" s="276"/>
      <c r="M14" s="276"/>
      <c r="N14" s="276"/>
      <c r="O14" s="33">
        <v>397</v>
      </c>
      <c r="Q14" s="32" t="s">
        <v>345</v>
      </c>
      <c r="R14" s="276">
        <v>7</v>
      </c>
      <c r="S14" s="276">
        <v>6</v>
      </c>
      <c r="T14" s="276">
        <v>6</v>
      </c>
      <c r="U14" s="276">
        <v>6</v>
      </c>
      <c r="V14" s="276">
        <v>6</v>
      </c>
      <c r="W14" s="276">
        <v>5</v>
      </c>
      <c r="X14" s="276"/>
      <c r="Y14" s="276"/>
      <c r="Z14" s="276"/>
      <c r="AA14" s="276"/>
      <c r="AB14" s="276"/>
      <c r="AC14" s="276"/>
      <c r="AD14" s="276">
        <v>7</v>
      </c>
    </row>
    <row r="15" spans="1:30" x14ac:dyDescent="0.3">
      <c r="A15" s="32" t="s">
        <v>449</v>
      </c>
      <c r="B15" s="33">
        <v>60</v>
      </c>
      <c r="C15" s="276"/>
      <c r="D15" s="276"/>
      <c r="E15" s="276"/>
      <c r="F15" s="276"/>
      <c r="G15" s="276"/>
      <c r="H15" s="276">
        <v>1</v>
      </c>
      <c r="I15" s="276"/>
      <c r="J15" s="276"/>
      <c r="K15" s="276"/>
      <c r="L15" s="276"/>
      <c r="M15" s="276"/>
      <c r="N15" s="276"/>
      <c r="O15" s="33">
        <v>1</v>
      </c>
      <c r="Q15" s="32" t="s">
        <v>449</v>
      </c>
      <c r="R15" s="276"/>
      <c r="S15" s="276"/>
      <c r="T15" s="276"/>
      <c r="U15" s="276"/>
      <c r="V15" s="276"/>
      <c r="W15" s="276">
        <v>1</v>
      </c>
      <c r="X15" s="276"/>
      <c r="Y15" s="276"/>
      <c r="Z15" s="276"/>
      <c r="AA15" s="276"/>
      <c r="AB15" s="276"/>
      <c r="AC15" s="276"/>
      <c r="AD15" s="276">
        <v>1</v>
      </c>
    </row>
    <row r="16" spans="1:30" x14ac:dyDescent="0.3">
      <c r="A16" s="32" t="s">
        <v>455</v>
      </c>
      <c r="B16" s="33">
        <v>2760</v>
      </c>
      <c r="C16" s="276">
        <v>78</v>
      </c>
      <c r="D16" s="276">
        <v>249</v>
      </c>
      <c r="E16" s="276">
        <v>223</v>
      </c>
      <c r="F16" s="276">
        <v>211</v>
      </c>
      <c r="G16" s="276">
        <v>143</v>
      </c>
      <c r="H16" s="276">
        <v>18</v>
      </c>
      <c r="I16" s="276"/>
      <c r="J16" s="276"/>
      <c r="K16" s="276"/>
      <c r="L16" s="276"/>
      <c r="M16" s="276"/>
      <c r="N16" s="276"/>
      <c r="O16" s="33">
        <v>922</v>
      </c>
      <c r="Q16" s="32" t="s">
        <v>455</v>
      </c>
      <c r="R16" s="276">
        <v>15</v>
      </c>
      <c r="S16" s="276">
        <v>15</v>
      </c>
      <c r="T16" s="276">
        <v>14</v>
      </c>
      <c r="U16" s="276">
        <v>14</v>
      </c>
      <c r="V16" s="276">
        <v>14</v>
      </c>
      <c r="W16" s="276">
        <v>8</v>
      </c>
      <c r="X16" s="276"/>
      <c r="Y16" s="276"/>
      <c r="Z16" s="276"/>
      <c r="AA16" s="276"/>
      <c r="AB16" s="276"/>
      <c r="AC16" s="276"/>
      <c r="AD16" s="276">
        <v>16</v>
      </c>
    </row>
    <row r="17" spans="1:30" x14ac:dyDescent="0.3">
      <c r="A17" s="32" t="s">
        <v>457</v>
      </c>
      <c r="B17" s="33">
        <v>3420</v>
      </c>
      <c r="C17" s="276">
        <v>97</v>
      </c>
      <c r="D17" s="276">
        <v>245</v>
      </c>
      <c r="E17" s="276">
        <v>204</v>
      </c>
      <c r="F17" s="276">
        <v>196</v>
      </c>
      <c r="G17" s="276">
        <v>179</v>
      </c>
      <c r="H17" s="276">
        <v>28</v>
      </c>
      <c r="I17" s="276"/>
      <c r="J17" s="276"/>
      <c r="K17" s="276"/>
      <c r="L17" s="276"/>
      <c r="M17" s="276"/>
      <c r="N17" s="276"/>
      <c r="O17" s="33">
        <v>949</v>
      </c>
      <c r="Q17" s="32" t="s">
        <v>457</v>
      </c>
      <c r="R17" s="276">
        <v>15</v>
      </c>
      <c r="S17" s="276">
        <v>19</v>
      </c>
      <c r="T17" s="276">
        <v>18</v>
      </c>
      <c r="U17" s="276">
        <v>16</v>
      </c>
      <c r="V17" s="276">
        <v>18</v>
      </c>
      <c r="W17" s="276">
        <v>12</v>
      </c>
      <c r="X17" s="276"/>
      <c r="Y17" s="276"/>
      <c r="Z17" s="276"/>
      <c r="AA17" s="276"/>
      <c r="AB17" s="276"/>
      <c r="AC17" s="276"/>
      <c r="AD17" s="276">
        <v>19</v>
      </c>
    </row>
    <row r="18" spans="1:30" x14ac:dyDescent="0.3">
      <c r="A18" s="32" t="s">
        <v>283</v>
      </c>
      <c r="B18" s="33">
        <v>14940</v>
      </c>
      <c r="C18" s="276">
        <v>587</v>
      </c>
      <c r="D18" s="276">
        <v>1432</v>
      </c>
      <c r="E18" s="276">
        <v>1131</v>
      </c>
      <c r="F18" s="276">
        <v>1340</v>
      </c>
      <c r="G18" s="276">
        <v>935</v>
      </c>
      <c r="H18" s="276">
        <v>164</v>
      </c>
      <c r="I18" s="276"/>
      <c r="J18" s="276"/>
      <c r="K18" s="276"/>
      <c r="L18" s="276"/>
      <c r="M18" s="276"/>
      <c r="N18" s="276"/>
      <c r="O18" s="33">
        <v>5589</v>
      </c>
      <c r="Q18" s="32" t="s">
        <v>283</v>
      </c>
      <c r="R18" s="276">
        <v>72</v>
      </c>
      <c r="S18" s="276">
        <v>76</v>
      </c>
      <c r="T18" s="276">
        <v>76</v>
      </c>
      <c r="U18" s="276">
        <v>78</v>
      </c>
      <c r="V18" s="276">
        <v>77</v>
      </c>
      <c r="W18" s="276">
        <v>58</v>
      </c>
      <c r="X18" s="276"/>
      <c r="Y18" s="276"/>
      <c r="Z18" s="276"/>
      <c r="AA18" s="276"/>
      <c r="AB18" s="276"/>
      <c r="AC18" s="276"/>
      <c r="AD18" s="276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07EB-4901-4D7A-B74D-C7D960CCE217}">
  <sheetPr>
    <pageSetUpPr fitToPage="1"/>
  </sheetPr>
  <dimension ref="B2:R22"/>
  <sheetViews>
    <sheetView workbookViewId="0">
      <selection activeCell="K6" sqref="K6"/>
    </sheetView>
  </sheetViews>
  <sheetFormatPr defaultRowHeight="14.4" x14ac:dyDescent="0.3"/>
  <cols>
    <col min="1" max="1" width="2.88671875" customWidth="1"/>
    <col min="2" max="2" width="8.44140625" bestFit="1" customWidth="1"/>
    <col min="3" max="3" width="20.21875" bestFit="1" customWidth="1"/>
    <col min="4" max="4" width="5.21875" bestFit="1" customWidth="1"/>
    <col min="5" max="5" width="6.21875" bestFit="1" customWidth="1"/>
    <col min="6" max="6" width="7.6640625" bestFit="1" customWidth="1"/>
    <col min="7" max="7" width="5.77734375" bestFit="1" customWidth="1"/>
    <col min="8" max="9" width="10.88671875" bestFit="1" customWidth="1"/>
    <col min="10" max="10" width="5.77734375" bestFit="1" customWidth="1"/>
    <col min="11" max="12" width="10.88671875" bestFit="1" customWidth="1"/>
    <col min="13" max="13" width="6.44140625" bestFit="1" customWidth="1"/>
    <col min="14" max="15" width="10.88671875" bestFit="1" customWidth="1"/>
    <col min="16" max="16" width="6.44140625" bestFit="1" customWidth="1"/>
    <col min="17" max="18" width="10.88671875" bestFit="1" customWidth="1"/>
    <col min="19" max="19" width="2.88671875" customWidth="1"/>
  </cols>
  <sheetData>
    <row r="2" spans="2:18" x14ac:dyDescent="0.3">
      <c r="B2" s="217" t="s">
        <v>459</v>
      </c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</row>
    <row r="3" spans="2:18" x14ac:dyDescent="0.3">
      <c r="B3" s="222" t="s">
        <v>344</v>
      </c>
      <c r="C3" s="223"/>
      <c r="D3" s="219" t="s">
        <v>330</v>
      </c>
      <c r="E3" s="220"/>
      <c r="F3" s="221"/>
      <c r="G3" s="219" t="s">
        <v>332</v>
      </c>
      <c r="H3" s="220"/>
      <c r="I3" s="221"/>
      <c r="J3" s="219" t="s">
        <v>336</v>
      </c>
      <c r="K3" s="220"/>
      <c r="L3" s="221"/>
      <c r="M3" s="219" t="s">
        <v>337</v>
      </c>
      <c r="N3" s="220"/>
      <c r="O3" s="221"/>
      <c r="P3" s="219" t="s">
        <v>338</v>
      </c>
      <c r="Q3" s="220"/>
      <c r="R3" s="221"/>
    </row>
    <row r="4" spans="2:18" s="42" customFormat="1" ht="28.8" x14ac:dyDescent="0.3">
      <c r="B4" s="16" t="s">
        <v>272</v>
      </c>
      <c r="C4" s="16" t="s">
        <v>264</v>
      </c>
      <c r="D4" s="16" t="s">
        <v>269</v>
      </c>
      <c r="E4" s="3" t="s">
        <v>275</v>
      </c>
      <c r="F4" s="3" t="s">
        <v>274</v>
      </c>
      <c r="G4" s="3" t="s">
        <v>333</v>
      </c>
      <c r="H4" s="3" t="s">
        <v>334</v>
      </c>
      <c r="I4" s="3" t="s">
        <v>335</v>
      </c>
      <c r="J4" s="3" t="s">
        <v>333</v>
      </c>
      <c r="K4" s="3" t="s">
        <v>334</v>
      </c>
      <c r="L4" s="3" t="s">
        <v>335</v>
      </c>
      <c r="M4" s="3" t="s">
        <v>333</v>
      </c>
      <c r="N4" s="3" t="s">
        <v>334</v>
      </c>
      <c r="O4" s="3" t="s">
        <v>335</v>
      </c>
      <c r="P4" s="3" t="s">
        <v>333</v>
      </c>
      <c r="Q4" s="3" t="s">
        <v>334</v>
      </c>
      <c r="R4" s="3" t="s">
        <v>335</v>
      </c>
    </row>
    <row r="5" spans="2:18" x14ac:dyDescent="0.3">
      <c r="B5" s="224" t="s">
        <v>278</v>
      </c>
      <c r="C5" s="19" t="s">
        <v>97</v>
      </c>
      <c r="D5" s="70">
        <f>VLOOKUP(C5,Code!$A:$E,4,0)</f>
        <v>7</v>
      </c>
      <c r="E5" s="21">
        <f>VLOOKUP(C5,Code!$A:$E,2,0)</f>
        <v>3</v>
      </c>
      <c r="F5" s="71">
        <f>VLOOKUP(C5,Code!$A:$E,3,0)</f>
        <v>4</v>
      </c>
      <c r="G5" s="70">
        <f>VLOOKUP(C5,'APY Pivot'!$A:$O,15,0)</f>
        <v>20</v>
      </c>
      <c r="H5" s="21">
        <f>VLOOKUP(C5,'APY Pivot'!$Q:$AD,14,0)</f>
        <v>4</v>
      </c>
      <c r="I5" s="71">
        <f>E5-H5</f>
        <v>-1</v>
      </c>
      <c r="J5" s="70">
        <f>VLOOKUP(C5,'JJBY Pivot'!$A:$O,15,0)</f>
        <v>55</v>
      </c>
      <c r="K5" s="21">
        <f>VLOOKUP(C5,'JJBY Pivot'!$Q:$AD,14,0)</f>
        <v>4</v>
      </c>
      <c r="L5" s="71">
        <f>E5-K5</f>
        <v>-1</v>
      </c>
      <c r="M5" s="70">
        <f>VLOOKUP(C5,'SBY Pivot'!$A:$O,15,0)</f>
        <v>248</v>
      </c>
      <c r="N5" s="21">
        <f>VLOOKUP(C5,'SBY Pivot'!$Q:$AD,14,0)</f>
        <v>5</v>
      </c>
      <c r="O5" s="71">
        <f>E5-N5</f>
        <v>-2</v>
      </c>
      <c r="P5" s="70">
        <f>VLOOKUP(C5,'AC Pivot'!$A:$O,15,0)</f>
        <v>498</v>
      </c>
      <c r="Q5" s="21">
        <f>VLOOKUP(C5,'AC Pivot'!$Q:$AD,14,0)</f>
        <v>5</v>
      </c>
      <c r="R5" s="71">
        <f>E5-Q5</f>
        <v>-2</v>
      </c>
    </row>
    <row r="6" spans="2:18" x14ac:dyDescent="0.3">
      <c r="B6" s="225"/>
      <c r="C6" s="19" t="s">
        <v>102</v>
      </c>
      <c r="D6" s="70">
        <f>VLOOKUP(C6,Code!$A:$E,4,0)</f>
        <v>3</v>
      </c>
      <c r="E6" s="21">
        <f>VLOOKUP(C6,Code!$A:$E,2,0)</f>
        <v>3</v>
      </c>
      <c r="F6" s="71">
        <f>VLOOKUP(C6,Code!$A:$E,3,0)</f>
        <v>0</v>
      </c>
      <c r="G6" s="70">
        <f>VLOOKUP(C6,'APY Pivot'!$A:$O,15,0)</f>
        <v>54</v>
      </c>
      <c r="H6" s="21">
        <f>VLOOKUP(C6,'APY Pivot'!$Q:$AD,14,0)</f>
        <v>3</v>
      </c>
      <c r="I6" s="71">
        <f t="shared" ref="I6:I7" si="0">E6-H6</f>
        <v>0</v>
      </c>
      <c r="J6" s="70">
        <f>VLOOKUP(C6,'JJBY Pivot'!$A:$O,15,0)</f>
        <v>106</v>
      </c>
      <c r="K6" s="21">
        <f>VLOOKUP(C6,'JJBY Pivot'!$Q:$AD,14,0)</f>
        <v>3</v>
      </c>
      <c r="L6" s="71">
        <f t="shared" ref="L6:L7" si="1">E6-K6</f>
        <v>0</v>
      </c>
      <c r="M6" s="70">
        <f>VLOOKUP(C6,'SBY Pivot'!$A:$O,15,0)</f>
        <v>183</v>
      </c>
      <c r="N6" s="21">
        <f>VLOOKUP(C6,'SBY Pivot'!$Q:$AD,14,0)</f>
        <v>3</v>
      </c>
      <c r="O6" s="71">
        <f t="shared" ref="O6:O18" si="2">E6-N6</f>
        <v>0</v>
      </c>
      <c r="P6" s="70">
        <f>VLOOKUP(C6,'AC Pivot'!$A:$O,15,0)</f>
        <v>183</v>
      </c>
      <c r="Q6" s="21">
        <f>VLOOKUP(C6,'AC Pivot'!$Q:$AD,14,0)</f>
        <v>3</v>
      </c>
      <c r="R6" s="71">
        <f t="shared" ref="R6:R7" si="3">E6-Q6</f>
        <v>0</v>
      </c>
    </row>
    <row r="7" spans="2:18" x14ac:dyDescent="0.3">
      <c r="B7" s="226"/>
      <c r="C7" s="19" t="s">
        <v>96</v>
      </c>
      <c r="D7" s="70">
        <f>VLOOKUP(C7,Code!$A:$E,4,0)</f>
        <v>16</v>
      </c>
      <c r="E7" s="21">
        <f>VLOOKUP(C7,Code!$A:$E,2,0)</f>
        <v>10</v>
      </c>
      <c r="F7" s="71">
        <f>VLOOKUP(C7,Code!$A:$E,3,0)</f>
        <v>6</v>
      </c>
      <c r="G7" s="70">
        <f>VLOOKUP(C7,'APY Pivot'!$A:$O,15,0)</f>
        <v>42</v>
      </c>
      <c r="H7" s="21">
        <f>VLOOKUP(C7,'APY Pivot'!$Q:$AD,14,0)</f>
        <v>6</v>
      </c>
      <c r="I7" s="71">
        <f t="shared" si="0"/>
        <v>4</v>
      </c>
      <c r="J7" s="70">
        <f>VLOOKUP(C7,'JJBY Pivot'!$A:$O,15,0)</f>
        <v>247</v>
      </c>
      <c r="K7" s="21">
        <f>VLOOKUP(C7,'JJBY Pivot'!$Q:$AD,14,0)</f>
        <v>7</v>
      </c>
      <c r="L7" s="71">
        <f t="shared" si="1"/>
        <v>3</v>
      </c>
      <c r="M7" s="70">
        <f>VLOOKUP(C7,'SBY Pivot'!$A:$O,15,0)</f>
        <v>823</v>
      </c>
      <c r="N7" s="21">
        <f>VLOOKUP(C7,'SBY Pivot'!$Q:$AD,14,0)</f>
        <v>14</v>
      </c>
      <c r="O7" s="71">
        <f t="shared" si="2"/>
        <v>-4</v>
      </c>
      <c r="P7" s="70">
        <f>VLOOKUP(C7,'AC Pivot'!$A:$O,15,0)</f>
        <v>1113</v>
      </c>
      <c r="Q7" s="21">
        <f>VLOOKUP(C7,'AC Pivot'!$Q:$AD,14,0)</f>
        <v>15</v>
      </c>
      <c r="R7" s="71">
        <f t="shared" si="3"/>
        <v>-5</v>
      </c>
    </row>
    <row r="8" spans="2:18" x14ac:dyDescent="0.3">
      <c r="B8" s="213" t="s">
        <v>384</v>
      </c>
      <c r="C8" s="214"/>
      <c r="D8" s="22">
        <f>SUM(D5:D7)</f>
        <v>26</v>
      </c>
      <c r="E8" s="22">
        <f t="shared" ref="E8:R8" si="4">SUM(E5:E7)</f>
        <v>16</v>
      </c>
      <c r="F8" s="22">
        <f t="shared" si="4"/>
        <v>10</v>
      </c>
      <c r="G8" s="22">
        <f t="shared" si="4"/>
        <v>116</v>
      </c>
      <c r="H8" s="22">
        <f t="shared" si="4"/>
        <v>13</v>
      </c>
      <c r="I8" s="22">
        <f t="shared" si="4"/>
        <v>3</v>
      </c>
      <c r="J8" s="22">
        <f t="shared" si="4"/>
        <v>408</v>
      </c>
      <c r="K8" s="22">
        <f t="shared" si="4"/>
        <v>14</v>
      </c>
      <c r="L8" s="22">
        <f t="shared" si="4"/>
        <v>2</v>
      </c>
      <c r="M8" s="22">
        <f t="shared" si="4"/>
        <v>1254</v>
      </c>
      <c r="N8" s="22">
        <f t="shared" si="4"/>
        <v>22</v>
      </c>
      <c r="O8" s="22">
        <f t="shared" si="4"/>
        <v>-6</v>
      </c>
      <c r="P8" s="22">
        <f t="shared" si="4"/>
        <v>1794</v>
      </c>
      <c r="Q8" s="22">
        <f t="shared" si="4"/>
        <v>23</v>
      </c>
      <c r="R8" s="22">
        <f t="shared" si="4"/>
        <v>-7</v>
      </c>
    </row>
    <row r="9" spans="2:18" x14ac:dyDescent="0.3">
      <c r="B9" s="224" t="s">
        <v>276</v>
      </c>
      <c r="C9" s="19" t="s">
        <v>95</v>
      </c>
      <c r="D9" s="70">
        <f>VLOOKUP(C9,Code!$A:$E,4,0)</f>
        <v>8</v>
      </c>
      <c r="E9" s="21">
        <f>VLOOKUP(C9,Code!$A:$E,2,0)</f>
        <v>6</v>
      </c>
      <c r="F9" s="71">
        <f>VLOOKUP(C9,Code!$A:$E,3,0)</f>
        <v>2</v>
      </c>
      <c r="G9" s="70">
        <f>VLOOKUP(C9,'APY Pivot'!$A:$O,15,0)</f>
        <v>11</v>
      </c>
      <c r="H9" s="21">
        <f>VLOOKUP(C9,'APY Pivot'!$Q:$AD,14,0)</f>
        <v>2</v>
      </c>
      <c r="I9" s="71">
        <f t="shared" ref="I9:I18" si="5">E9-H9</f>
        <v>4</v>
      </c>
      <c r="J9" s="70">
        <f>VLOOKUP(C9,'JJBY Pivot'!$A:$O,15,0)</f>
        <v>8</v>
      </c>
      <c r="K9" s="21">
        <f>VLOOKUP(C9,'JJBY Pivot'!$Q:$AD,14,0)</f>
        <v>3</v>
      </c>
      <c r="L9" s="71">
        <f t="shared" ref="L9:L10" si="6">E9-K9</f>
        <v>3</v>
      </c>
      <c r="M9" s="70">
        <f>VLOOKUP(C9,'SBY Pivot'!$A:$O,15,0)</f>
        <v>69</v>
      </c>
      <c r="N9" s="21">
        <f>VLOOKUP(C9,'SBY Pivot'!$Q:$AD,14,0)</f>
        <v>5</v>
      </c>
      <c r="O9" s="71">
        <f t="shared" si="2"/>
        <v>1</v>
      </c>
      <c r="P9" s="70">
        <f>VLOOKUP(C9,'AC Pivot'!$A:$O,15,0)</f>
        <v>152</v>
      </c>
      <c r="Q9" s="21">
        <f>VLOOKUP(C9,'AC Pivot'!$Q:$AD,14,0)</f>
        <v>5</v>
      </c>
      <c r="R9" s="71">
        <f t="shared" ref="R9:R10" si="7">E9-Q9</f>
        <v>1</v>
      </c>
    </row>
    <row r="10" spans="2:18" x14ac:dyDescent="0.3">
      <c r="B10" s="226"/>
      <c r="C10" s="19" t="s">
        <v>455</v>
      </c>
      <c r="D10" s="70">
        <f>VLOOKUP(C10,Code!$A:$E,4,0)</f>
        <v>20</v>
      </c>
      <c r="E10" s="21">
        <f>VLOOKUP(C10,Code!$A:$E,2,0)</f>
        <v>16</v>
      </c>
      <c r="F10" s="71">
        <f>VLOOKUP(C10,Code!$A:$E,3,0)</f>
        <v>4</v>
      </c>
      <c r="G10" s="70">
        <f>VLOOKUP(C10,'APY Pivot'!$A:$O,15,0)</f>
        <v>121</v>
      </c>
      <c r="H10" s="21">
        <f>VLOOKUP(C10,'APY Pivot'!$Q:$AD,14,0)</f>
        <v>12</v>
      </c>
      <c r="I10" s="71">
        <f t="shared" si="5"/>
        <v>4</v>
      </c>
      <c r="J10" s="70">
        <f>VLOOKUP(C10,'JJBY Pivot'!$A:$O,15,0)</f>
        <v>252</v>
      </c>
      <c r="K10" s="21">
        <f>VLOOKUP(C10,'JJBY Pivot'!$Q:$AD,14,0)</f>
        <v>11</v>
      </c>
      <c r="L10" s="71">
        <f t="shared" si="6"/>
        <v>5</v>
      </c>
      <c r="M10" s="70">
        <f>VLOOKUP(C10,'SBY Pivot'!$A:$O,15,0)</f>
        <v>821</v>
      </c>
      <c r="N10" s="21">
        <f>VLOOKUP(C10,'SBY Pivot'!$Q:$AD,14,0)</f>
        <v>16</v>
      </c>
      <c r="O10" s="71">
        <f t="shared" si="2"/>
        <v>0</v>
      </c>
      <c r="P10" s="70">
        <f>VLOOKUP(C10,'AC Pivot'!$A:$O,15,0)</f>
        <v>922</v>
      </c>
      <c r="Q10" s="21">
        <f>VLOOKUP(C10,'AC Pivot'!$Q:$AD,14,0)</f>
        <v>16</v>
      </c>
      <c r="R10" s="71">
        <f t="shared" si="7"/>
        <v>0</v>
      </c>
    </row>
    <row r="11" spans="2:18" x14ac:dyDescent="0.3">
      <c r="B11" s="213" t="s">
        <v>385</v>
      </c>
      <c r="C11" s="214"/>
      <c r="D11" s="22">
        <f>SUM(D9:D10)</f>
        <v>28</v>
      </c>
      <c r="E11" s="22">
        <f t="shared" ref="E11:R11" si="8">SUM(E9:E10)</f>
        <v>22</v>
      </c>
      <c r="F11" s="22">
        <f t="shared" si="8"/>
        <v>6</v>
      </c>
      <c r="G11" s="22">
        <f t="shared" si="8"/>
        <v>132</v>
      </c>
      <c r="H11" s="22">
        <f t="shared" si="8"/>
        <v>14</v>
      </c>
      <c r="I11" s="22">
        <f t="shared" si="8"/>
        <v>8</v>
      </c>
      <c r="J11" s="22">
        <f t="shared" si="8"/>
        <v>260</v>
      </c>
      <c r="K11" s="22">
        <f t="shared" si="8"/>
        <v>14</v>
      </c>
      <c r="L11" s="22">
        <f t="shared" si="8"/>
        <v>8</v>
      </c>
      <c r="M11" s="22">
        <f t="shared" si="8"/>
        <v>890</v>
      </c>
      <c r="N11" s="22">
        <f t="shared" si="8"/>
        <v>21</v>
      </c>
      <c r="O11" s="22">
        <f t="shared" si="8"/>
        <v>1</v>
      </c>
      <c r="P11" s="22">
        <f t="shared" si="8"/>
        <v>1074</v>
      </c>
      <c r="Q11" s="22">
        <f t="shared" si="8"/>
        <v>21</v>
      </c>
      <c r="R11" s="22">
        <f t="shared" si="8"/>
        <v>1</v>
      </c>
    </row>
    <row r="12" spans="2:18" x14ac:dyDescent="0.3">
      <c r="B12" s="224" t="s">
        <v>277</v>
      </c>
      <c r="C12" s="19" t="s">
        <v>99</v>
      </c>
      <c r="D12" s="70">
        <f>VLOOKUP(C12,Code!$A:$E,4,0)</f>
        <v>3</v>
      </c>
      <c r="E12" s="21">
        <f>VLOOKUP(C12,Code!$A:$E,2,0)</f>
        <v>3</v>
      </c>
      <c r="F12" s="71">
        <f>VLOOKUP(C12,Code!$A:$E,3,0)</f>
        <v>0</v>
      </c>
      <c r="G12" s="70">
        <f>VLOOKUP(C12,'APY Pivot'!$A:$O,15,0)</f>
        <v>7</v>
      </c>
      <c r="H12" s="21">
        <f>VLOOKUP(C12,'APY Pivot'!$Q:$AD,14,0)</f>
        <v>1</v>
      </c>
      <c r="I12" s="71">
        <f t="shared" si="5"/>
        <v>2</v>
      </c>
      <c r="J12" s="70">
        <f>VLOOKUP(C12,'JJBY Pivot'!$A:$O,15,0)</f>
        <v>11</v>
      </c>
      <c r="K12" s="21">
        <f>VLOOKUP(C12,'JJBY Pivot'!$Q:$AD,14,0)</f>
        <v>2</v>
      </c>
      <c r="L12" s="71">
        <f t="shared" ref="L12:L18" si="9">E12-K12</f>
        <v>1</v>
      </c>
      <c r="M12" s="70">
        <f>VLOOKUP(C12,'SBY Pivot'!$A:$O,15,0)</f>
        <v>72</v>
      </c>
      <c r="N12" s="21">
        <f>VLOOKUP(C12,'SBY Pivot'!$Q:$AD,14,0)</f>
        <v>3</v>
      </c>
      <c r="O12" s="71">
        <f>E12-N12</f>
        <v>0</v>
      </c>
      <c r="P12" s="70">
        <f>VLOOKUP(C12,'AC Pivot'!$A:$O,15,0)</f>
        <v>95</v>
      </c>
      <c r="Q12" s="21">
        <f>VLOOKUP(C12,'AC Pivot'!$Q:$AD,14,0)</f>
        <v>3</v>
      </c>
      <c r="R12" s="71">
        <f t="shared" ref="R12:R18" si="10">E12-Q12</f>
        <v>0</v>
      </c>
    </row>
    <row r="13" spans="2:18" x14ac:dyDescent="0.3">
      <c r="B13" s="225"/>
      <c r="C13" s="19" t="s">
        <v>93</v>
      </c>
      <c r="D13" s="70">
        <f>VLOOKUP(C13,Code!$A:$E,4,0)</f>
        <v>8</v>
      </c>
      <c r="E13" s="21">
        <f>VLOOKUP(C13,Code!$A:$E,2,0)</f>
        <v>4</v>
      </c>
      <c r="F13" s="71">
        <f>VLOOKUP(C13,Code!$A:$E,3,0)</f>
        <v>4</v>
      </c>
      <c r="G13" s="70">
        <f>VLOOKUP(C13,'APY Pivot'!$A:$O,15,0)</f>
        <v>21</v>
      </c>
      <c r="H13" s="21">
        <f>VLOOKUP(C13,'APY Pivot'!$Q:$AD,14,0)</f>
        <v>4</v>
      </c>
      <c r="I13" s="71">
        <f t="shared" si="5"/>
        <v>0</v>
      </c>
      <c r="J13" s="70">
        <f>VLOOKUP(C13,'JJBY Pivot'!$A:$O,15,0)</f>
        <v>50</v>
      </c>
      <c r="K13" s="21">
        <f>VLOOKUP(C13,'JJBY Pivot'!$Q:$AD,14,0)</f>
        <v>4</v>
      </c>
      <c r="L13" s="71">
        <f t="shared" si="9"/>
        <v>0</v>
      </c>
      <c r="M13" s="70">
        <f>VLOOKUP(C13,'SBY Pivot'!$A:$O,15,0)</f>
        <v>318</v>
      </c>
      <c r="N13" s="21">
        <f>VLOOKUP(C13,'SBY Pivot'!$Q:$AD,14,0)</f>
        <v>6</v>
      </c>
      <c r="O13" s="71">
        <f>E13-N13</f>
        <v>-2</v>
      </c>
      <c r="P13" s="70">
        <f>VLOOKUP(C13,'AC Pivot'!$A:$O,15,0)</f>
        <v>394</v>
      </c>
      <c r="Q13" s="21">
        <f>VLOOKUP(C13,'AC Pivot'!$Q:$AD,14,0)</f>
        <v>7</v>
      </c>
      <c r="R13" s="71">
        <f t="shared" si="10"/>
        <v>-3</v>
      </c>
    </row>
    <row r="14" spans="2:18" x14ac:dyDescent="0.3">
      <c r="B14" s="225"/>
      <c r="C14" s="19" t="s">
        <v>101</v>
      </c>
      <c r="D14" s="70">
        <f>VLOOKUP(C14,Code!$A:$E,4,0)</f>
        <v>2</v>
      </c>
      <c r="E14" s="21">
        <f>VLOOKUP(C14,Code!$A:$E,2,0)</f>
        <v>2</v>
      </c>
      <c r="F14" s="71">
        <f>VLOOKUP(C14,Code!$A:$E,3,0)</f>
        <v>0</v>
      </c>
      <c r="G14" s="70">
        <f>VLOOKUP(C14,'APY Pivot'!$A:$O,15,0)</f>
        <v>1</v>
      </c>
      <c r="H14" s="21">
        <f>VLOOKUP(C14,'APY Pivot'!$Q:$AD,14,0)</f>
        <v>1</v>
      </c>
      <c r="I14" s="71">
        <f t="shared" si="5"/>
        <v>1</v>
      </c>
      <c r="J14" s="70">
        <f>VLOOKUP(C14,'JJBY Pivot'!$A:$O,15,0)</f>
        <v>12</v>
      </c>
      <c r="K14" s="21">
        <f>VLOOKUP(C14,'JJBY Pivot'!$Q:$AD,14,0)</f>
        <v>1</v>
      </c>
      <c r="L14" s="71">
        <f t="shared" si="9"/>
        <v>1</v>
      </c>
      <c r="M14" s="70">
        <f>VLOOKUP(C14,'SBY Pivot'!$A:$O,15,0)</f>
        <v>155</v>
      </c>
      <c r="N14" s="21">
        <f>VLOOKUP(C14,'SBY Pivot'!$Q:$AD,14,0)</f>
        <v>2</v>
      </c>
      <c r="O14" s="71">
        <f t="shared" si="2"/>
        <v>0</v>
      </c>
      <c r="P14" s="70">
        <f>VLOOKUP(C14,'AC Pivot'!$A:$O,15,0)</f>
        <v>188</v>
      </c>
      <c r="Q14" s="21">
        <f>VLOOKUP(C14,'AC Pivot'!$Q:$AD,14,0)</f>
        <v>2</v>
      </c>
      <c r="R14" s="71">
        <f t="shared" si="10"/>
        <v>0</v>
      </c>
    </row>
    <row r="15" spans="2:18" x14ac:dyDescent="0.3">
      <c r="B15" s="225"/>
      <c r="C15" s="19" t="s">
        <v>100</v>
      </c>
      <c r="D15" s="70">
        <f>VLOOKUP(C15,Code!$A:$E,4,0)</f>
        <v>2</v>
      </c>
      <c r="E15" s="21">
        <f>VLOOKUP(C15,Code!$A:$E,2,0)</f>
        <v>2</v>
      </c>
      <c r="F15" s="71">
        <f>VLOOKUP(C15,Code!$A:$E,3,0)</f>
        <v>0</v>
      </c>
      <c r="G15" s="70">
        <f>VLOOKUP(C15,'APY Pivot'!$A:$O,15,0)</f>
        <v>32</v>
      </c>
      <c r="H15" s="21">
        <f>VLOOKUP(C15,'APY Pivot'!$Q:$AD,14,0)</f>
        <v>2</v>
      </c>
      <c r="I15" s="71">
        <f t="shared" si="5"/>
        <v>0</v>
      </c>
      <c r="J15" s="70">
        <f>VLOOKUP(C15,'JJBY Pivot'!$A:$O,15,0)</f>
        <v>17</v>
      </c>
      <c r="K15" s="21">
        <f>VLOOKUP(C15,'JJBY Pivot'!$Q:$AD,14,0)</f>
        <v>2</v>
      </c>
      <c r="L15" s="71">
        <f t="shared" si="9"/>
        <v>0</v>
      </c>
      <c r="M15" s="70">
        <f>VLOOKUP(C15,'SBY Pivot'!$A:$O,15,0)</f>
        <v>91</v>
      </c>
      <c r="N15" s="21">
        <f>VLOOKUP(C15,'SBY Pivot'!$Q:$AD,14,0)</f>
        <v>2</v>
      </c>
      <c r="O15" s="71">
        <f t="shared" si="2"/>
        <v>0</v>
      </c>
      <c r="P15" s="70">
        <f>VLOOKUP(C15,'AC Pivot'!$A:$O,15,0)</f>
        <v>149</v>
      </c>
      <c r="Q15" s="21">
        <f>VLOOKUP(C15,'AC Pivot'!$Q:$AD,14,0)</f>
        <v>2</v>
      </c>
      <c r="R15" s="71">
        <f t="shared" si="10"/>
        <v>0</v>
      </c>
    </row>
    <row r="16" spans="2:18" x14ac:dyDescent="0.3">
      <c r="B16" s="225"/>
      <c r="C16" s="19" t="s">
        <v>103</v>
      </c>
      <c r="D16" s="70">
        <f>VLOOKUP(C16,Code!$A:$E,4,0)</f>
        <v>1</v>
      </c>
      <c r="E16" s="21">
        <f>VLOOKUP(C16,Code!$A:$E,2,0)</f>
        <v>1</v>
      </c>
      <c r="F16" s="71">
        <f>VLOOKUP(C16,Code!$A:$E,3,0)</f>
        <v>0</v>
      </c>
      <c r="G16" s="70">
        <f>VLOOKUP(C16,'APY Pivot'!$A:$O,15,0)</f>
        <v>9</v>
      </c>
      <c r="H16" s="21">
        <f>VLOOKUP(C16,'APY Pivot'!$Q:$AD,14,0)</f>
        <v>1</v>
      </c>
      <c r="I16" s="71">
        <f t="shared" si="5"/>
        <v>0</v>
      </c>
      <c r="J16" s="70">
        <f>VLOOKUP(C16,'JJBY Pivot'!$A:$O,15,0)</f>
        <v>11</v>
      </c>
      <c r="K16" s="21">
        <f>VLOOKUP(C16,'JJBY Pivot'!$Q:$AD,14,0)</f>
        <v>1</v>
      </c>
      <c r="L16" s="71">
        <f t="shared" si="9"/>
        <v>0</v>
      </c>
      <c r="M16" s="70">
        <f>VLOOKUP(C16,'SBY Pivot'!$A:$O,15,0)</f>
        <v>54</v>
      </c>
      <c r="N16" s="21">
        <f>VLOOKUP(C16,'SBY Pivot'!$Q:$AD,14,0)</f>
        <v>1</v>
      </c>
      <c r="O16" s="71">
        <f t="shared" si="2"/>
        <v>0</v>
      </c>
      <c r="P16" s="70">
        <f>VLOOKUP(C16,'AC Pivot'!$A:$O,15,0)</f>
        <v>76</v>
      </c>
      <c r="Q16" s="21">
        <f>VLOOKUP(C16,'AC Pivot'!$Q:$AD,14,0)</f>
        <v>1</v>
      </c>
      <c r="R16" s="71">
        <f t="shared" si="10"/>
        <v>0</v>
      </c>
    </row>
    <row r="17" spans="2:18" x14ac:dyDescent="0.3">
      <c r="B17" s="225"/>
      <c r="C17" s="19" t="s">
        <v>98</v>
      </c>
      <c r="D17" s="70">
        <f>VLOOKUP(C17,Code!$A:$E,4,0)</f>
        <v>3</v>
      </c>
      <c r="E17" s="21">
        <f>VLOOKUP(C17,Code!$A:$E,2,0)</f>
        <v>3</v>
      </c>
      <c r="F17" s="71">
        <f>VLOOKUP(C17,Code!$A:$E,3,0)</f>
        <v>0</v>
      </c>
      <c r="G17" s="70">
        <f>VLOOKUP(C17,'APY Pivot'!$A:$O,15,0)</f>
        <v>25</v>
      </c>
      <c r="H17" s="21">
        <f>VLOOKUP(C17,'APY Pivot'!$Q:$AD,14,0)</f>
        <v>3</v>
      </c>
      <c r="I17" s="71">
        <f t="shared" si="5"/>
        <v>0</v>
      </c>
      <c r="J17" s="70">
        <f>VLOOKUP(C17,'JJBY Pivot'!$A:$O,15,0)</f>
        <v>22</v>
      </c>
      <c r="K17" s="21">
        <f>VLOOKUP(C17,'JJBY Pivot'!$Q:$AD,14,0)</f>
        <v>3</v>
      </c>
      <c r="L17" s="71">
        <f t="shared" si="9"/>
        <v>0</v>
      </c>
      <c r="M17" s="70">
        <f>VLOOKUP(C17,'SBY Pivot'!$A:$O,15,0)</f>
        <v>221</v>
      </c>
      <c r="N17" s="21">
        <f>VLOOKUP(C17,'SBY Pivot'!$Q:$AD,14,0)</f>
        <v>3</v>
      </c>
      <c r="O17" s="71">
        <f t="shared" si="2"/>
        <v>0</v>
      </c>
      <c r="P17" s="70">
        <f>VLOOKUP(C17,'AC Pivot'!$A:$O,15,0)</f>
        <v>472</v>
      </c>
      <c r="Q17" s="21">
        <f>VLOOKUP(C17,'AC Pivot'!$Q:$AD,14,0)</f>
        <v>3</v>
      </c>
      <c r="R17" s="71">
        <f t="shared" si="10"/>
        <v>0</v>
      </c>
    </row>
    <row r="18" spans="2:18" x14ac:dyDescent="0.3">
      <c r="B18" s="226"/>
      <c r="C18" s="19" t="s">
        <v>345</v>
      </c>
      <c r="D18" s="70">
        <f>VLOOKUP(C18,Code!$A:$E,4,0)</f>
        <v>10</v>
      </c>
      <c r="E18" s="21">
        <f>VLOOKUP(C18,Code!$A:$E,2,0)</f>
        <v>6</v>
      </c>
      <c r="F18" s="71">
        <f>VLOOKUP(C18,Code!$A:$E,3,0)</f>
        <v>4</v>
      </c>
      <c r="G18" s="70">
        <f>VLOOKUP(C18,'APY Pivot'!$A:$O,15,0)</f>
        <v>22</v>
      </c>
      <c r="H18" s="21">
        <f>VLOOKUP(C18,'APY Pivot'!$Q:$AD,14,0)</f>
        <v>5</v>
      </c>
      <c r="I18" s="71">
        <f t="shared" si="5"/>
        <v>1</v>
      </c>
      <c r="J18" s="70">
        <f>VLOOKUP(C18,'JJBY Pivot'!$A:$O,15,0)</f>
        <v>36</v>
      </c>
      <c r="K18" s="21">
        <f>VLOOKUP(C18,'JJBY Pivot'!$Q:$AD,14,0)</f>
        <v>5</v>
      </c>
      <c r="L18" s="71">
        <f t="shared" si="9"/>
        <v>1</v>
      </c>
      <c r="M18" s="70">
        <f>VLOOKUP(C18,'SBY Pivot'!$A:$O,15,0)</f>
        <v>184</v>
      </c>
      <c r="N18" s="21">
        <f>VLOOKUP(C18,'SBY Pivot'!$Q:$AD,14,0)</f>
        <v>6</v>
      </c>
      <c r="O18" s="71">
        <f t="shared" si="2"/>
        <v>0</v>
      </c>
      <c r="P18" s="70">
        <f>VLOOKUP(C18,'AC Pivot'!$A:$O,15,0)</f>
        <v>397</v>
      </c>
      <c r="Q18" s="21">
        <f>VLOOKUP(C18,'AC Pivot'!$Q:$AD,14,0)</f>
        <v>7</v>
      </c>
      <c r="R18" s="71">
        <f t="shared" si="10"/>
        <v>-1</v>
      </c>
    </row>
    <row r="19" spans="2:18" x14ac:dyDescent="0.3">
      <c r="B19" s="213" t="s">
        <v>386</v>
      </c>
      <c r="C19" s="214"/>
      <c r="D19" s="22">
        <f>SUM(D12:D18)</f>
        <v>29</v>
      </c>
      <c r="E19" s="22">
        <f t="shared" ref="E19:R19" si="11">SUM(E12:E18)</f>
        <v>21</v>
      </c>
      <c r="F19" s="22">
        <f t="shared" si="11"/>
        <v>8</v>
      </c>
      <c r="G19" s="22">
        <f t="shared" si="11"/>
        <v>117</v>
      </c>
      <c r="H19" s="22">
        <f t="shared" si="11"/>
        <v>17</v>
      </c>
      <c r="I19" s="22">
        <f t="shared" si="11"/>
        <v>4</v>
      </c>
      <c r="J19" s="22">
        <f t="shared" si="11"/>
        <v>159</v>
      </c>
      <c r="K19" s="22">
        <f t="shared" si="11"/>
        <v>18</v>
      </c>
      <c r="L19" s="22">
        <f t="shared" si="11"/>
        <v>3</v>
      </c>
      <c r="M19" s="22">
        <f t="shared" si="11"/>
        <v>1095</v>
      </c>
      <c r="N19" s="22">
        <f t="shared" si="11"/>
        <v>23</v>
      </c>
      <c r="O19" s="22">
        <f t="shared" si="11"/>
        <v>-2</v>
      </c>
      <c r="P19" s="22">
        <f t="shared" si="11"/>
        <v>1771</v>
      </c>
      <c r="Q19" s="22">
        <f t="shared" si="11"/>
        <v>25</v>
      </c>
      <c r="R19" s="22">
        <f t="shared" si="11"/>
        <v>-4</v>
      </c>
    </row>
    <row r="20" spans="2:18" x14ac:dyDescent="0.3">
      <c r="B20" s="215" t="s">
        <v>283</v>
      </c>
      <c r="C20" s="216"/>
      <c r="D20" s="29">
        <f>SUM(D19,D11,D8)</f>
        <v>83</v>
      </c>
      <c r="E20" s="29">
        <f t="shared" ref="E20:R20" si="12">SUM(E19,E11,E8)</f>
        <v>59</v>
      </c>
      <c r="F20" s="29">
        <f t="shared" si="12"/>
        <v>24</v>
      </c>
      <c r="G20" s="29">
        <f t="shared" si="12"/>
        <v>365</v>
      </c>
      <c r="H20" s="29">
        <f t="shared" si="12"/>
        <v>44</v>
      </c>
      <c r="I20" s="29">
        <f t="shared" si="12"/>
        <v>15</v>
      </c>
      <c r="J20" s="29">
        <f t="shared" si="12"/>
        <v>827</v>
      </c>
      <c r="K20" s="29">
        <f t="shared" si="12"/>
        <v>46</v>
      </c>
      <c r="L20" s="29">
        <f t="shared" si="12"/>
        <v>13</v>
      </c>
      <c r="M20" s="29">
        <f t="shared" si="12"/>
        <v>3239</v>
      </c>
      <c r="N20" s="29">
        <f t="shared" si="12"/>
        <v>66</v>
      </c>
      <c r="O20" s="29">
        <f t="shared" si="12"/>
        <v>-7</v>
      </c>
      <c r="P20" s="29">
        <f t="shared" si="12"/>
        <v>4639</v>
      </c>
      <c r="Q20" s="29">
        <f t="shared" si="12"/>
        <v>69</v>
      </c>
      <c r="R20" s="29">
        <f t="shared" si="12"/>
        <v>-10</v>
      </c>
    </row>
    <row r="22" spans="2:18" x14ac:dyDescent="0.3">
      <c r="B22" s="6"/>
      <c r="C22" s="2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28"/>
    </row>
  </sheetData>
  <mergeCells count="14">
    <mergeCell ref="B19:C19"/>
    <mergeCell ref="B20:C20"/>
    <mergeCell ref="B2:R2"/>
    <mergeCell ref="D3:F3"/>
    <mergeCell ref="G3:I3"/>
    <mergeCell ref="J3:L3"/>
    <mergeCell ref="M3:O3"/>
    <mergeCell ref="P3:R3"/>
    <mergeCell ref="B3:C3"/>
    <mergeCell ref="B5:B7"/>
    <mergeCell ref="B8:C8"/>
    <mergeCell ref="B9:B10"/>
    <mergeCell ref="B11:C11"/>
    <mergeCell ref="B12:B18"/>
  </mergeCells>
  <pageMargins left="0.19685039370078741" right="0.19685039370078741" top="0.19685039370078741" bottom="0.19685039370078741" header="0.19685039370078741" footer="0.19685039370078741"/>
  <pageSetup paperSize="9" scale="78" orientation="landscape" horizontalDpi="0" verticalDpi="0" r:id="rId1"/>
  <ignoredErrors>
    <ignoredError sqref="D8:R8 D11:R11 D9:H10 J9:K10 D12:H18 J12:K18 M9:N10 M12:N18 P9:Q10 P12:Q1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44C7-DE6F-4AD9-A00D-4989B7496730}">
  <dimension ref="A3:N8"/>
  <sheetViews>
    <sheetView workbookViewId="0">
      <selection activeCell="K12" sqref="K12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4" bestFit="1" customWidth="1"/>
    <col min="4" max="4" width="13.109375" bestFit="1" customWidth="1"/>
    <col min="5" max="5" width="12.33203125" bestFit="1" customWidth="1"/>
    <col min="6" max="6" width="13.5546875" bestFit="1" customWidth="1"/>
    <col min="7" max="7" width="13.33203125" bestFit="1" customWidth="1"/>
    <col min="8" max="8" width="13.109375" bestFit="1" customWidth="1"/>
    <col min="9" max="9" width="13.6640625" bestFit="1" customWidth="1"/>
    <col min="10" max="10" width="13.33203125" bestFit="1" customWidth="1"/>
    <col min="11" max="11" width="12.88671875" bestFit="1" customWidth="1"/>
    <col min="12" max="12" width="13.21875" bestFit="1" customWidth="1"/>
    <col min="13" max="13" width="13.6640625" bestFit="1" customWidth="1"/>
    <col min="14" max="14" width="14.5546875" bestFit="1" customWidth="1"/>
  </cols>
  <sheetData>
    <row r="3" spans="1:14" x14ac:dyDescent="0.3">
      <c r="A3" s="31" t="s">
        <v>289</v>
      </c>
      <c r="B3" t="s">
        <v>291</v>
      </c>
      <c r="C3" t="s">
        <v>292</v>
      </c>
      <c r="D3" t="s">
        <v>293</v>
      </c>
      <c r="E3" t="s">
        <v>294</v>
      </c>
      <c r="F3" t="s">
        <v>295</v>
      </c>
      <c r="G3" t="s">
        <v>296</v>
      </c>
      <c r="H3" t="s">
        <v>297</v>
      </c>
      <c r="I3" t="s">
        <v>298</v>
      </c>
      <c r="J3" t="s">
        <v>299</v>
      </c>
      <c r="K3" t="s">
        <v>300</v>
      </c>
      <c r="L3" t="s">
        <v>301</v>
      </c>
      <c r="M3" t="s">
        <v>302</v>
      </c>
      <c r="N3" t="s">
        <v>342</v>
      </c>
    </row>
    <row r="4" spans="1:14" x14ac:dyDescent="0.3">
      <c r="A4" s="32" t="s">
        <v>278</v>
      </c>
      <c r="B4" s="276">
        <v>186</v>
      </c>
      <c r="C4" s="276">
        <v>577</v>
      </c>
      <c r="D4" s="276">
        <v>296</v>
      </c>
      <c r="E4" s="276">
        <v>426</v>
      </c>
      <c r="F4" s="276">
        <v>265</v>
      </c>
      <c r="G4" s="276">
        <v>44</v>
      </c>
      <c r="H4" s="276"/>
      <c r="I4" s="276"/>
      <c r="J4" s="276"/>
      <c r="K4" s="276"/>
      <c r="L4" s="276"/>
      <c r="M4" s="276"/>
      <c r="N4" s="276">
        <v>1794</v>
      </c>
    </row>
    <row r="5" spans="1:14" x14ac:dyDescent="0.3">
      <c r="A5" s="32" t="s">
        <v>276</v>
      </c>
      <c r="B5" s="276">
        <v>188</v>
      </c>
      <c r="C5" s="276">
        <v>522</v>
      </c>
      <c r="D5" s="276">
        <v>455</v>
      </c>
      <c r="E5" s="276">
        <v>463</v>
      </c>
      <c r="F5" s="276">
        <v>347</v>
      </c>
      <c r="G5" s="276">
        <v>48</v>
      </c>
      <c r="H5" s="276"/>
      <c r="I5" s="276"/>
      <c r="J5" s="276"/>
      <c r="K5" s="276"/>
      <c r="L5" s="276"/>
      <c r="M5" s="276"/>
      <c r="N5" s="276">
        <v>2023</v>
      </c>
    </row>
    <row r="6" spans="1:14" x14ac:dyDescent="0.3">
      <c r="A6" s="32" t="s">
        <v>277</v>
      </c>
      <c r="B6" s="276">
        <v>213</v>
      </c>
      <c r="C6" s="276">
        <v>333</v>
      </c>
      <c r="D6" s="276">
        <v>380</v>
      </c>
      <c r="E6" s="276">
        <v>451</v>
      </c>
      <c r="F6" s="276">
        <v>323</v>
      </c>
      <c r="G6" s="276">
        <v>71</v>
      </c>
      <c r="H6" s="276"/>
      <c r="I6" s="276"/>
      <c r="J6" s="276"/>
      <c r="K6" s="276"/>
      <c r="L6" s="276"/>
      <c r="M6" s="276"/>
      <c r="N6" s="276">
        <v>1771</v>
      </c>
    </row>
    <row r="7" spans="1:14" x14ac:dyDescent="0.3">
      <c r="A7" s="32" t="s">
        <v>450</v>
      </c>
      <c r="B7" s="276"/>
      <c r="C7" s="276"/>
      <c r="D7" s="276"/>
      <c r="E7" s="276"/>
      <c r="F7" s="276"/>
      <c r="G7" s="276">
        <v>1</v>
      </c>
      <c r="H7" s="276"/>
      <c r="I7" s="276"/>
      <c r="J7" s="276"/>
      <c r="K7" s="276"/>
      <c r="L7" s="276"/>
      <c r="M7" s="276"/>
      <c r="N7" s="276">
        <v>1</v>
      </c>
    </row>
    <row r="8" spans="1:14" x14ac:dyDescent="0.3">
      <c r="A8" s="32" t="s">
        <v>283</v>
      </c>
      <c r="B8" s="276">
        <v>587</v>
      </c>
      <c r="C8" s="276">
        <v>1432</v>
      </c>
      <c r="D8" s="276">
        <v>1131</v>
      </c>
      <c r="E8" s="276">
        <v>1340</v>
      </c>
      <c r="F8" s="276">
        <v>935</v>
      </c>
      <c r="G8" s="276">
        <v>164</v>
      </c>
      <c r="H8" s="276"/>
      <c r="I8" s="276"/>
      <c r="J8" s="276"/>
      <c r="K8" s="276"/>
      <c r="L8" s="276"/>
      <c r="M8" s="276"/>
      <c r="N8" s="276">
        <v>5589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40B1-371F-4691-8ACB-E41CCE0F5401}">
  <sheetPr codeName="Sheet6"/>
  <dimension ref="A1:W104"/>
  <sheetViews>
    <sheetView zoomScaleNormal="100" workbookViewId="0">
      <pane ySplit="1" topLeftCell="A2" activePane="bottomLeft" state="frozen"/>
      <selection pane="bottomLeft" activeCell="K11" sqref="K11"/>
    </sheetView>
  </sheetViews>
  <sheetFormatPr defaultRowHeight="14.4" x14ac:dyDescent="0.3"/>
  <cols>
    <col min="1" max="1" width="21.109375" style="2" bestFit="1" customWidth="1"/>
    <col min="2" max="2" width="7.77734375" style="2" bestFit="1" customWidth="1"/>
    <col min="3" max="3" width="8.88671875" style="2" bestFit="1" customWidth="1"/>
    <col min="4" max="4" width="16.88671875" style="2" bestFit="1" customWidth="1"/>
    <col min="5" max="5" width="25.5546875" style="2" bestFit="1" customWidth="1"/>
    <col min="6" max="6" width="11" style="11" bestFit="1" customWidth="1"/>
    <col min="7" max="7" width="8.33203125" style="6" bestFit="1" customWidth="1"/>
    <col min="8" max="8" width="6.77734375" bestFit="1" customWidth="1"/>
    <col min="9" max="9" width="6.77734375" customWidth="1"/>
    <col min="10" max="11" width="7.44140625" bestFit="1" customWidth="1"/>
    <col min="12" max="12" width="6.5546875" bestFit="1" customWidth="1"/>
    <col min="13" max="13" width="6" bestFit="1" customWidth="1"/>
    <col min="14" max="14" width="7" bestFit="1" customWidth="1"/>
    <col min="15" max="15" width="6.77734375" bestFit="1" customWidth="1"/>
    <col min="16" max="16" width="6.5546875" bestFit="1" customWidth="1"/>
    <col min="17" max="17" width="7.109375" bestFit="1" customWidth="1"/>
    <col min="18" max="18" width="6.77734375" bestFit="1" customWidth="1"/>
    <col min="19" max="19" width="6.44140625" bestFit="1" customWidth="1"/>
    <col min="20" max="20" width="6.77734375" bestFit="1" customWidth="1"/>
    <col min="21" max="21" width="7.109375" bestFit="1" customWidth="1"/>
    <col min="22" max="22" width="11.21875" bestFit="1" customWidth="1"/>
    <col min="23" max="23" width="8" bestFit="1" customWidth="1"/>
  </cols>
  <sheetData>
    <row r="1" spans="1:23" x14ac:dyDescent="0.3">
      <c r="A1" s="13" t="s">
        <v>264</v>
      </c>
      <c r="B1" s="13" t="s">
        <v>271</v>
      </c>
      <c r="C1" s="13" t="s">
        <v>272</v>
      </c>
      <c r="D1" s="13" t="s">
        <v>263</v>
      </c>
      <c r="E1" s="13" t="s">
        <v>265</v>
      </c>
      <c r="F1" s="14" t="s">
        <v>266</v>
      </c>
      <c r="G1" s="1" t="s">
        <v>267</v>
      </c>
      <c r="H1" s="15" t="s">
        <v>268</v>
      </c>
      <c r="I1" s="15" t="s">
        <v>280</v>
      </c>
      <c r="J1" s="15">
        <v>46113</v>
      </c>
      <c r="K1" s="15">
        <v>46143</v>
      </c>
      <c r="L1" s="15">
        <v>46174</v>
      </c>
      <c r="M1" s="15">
        <v>46204</v>
      </c>
      <c r="N1" s="15">
        <v>46235</v>
      </c>
      <c r="O1" s="15">
        <v>46266</v>
      </c>
      <c r="P1" s="15">
        <v>46296</v>
      </c>
      <c r="Q1" s="15">
        <v>46327</v>
      </c>
      <c r="R1" s="15">
        <v>46357</v>
      </c>
      <c r="S1" s="15">
        <v>46388</v>
      </c>
      <c r="T1" s="15">
        <v>46419</v>
      </c>
      <c r="U1" s="15">
        <v>46447</v>
      </c>
      <c r="V1" s="13" t="s">
        <v>316</v>
      </c>
      <c r="W1" s="15" t="s">
        <v>270</v>
      </c>
    </row>
    <row r="2" spans="1:23" x14ac:dyDescent="0.3">
      <c r="A2" s="4" t="str">
        <f>VLOOKUP(G2,Data!$A:$G,2,0)</f>
        <v>Sunil Biswas</v>
      </c>
      <c r="B2" s="4" t="str">
        <f>VLOOKUP(G2,Data!$A:$G,3,0)</f>
        <v>Active</v>
      </c>
      <c r="C2" s="4" t="str">
        <f>VLOOKUP(G2,Data!$A:$G,4,0)</f>
        <v>Durgapur</v>
      </c>
      <c r="D2" s="4" t="str">
        <f>VLOOKUP(G2,Data!$A:$G,5,0)</f>
        <v>Haringhata</v>
      </c>
      <c r="E2" s="4" t="str">
        <f>VLOOKUP(G2,Data!$A:$G,6,0)</f>
        <v>Eyakub Mondal</v>
      </c>
      <c r="F2" s="10" t="str">
        <f>VLOOKUP(G2,Data!$A:$G,7,0)</f>
        <v>2430315345</v>
      </c>
      <c r="G2" s="5">
        <v>28085</v>
      </c>
      <c r="H2" s="7">
        <f>VLOOKUP(G2,'FI txn'!$G:$H,2,0)</f>
        <v>6</v>
      </c>
      <c r="I2" s="7">
        <f t="shared" ref="I2:I33" si="0">H2*30</f>
        <v>180</v>
      </c>
      <c r="J2" s="8">
        <v>18</v>
      </c>
      <c r="K2" s="8">
        <v>170</v>
      </c>
      <c r="L2" s="8">
        <v>28</v>
      </c>
      <c r="M2" s="8">
        <v>66</v>
      </c>
      <c r="N2" s="8">
        <v>22</v>
      </c>
      <c r="O2" s="8">
        <v>2</v>
      </c>
      <c r="P2" s="8"/>
      <c r="Q2" s="8"/>
      <c r="R2" s="8"/>
      <c r="S2" s="8"/>
      <c r="T2" s="8"/>
      <c r="U2" s="8"/>
      <c r="V2" s="8">
        <f t="shared" ref="V2:V33" si="1">SUM(J2:U2)</f>
        <v>306</v>
      </c>
      <c r="W2" s="9">
        <f t="shared" ref="W2:W33" si="2">V2/H2</f>
        <v>51</v>
      </c>
    </row>
    <row r="3" spans="1:23" x14ac:dyDescent="0.3">
      <c r="A3" s="4" t="str">
        <f>VLOOKUP(G3,Data!$A:$G,2,0)</f>
        <v>Chandi Charan Mahato</v>
      </c>
      <c r="B3" s="4" t="str">
        <f>VLOOKUP(G3,Data!$A:$G,3,0)</f>
        <v>Active</v>
      </c>
      <c r="C3" s="4" t="str">
        <f>VLOOKUP(G3,Data!$A:$G,4,0)</f>
        <v>Durgapur</v>
      </c>
      <c r="D3" s="4" t="str">
        <f>VLOOKUP(G3,Data!$A:$G,5,0)</f>
        <v>Anara</v>
      </c>
      <c r="E3" s="4" t="str">
        <f>VLOOKUP(G3,Data!$A:$G,6,0)</f>
        <v>Biswajit Majee</v>
      </c>
      <c r="F3" s="10" t="str">
        <f>VLOOKUP(G3,Data!$A:$G,7,0)</f>
        <v>2460314961</v>
      </c>
      <c r="G3" s="5">
        <v>27219</v>
      </c>
      <c r="H3" s="7">
        <f>VLOOKUP(G3,'FI txn'!$G:$H,2,0)</f>
        <v>6</v>
      </c>
      <c r="I3" s="7">
        <f t="shared" si="0"/>
        <v>180</v>
      </c>
      <c r="J3" s="8">
        <v>54</v>
      </c>
      <c r="K3" s="8">
        <v>96</v>
      </c>
      <c r="L3" s="8">
        <v>45</v>
      </c>
      <c r="M3" s="8">
        <v>44</v>
      </c>
      <c r="N3" s="8">
        <v>45</v>
      </c>
      <c r="O3" s="8">
        <v>6</v>
      </c>
      <c r="P3" s="8"/>
      <c r="Q3" s="8"/>
      <c r="R3" s="8"/>
      <c r="S3" s="8"/>
      <c r="T3" s="8"/>
      <c r="U3" s="8"/>
      <c r="V3" s="8">
        <f t="shared" si="1"/>
        <v>290</v>
      </c>
      <c r="W3" s="9">
        <f t="shared" si="2"/>
        <v>48.333333333333336</v>
      </c>
    </row>
    <row r="4" spans="1:23" x14ac:dyDescent="0.3">
      <c r="A4" s="4" t="str">
        <f>VLOOKUP(G4,Data!$A:$G,2,0)</f>
        <v>Shyamalesh Sarkar</v>
      </c>
      <c r="B4" s="4" t="str">
        <f>VLOOKUP(G4,Data!$A:$G,3,0)</f>
        <v>Active</v>
      </c>
      <c r="C4" s="4" t="str">
        <f>VLOOKUP(G4,Data!$A:$G,4,0)</f>
        <v>Siliguri</v>
      </c>
      <c r="D4" s="4" t="str">
        <f>VLOOKUP(G4,Data!$A:$G,5,0)</f>
        <v>Sagardighi Square</v>
      </c>
      <c r="E4" s="4" t="str">
        <f>VLOOKUP(G4,Data!$A:$G,6,0)</f>
        <v>Rajani Roy</v>
      </c>
      <c r="F4" s="10" t="str">
        <f>VLOOKUP(G4,Data!$A:$G,7,0)</f>
        <v>2200310076</v>
      </c>
      <c r="G4" s="5">
        <v>20502</v>
      </c>
      <c r="H4" s="7">
        <f>VLOOKUP(G4,'FI txn'!$G:$H,2,0)</f>
        <v>6</v>
      </c>
      <c r="I4" s="7">
        <f t="shared" si="0"/>
        <v>180</v>
      </c>
      <c r="J4" s="8">
        <v>37</v>
      </c>
      <c r="K4" s="8">
        <v>47</v>
      </c>
      <c r="L4" s="8">
        <v>57</v>
      </c>
      <c r="M4" s="8">
        <v>99</v>
      </c>
      <c r="N4" s="8">
        <v>36</v>
      </c>
      <c r="O4" s="8">
        <v>4</v>
      </c>
      <c r="P4" s="8"/>
      <c r="Q4" s="8"/>
      <c r="R4" s="8"/>
      <c r="S4" s="8"/>
      <c r="T4" s="8"/>
      <c r="U4" s="8"/>
      <c r="V4" s="8">
        <f t="shared" si="1"/>
        <v>280</v>
      </c>
      <c r="W4" s="9">
        <f t="shared" si="2"/>
        <v>46.666666666666664</v>
      </c>
    </row>
    <row r="5" spans="1:23" x14ac:dyDescent="0.3">
      <c r="A5" s="4" t="str">
        <f>VLOOKUP(G5,Data!$A:$G,2,0)</f>
        <v>Sunil Biswas</v>
      </c>
      <c r="B5" s="4" t="str">
        <f>VLOOKUP(G5,Data!$A:$G,3,0)</f>
        <v>Active</v>
      </c>
      <c r="C5" s="4" t="str">
        <f>VLOOKUP(G5,Data!$A:$G,4,0)</f>
        <v>Durgapur</v>
      </c>
      <c r="D5" s="4" t="str">
        <f>VLOOKUP(G5,Data!$A:$G,5,0)</f>
        <v>Hridaypur</v>
      </c>
      <c r="E5" s="4" t="str">
        <f>VLOOKUP(G5,Data!$A:$G,6,0)</f>
        <v xml:space="preserve">Injamul Rahaman </v>
      </c>
      <c r="F5" s="10" t="str">
        <f>VLOOKUP(G5,Data!$A:$G,7,0)</f>
        <v>2430314512</v>
      </c>
      <c r="G5" s="5">
        <v>26588</v>
      </c>
      <c r="H5" s="7">
        <f>VLOOKUP(G5,'FI txn'!$G:$H,2,0)</f>
        <v>6</v>
      </c>
      <c r="I5" s="7">
        <f t="shared" si="0"/>
        <v>180</v>
      </c>
      <c r="J5" s="8">
        <v>24</v>
      </c>
      <c r="K5" s="8">
        <v>90</v>
      </c>
      <c r="L5" s="8">
        <v>34</v>
      </c>
      <c r="M5" s="8">
        <v>55</v>
      </c>
      <c r="N5" s="8">
        <v>32</v>
      </c>
      <c r="O5" s="8">
        <v>3</v>
      </c>
      <c r="P5" s="8"/>
      <c r="Q5" s="8"/>
      <c r="R5" s="8"/>
      <c r="S5" s="8"/>
      <c r="T5" s="8"/>
      <c r="U5" s="8"/>
      <c r="V5" s="8">
        <f t="shared" si="1"/>
        <v>238</v>
      </c>
      <c r="W5" s="9">
        <f t="shared" si="2"/>
        <v>39.666666666666664</v>
      </c>
    </row>
    <row r="6" spans="1:23" x14ac:dyDescent="0.3">
      <c r="A6" s="4" t="str">
        <f>VLOOKUP(G6,Data!$A:$G,2,0)</f>
        <v>Manindra Nath Barman</v>
      </c>
      <c r="B6" s="4" t="str">
        <f>VLOOKUP(G6,Data!$A:$G,3,0)</f>
        <v>Active</v>
      </c>
      <c r="C6" s="4" t="str">
        <f>VLOOKUP(G6,Data!$A:$G,4,0)</f>
        <v>Siliguri</v>
      </c>
      <c r="D6" s="4" t="str">
        <f>VLOOKUP(G6,Data!$A:$G,5,0)</f>
        <v>Damanpur</v>
      </c>
      <c r="E6" s="4" t="str">
        <f>VLOOKUP(G6,Data!$A:$G,6,0)</f>
        <v>Biplab Barman</v>
      </c>
      <c r="F6" s="10" t="str">
        <f>VLOOKUP(G6,Data!$A:$G,7,0)</f>
        <v>9490310566</v>
      </c>
      <c r="G6" s="5">
        <v>21091</v>
      </c>
      <c r="H6" s="7">
        <f>VLOOKUP(G6,'FI txn'!$G:$H,2,0)</f>
        <v>6</v>
      </c>
      <c r="I6" s="7">
        <f t="shared" si="0"/>
        <v>180</v>
      </c>
      <c r="J6" s="8">
        <v>25</v>
      </c>
      <c r="K6" s="8">
        <v>37</v>
      </c>
      <c r="L6" s="8">
        <v>35</v>
      </c>
      <c r="M6" s="8">
        <v>47</v>
      </c>
      <c r="N6" s="8">
        <v>28</v>
      </c>
      <c r="O6" s="8">
        <v>2</v>
      </c>
      <c r="P6" s="8"/>
      <c r="Q6" s="8"/>
      <c r="R6" s="8"/>
      <c r="S6" s="8"/>
      <c r="T6" s="8"/>
      <c r="U6" s="8"/>
      <c r="V6" s="8">
        <f t="shared" si="1"/>
        <v>174</v>
      </c>
      <c r="W6" s="9">
        <f t="shared" si="2"/>
        <v>29</v>
      </c>
    </row>
    <row r="7" spans="1:23" x14ac:dyDescent="0.3">
      <c r="A7" s="4" t="str">
        <f>VLOOKUP(G7,Data!$A:$G,2,0)</f>
        <v>Souvik Maity</v>
      </c>
      <c r="B7" s="4" t="str">
        <f>VLOOKUP(G7,Data!$A:$G,3,0)</f>
        <v>Active</v>
      </c>
      <c r="C7" s="4" t="str">
        <f>VLOOKUP(G7,Data!$A:$G,4,0)</f>
        <v>Hooghly</v>
      </c>
      <c r="D7" s="4" t="str">
        <f>VLOOKUP(G7,Data!$A:$G,5,0)</f>
        <v>Rajhati</v>
      </c>
      <c r="E7" s="4" t="str">
        <f>VLOOKUP(G7,Data!$A:$G,6,0)</f>
        <v>Arnnapurna Maji</v>
      </c>
      <c r="F7" s="10" t="str">
        <f>VLOOKUP(G7,Data!$A:$G,7,0)</f>
        <v>3390311610</v>
      </c>
      <c r="G7" s="5">
        <v>22346</v>
      </c>
      <c r="H7" s="7">
        <f>VLOOKUP(G7,'FI txn'!$G:$H,2,0)</f>
        <v>6</v>
      </c>
      <c r="I7" s="7">
        <f t="shared" si="0"/>
        <v>180</v>
      </c>
      <c r="J7" s="8">
        <v>13</v>
      </c>
      <c r="K7" s="8">
        <v>65</v>
      </c>
      <c r="L7" s="8">
        <v>28</v>
      </c>
      <c r="M7" s="8">
        <v>38</v>
      </c>
      <c r="N7" s="8">
        <v>28</v>
      </c>
      <c r="O7" s="8">
        <v>1</v>
      </c>
      <c r="P7" s="8"/>
      <c r="Q7" s="8"/>
      <c r="R7" s="8"/>
      <c r="S7" s="8"/>
      <c r="T7" s="8"/>
      <c r="U7" s="8"/>
      <c r="V7" s="8">
        <f t="shared" si="1"/>
        <v>173</v>
      </c>
      <c r="W7" s="9">
        <f t="shared" si="2"/>
        <v>28.833333333333332</v>
      </c>
    </row>
    <row r="8" spans="1:23" x14ac:dyDescent="0.3">
      <c r="A8" s="4" t="str">
        <f>VLOOKUP(G8,Data!$A:$G,2,0)</f>
        <v>Pijush Singha</v>
      </c>
      <c r="B8" s="4" t="str">
        <f>VLOOKUP(G8,Data!$A:$G,3,0)</f>
        <v>Active</v>
      </c>
      <c r="C8" s="4" t="str">
        <f>VLOOKUP(G8,Data!$A:$G,4,0)</f>
        <v>Siliguri</v>
      </c>
      <c r="D8" s="4" t="str">
        <f>VLOOKUP(G8,Data!$A:$G,5,0)</f>
        <v>Dhuliyan</v>
      </c>
      <c r="E8" s="4" t="str">
        <f>VLOOKUP(G8,Data!$A:$G,6,0)</f>
        <v>Md Asraful Hoque</v>
      </c>
      <c r="F8" s="10" t="str">
        <f>VLOOKUP(G8,Data!$A:$G,7,0)</f>
        <v>2410313985</v>
      </c>
      <c r="G8" s="5">
        <v>25557</v>
      </c>
      <c r="H8" s="7">
        <f>VLOOKUP(G8,'FI txn'!$G:$H,2,0)</f>
        <v>6</v>
      </c>
      <c r="I8" s="7">
        <f t="shared" si="0"/>
        <v>180</v>
      </c>
      <c r="J8" s="8">
        <v>23</v>
      </c>
      <c r="K8" s="8">
        <v>43</v>
      </c>
      <c r="L8" s="8">
        <v>18</v>
      </c>
      <c r="M8" s="8">
        <v>34</v>
      </c>
      <c r="N8" s="8">
        <v>27</v>
      </c>
      <c r="O8" s="8">
        <v>8</v>
      </c>
      <c r="P8" s="8"/>
      <c r="Q8" s="8"/>
      <c r="R8" s="8"/>
      <c r="S8" s="8"/>
      <c r="T8" s="8"/>
      <c r="U8" s="8"/>
      <c r="V8" s="8">
        <f t="shared" si="1"/>
        <v>153</v>
      </c>
      <c r="W8" s="9">
        <f t="shared" si="2"/>
        <v>25.5</v>
      </c>
    </row>
    <row r="9" spans="1:23" x14ac:dyDescent="0.3">
      <c r="A9" s="4" t="str">
        <f>VLOOKUP(G9,Data!$A:$G,2,0)</f>
        <v>Under Office (W Medinipur)</v>
      </c>
      <c r="B9" s="4" t="str">
        <f>VLOOKUP(G9,Data!$A:$G,3,0)</f>
        <v>Active</v>
      </c>
      <c r="C9" s="4" t="str">
        <f>VLOOKUP(G9,Data!$A:$G,4,0)</f>
        <v>Hooghly</v>
      </c>
      <c r="D9" s="4" t="str">
        <f>VLOOKUP(G9,Data!$A:$G,5,0)</f>
        <v>Jhargram</v>
      </c>
      <c r="E9" s="4" t="str">
        <f>VLOOKUP(G9,Data!$A:$G,6,0)</f>
        <v>Sk Imran</v>
      </c>
      <c r="F9" s="10" t="str">
        <f>VLOOKUP(G9,Data!$A:$G,7,0)</f>
        <v>2390311695</v>
      </c>
      <c r="G9" s="5">
        <v>22452</v>
      </c>
      <c r="H9" s="7">
        <f>VLOOKUP(G9,'FI txn'!$G:$H,2,0)</f>
        <v>6</v>
      </c>
      <c r="I9" s="7">
        <f t="shared" si="0"/>
        <v>180</v>
      </c>
      <c r="J9" s="8">
        <v>12</v>
      </c>
      <c r="K9" s="8">
        <v>38</v>
      </c>
      <c r="L9" s="8">
        <v>38</v>
      </c>
      <c r="M9" s="8">
        <v>24</v>
      </c>
      <c r="N9" s="8">
        <v>21</v>
      </c>
      <c r="O9" s="8">
        <v>6</v>
      </c>
      <c r="P9" s="8"/>
      <c r="Q9" s="8"/>
      <c r="R9" s="8"/>
      <c r="S9" s="8"/>
      <c r="T9" s="8"/>
      <c r="U9" s="8"/>
      <c r="V9" s="8">
        <f t="shared" si="1"/>
        <v>139</v>
      </c>
      <c r="W9" s="9">
        <f t="shared" si="2"/>
        <v>23.166666666666668</v>
      </c>
    </row>
    <row r="10" spans="1:23" x14ac:dyDescent="0.3">
      <c r="A10" s="4" t="str">
        <f>VLOOKUP(G10,Data!$A:$G,2,0)</f>
        <v>Sunil Biswas</v>
      </c>
      <c r="B10" s="4" t="str">
        <f>VLOOKUP(G10,Data!$A:$G,3,0)</f>
        <v>Active</v>
      </c>
      <c r="C10" s="4" t="str">
        <f>VLOOKUP(G10,Data!$A:$G,4,0)</f>
        <v>Durgapur</v>
      </c>
      <c r="D10" s="4" t="str">
        <f>VLOOKUP(G10,Data!$A:$G,5,0)</f>
        <v>Santipur</v>
      </c>
      <c r="E10" s="4" t="str">
        <f>VLOOKUP(G10,Data!$A:$G,6,0)</f>
        <v>Sahabul Mandal</v>
      </c>
      <c r="F10" s="10" t="str">
        <f>VLOOKUP(G10,Data!$A:$G,7,0)</f>
        <v>2430315156</v>
      </c>
      <c r="G10" s="5">
        <v>27630</v>
      </c>
      <c r="H10" s="7">
        <f>VLOOKUP(G10,'FI txn'!$G:$H,2,0)</f>
        <v>6</v>
      </c>
      <c r="I10" s="7">
        <f t="shared" si="0"/>
        <v>180</v>
      </c>
      <c r="J10" s="8">
        <v>12</v>
      </c>
      <c r="K10" s="8">
        <v>23</v>
      </c>
      <c r="L10" s="8">
        <v>28</v>
      </c>
      <c r="M10" s="8">
        <v>53</v>
      </c>
      <c r="N10" s="8">
        <v>17</v>
      </c>
      <c r="O10" s="8">
        <v>4</v>
      </c>
      <c r="P10" s="8"/>
      <c r="Q10" s="8"/>
      <c r="R10" s="8"/>
      <c r="S10" s="8"/>
      <c r="T10" s="8"/>
      <c r="U10" s="8"/>
      <c r="V10" s="8">
        <f t="shared" si="1"/>
        <v>137</v>
      </c>
      <c r="W10" s="9">
        <f t="shared" si="2"/>
        <v>22.833333333333332</v>
      </c>
    </row>
    <row r="11" spans="1:23" x14ac:dyDescent="0.3">
      <c r="A11" s="4" t="str">
        <f>VLOOKUP(G11,Data!$A:$G,2,0)</f>
        <v>Under Office (W Medinipur)</v>
      </c>
      <c r="B11" s="4" t="str">
        <f>VLOOKUP(G11,Data!$A:$G,3,0)</f>
        <v>Active</v>
      </c>
      <c r="C11" s="4" t="str">
        <f>VLOOKUP(G11,Data!$A:$G,4,0)</f>
        <v>Hooghly</v>
      </c>
      <c r="D11" s="4" t="str">
        <f>VLOOKUP(G11,Data!$A:$G,5,0)</f>
        <v>Binpur</v>
      </c>
      <c r="E11" s="4" t="str">
        <f>VLOOKUP(G11,Data!$A:$G,6,0)</f>
        <v>Debika Singha Patra</v>
      </c>
      <c r="F11" s="10" t="str">
        <f>VLOOKUP(G11,Data!$A:$G,7,0)</f>
        <v>2390311962</v>
      </c>
      <c r="G11" s="5">
        <v>22789</v>
      </c>
      <c r="H11" s="7">
        <f>VLOOKUP(G11,'FI txn'!$G:$H,2,0)</f>
        <v>6</v>
      </c>
      <c r="I11" s="7">
        <f t="shared" si="0"/>
        <v>180</v>
      </c>
      <c r="J11" s="8">
        <v>4</v>
      </c>
      <c r="K11" s="8">
        <v>18</v>
      </c>
      <c r="L11" s="8">
        <v>33</v>
      </c>
      <c r="M11" s="8">
        <v>38</v>
      </c>
      <c r="N11" s="8">
        <v>35</v>
      </c>
      <c r="O11" s="8">
        <v>8</v>
      </c>
      <c r="P11" s="8"/>
      <c r="Q11" s="8"/>
      <c r="R11" s="8"/>
      <c r="S11" s="8"/>
      <c r="T11" s="8"/>
      <c r="U11" s="8"/>
      <c r="V11" s="8">
        <f t="shared" si="1"/>
        <v>136</v>
      </c>
      <c r="W11" s="9">
        <f t="shared" si="2"/>
        <v>22.666666666666668</v>
      </c>
    </row>
    <row r="12" spans="1:23" x14ac:dyDescent="0.3">
      <c r="A12" s="4" t="str">
        <f>VLOOKUP(G12,Data!$A:$G,2,0)</f>
        <v>Souvik Maity</v>
      </c>
      <c r="B12" s="4" t="str">
        <f>VLOOKUP(G12,Data!$A:$G,3,0)</f>
        <v>Active</v>
      </c>
      <c r="C12" s="4" t="str">
        <f>VLOOKUP(G12,Data!$A:$G,4,0)</f>
        <v>Hooghly</v>
      </c>
      <c r="D12" s="4" t="str">
        <f>VLOOKUP(G12,Data!$A:$G,5,0)</f>
        <v>Rajhati</v>
      </c>
      <c r="E12" s="4" t="str">
        <f>VLOOKUP(G12,Data!$A:$G,6,0)</f>
        <v>Santanu Ghosh</v>
      </c>
      <c r="F12" s="10" t="str">
        <f>VLOOKUP(G12,Data!$A:$G,7,0)</f>
        <v>3390314383</v>
      </c>
      <c r="G12" s="5">
        <v>26399</v>
      </c>
      <c r="H12" s="7">
        <f>VLOOKUP(G12,'FI txn'!$G:$H,2,0)</f>
        <v>6</v>
      </c>
      <c r="I12" s="7">
        <f t="shared" si="0"/>
        <v>180</v>
      </c>
      <c r="J12" s="8">
        <v>12</v>
      </c>
      <c r="K12" s="8">
        <v>36</v>
      </c>
      <c r="L12" s="8">
        <v>29</v>
      </c>
      <c r="M12" s="8">
        <v>33</v>
      </c>
      <c r="N12" s="8">
        <v>21</v>
      </c>
      <c r="O12" s="8">
        <v>4</v>
      </c>
      <c r="P12" s="8"/>
      <c r="Q12" s="8"/>
      <c r="R12" s="8"/>
      <c r="S12" s="8"/>
      <c r="T12" s="8"/>
      <c r="U12" s="8"/>
      <c r="V12" s="8">
        <f t="shared" si="1"/>
        <v>135</v>
      </c>
      <c r="W12" s="9">
        <f t="shared" si="2"/>
        <v>22.5</v>
      </c>
    </row>
    <row r="13" spans="1:23" x14ac:dyDescent="0.3">
      <c r="A13" s="4" t="str">
        <f>VLOOKUP(G13,Data!$A:$G,2,0)</f>
        <v>Souvik Maity</v>
      </c>
      <c r="B13" s="4" t="str">
        <f>VLOOKUP(G13,Data!$A:$G,3,0)</f>
        <v>Active</v>
      </c>
      <c r="C13" s="4" t="str">
        <f>VLOOKUP(G13,Data!$A:$G,4,0)</f>
        <v>Hooghly</v>
      </c>
      <c r="D13" s="4" t="str">
        <f>VLOOKUP(G13,Data!$A:$G,5,0)</f>
        <v>Jirat</v>
      </c>
      <c r="E13" s="4" t="str">
        <f>VLOOKUP(G13,Data!$A:$G,6,0)</f>
        <v>Sahadeb Chakraborty</v>
      </c>
      <c r="F13" s="10" t="str">
        <f>VLOOKUP(G13,Data!$A:$G,7,0)</f>
        <v>3390314204</v>
      </c>
      <c r="G13" s="5">
        <v>26084</v>
      </c>
      <c r="H13" s="7">
        <f>VLOOKUP(G13,'FI txn'!$G:$H,2,0)</f>
        <v>6</v>
      </c>
      <c r="I13" s="7">
        <f t="shared" si="0"/>
        <v>180</v>
      </c>
      <c r="J13" s="8">
        <v>8</v>
      </c>
      <c r="K13" s="8">
        <v>36</v>
      </c>
      <c r="L13" s="8">
        <v>35</v>
      </c>
      <c r="M13" s="8">
        <v>23</v>
      </c>
      <c r="N13" s="8">
        <v>22</v>
      </c>
      <c r="O13" s="8">
        <v>5</v>
      </c>
      <c r="P13" s="8"/>
      <c r="Q13" s="8"/>
      <c r="R13" s="8"/>
      <c r="S13" s="8"/>
      <c r="T13" s="8"/>
      <c r="U13" s="8"/>
      <c r="V13" s="8">
        <f t="shared" si="1"/>
        <v>129</v>
      </c>
      <c r="W13" s="9">
        <f t="shared" si="2"/>
        <v>21.5</v>
      </c>
    </row>
    <row r="14" spans="1:23" x14ac:dyDescent="0.3">
      <c r="A14" s="4" t="str">
        <f>VLOOKUP(G14,Data!$A:$G,2,0)</f>
        <v>Manindra Nath Barman</v>
      </c>
      <c r="B14" s="4" t="str">
        <f>VLOOKUP(G14,Data!$A:$G,3,0)</f>
        <v>Active</v>
      </c>
      <c r="C14" s="4" t="str">
        <f>VLOOKUP(G14,Data!$A:$G,4,0)</f>
        <v>Siliguri</v>
      </c>
      <c r="D14" s="4" t="str">
        <f>VLOOKUP(G14,Data!$A:$G,5,0)</f>
        <v>Barobisha</v>
      </c>
      <c r="E14" s="4" t="str">
        <f>VLOOKUP(G14,Data!$A:$G,6,0)</f>
        <v>Md Akimuzzaman</v>
      </c>
      <c r="F14" s="10" t="str">
        <f>VLOOKUP(G14,Data!$A:$G,7,0)</f>
        <v>2310315481</v>
      </c>
      <c r="G14" s="5">
        <v>28270</v>
      </c>
      <c r="H14" s="7">
        <f>VLOOKUP(G14,'FI txn'!$G:$H,2,0)</f>
        <v>6</v>
      </c>
      <c r="I14" s="7">
        <f t="shared" si="0"/>
        <v>180</v>
      </c>
      <c r="J14" s="8">
        <v>10</v>
      </c>
      <c r="K14" s="8">
        <v>25</v>
      </c>
      <c r="L14" s="8">
        <v>33</v>
      </c>
      <c r="M14" s="8">
        <v>28</v>
      </c>
      <c r="N14" s="8">
        <v>26</v>
      </c>
      <c r="O14" s="8">
        <v>6</v>
      </c>
      <c r="P14" s="8"/>
      <c r="Q14" s="8"/>
      <c r="R14" s="8"/>
      <c r="S14" s="8"/>
      <c r="T14" s="8"/>
      <c r="U14" s="8"/>
      <c r="V14" s="8">
        <f t="shared" si="1"/>
        <v>128</v>
      </c>
      <c r="W14" s="9">
        <f t="shared" si="2"/>
        <v>21.333333333333332</v>
      </c>
    </row>
    <row r="15" spans="1:23" x14ac:dyDescent="0.3">
      <c r="A15" s="4" t="str">
        <f>VLOOKUP(G15,Data!$A:$G,2,0)</f>
        <v>Shyamalesh Sarkar</v>
      </c>
      <c r="B15" s="4" t="str">
        <f>VLOOKUP(G15,Data!$A:$G,3,0)</f>
        <v>Active</v>
      </c>
      <c r="C15" s="4" t="str">
        <f>VLOOKUP(G15,Data!$A:$G,4,0)</f>
        <v>Siliguri</v>
      </c>
      <c r="D15" s="4" t="str">
        <f>VLOOKUP(G15,Data!$A:$G,5,0)</f>
        <v>Sagardighi Square</v>
      </c>
      <c r="E15" s="4" t="str">
        <f>VLOOKUP(G15,Data!$A:$G,6,0)</f>
        <v>Ajit Modak</v>
      </c>
      <c r="F15" s="10" t="str">
        <f>VLOOKUP(G15,Data!$A:$G,7,0)</f>
        <v>2200309916</v>
      </c>
      <c r="G15" s="5">
        <v>20322</v>
      </c>
      <c r="H15" s="7">
        <f>VLOOKUP(G15,'FI txn'!$G:$H,2,0)</f>
        <v>6</v>
      </c>
      <c r="I15" s="7">
        <f t="shared" si="0"/>
        <v>180</v>
      </c>
      <c r="J15" s="8">
        <v>23</v>
      </c>
      <c r="K15" s="8">
        <v>30</v>
      </c>
      <c r="L15" s="8">
        <v>30</v>
      </c>
      <c r="M15" s="8">
        <v>24</v>
      </c>
      <c r="N15" s="8">
        <v>16</v>
      </c>
      <c r="O15" s="8">
        <v>5</v>
      </c>
      <c r="P15" s="8"/>
      <c r="Q15" s="8"/>
      <c r="R15" s="8"/>
      <c r="S15" s="8"/>
      <c r="T15" s="8"/>
      <c r="U15" s="8"/>
      <c r="V15" s="8">
        <f t="shared" si="1"/>
        <v>128</v>
      </c>
      <c r="W15" s="9">
        <f t="shared" si="2"/>
        <v>21.333333333333332</v>
      </c>
    </row>
    <row r="16" spans="1:23" x14ac:dyDescent="0.3">
      <c r="A16" s="4" t="str">
        <f>VLOOKUP(G16,Data!$A:$G,2,0)</f>
        <v>Under Office (Birbhum)</v>
      </c>
      <c r="B16" s="4" t="str">
        <f>VLOOKUP(G16,Data!$A:$G,3,0)</f>
        <v>Active</v>
      </c>
      <c r="C16" s="4" t="str">
        <f>VLOOKUP(G16,Data!$A:$G,4,0)</f>
        <v>Siliguri</v>
      </c>
      <c r="D16" s="4" t="str">
        <f>VLOOKUP(G16,Data!$A:$G,5,0)</f>
        <v>Kapista</v>
      </c>
      <c r="E16" s="4" t="str">
        <f>VLOOKUP(G16,Data!$A:$G,6,0)</f>
        <v>Swarup Karmakar</v>
      </c>
      <c r="F16" s="10" t="str">
        <f>VLOOKUP(G16,Data!$A:$G,7,0)</f>
        <v>0140311629</v>
      </c>
      <c r="G16" s="5">
        <v>22366</v>
      </c>
      <c r="H16" s="7">
        <f>VLOOKUP(G16,'FI txn'!$G:$H,2,0)</f>
        <v>6</v>
      </c>
      <c r="I16" s="7">
        <f t="shared" si="0"/>
        <v>180</v>
      </c>
      <c r="J16" s="8">
        <v>9</v>
      </c>
      <c r="K16" s="8">
        <v>25</v>
      </c>
      <c r="L16" s="8">
        <v>23</v>
      </c>
      <c r="M16" s="8">
        <v>18</v>
      </c>
      <c r="N16" s="8">
        <v>30</v>
      </c>
      <c r="O16" s="8">
        <v>5</v>
      </c>
      <c r="P16" s="8"/>
      <c r="Q16" s="8"/>
      <c r="R16" s="8"/>
      <c r="S16" s="8"/>
      <c r="T16" s="8"/>
      <c r="U16" s="8"/>
      <c r="V16" s="8">
        <f t="shared" si="1"/>
        <v>110</v>
      </c>
      <c r="W16" s="9">
        <f t="shared" si="2"/>
        <v>18.333333333333332</v>
      </c>
    </row>
    <row r="17" spans="1:23" x14ac:dyDescent="0.3">
      <c r="A17" s="4" t="str">
        <f>VLOOKUP(G17,Data!$A:$G,2,0)</f>
        <v>Under Office (W Medinipur)</v>
      </c>
      <c r="B17" s="4" t="str">
        <f>VLOOKUP(G17,Data!$A:$G,3,0)</f>
        <v>Active</v>
      </c>
      <c r="C17" s="4" t="str">
        <f>VLOOKUP(G17,Data!$A:$G,4,0)</f>
        <v>Hooghly</v>
      </c>
      <c r="D17" s="4" t="str">
        <f>VLOOKUP(G17,Data!$A:$G,5,0)</f>
        <v>Nayabasat</v>
      </c>
      <c r="E17" s="4" t="str">
        <f>VLOOKUP(G17,Data!$A:$G,6,0)</f>
        <v>Mousumi Chanda Dey</v>
      </c>
      <c r="F17" s="10" t="str">
        <f>VLOOKUP(G17,Data!$A:$G,7,0)</f>
        <v>2390315855</v>
      </c>
      <c r="G17" s="5">
        <v>29123</v>
      </c>
      <c r="H17" s="7">
        <f>VLOOKUP(G17,'FI txn'!$G:$H,2,0)</f>
        <v>6</v>
      </c>
      <c r="I17" s="7">
        <f t="shared" si="0"/>
        <v>180</v>
      </c>
      <c r="J17" s="8">
        <v>28</v>
      </c>
      <c r="K17" s="8">
        <v>15</v>
      </c>
      <c r="L17" s="8">
        <v>26</v>
      </c>
      <c r="M17" s="8">
        <v>18</v>
      </c>
      <c r="N17" s="8">
        <v>18</v>
      </c>
      <c r="O17" s="8">
        <v>3</v>
      </c>
      <c r="P17" s="8"/>
      <c r="Q17" s="8"/>
      <c r="R17" s="8"/>
      <c r="S17" s="8"/>
      <c r="T17" s="8"/>
      <c r="U17" s="8"/>
      <c r="V17" s="8">
        <f t="shared" si="1"/>
        <v>108</v>
      </c>
      <c r="W17" s="9">
        <f t="shared" si="2"/>
        <v>18</v>
      </c>
    </row>
    <row r="18" spans="1:23" x14ac:dyDescent="0.3">
      <c r="A18" s="4" t="str">
        <f>VLOOKUP(G18,Data!$A:$G,2,0)</f>
        <v>Rajendra Kumar Bapari</v>
      </c>
      <c r="B18" s="4" t="str">
        <f>VLOOKUP(G18,Data!$A:$G,3,0)</f>
        <v>Active</v>
      </c>
      <c r="C18" s="4" t="str">
        <f>VLOOKUP(G18,Data!$A:$G,4,0)</f>
        <v>Durgapur</v>
      </c>
      <c r="D18" s="4" t="str">
        <f>VLOOKUP(G18,Data!$A:$G,5,0)</f>
        <v>Patuli</v>
      </c>
      <c r="E18" s="4" t="str">
        <f>VLOOKUP(G18,Data!$A:$G,6,0)</f>
        <v>Satyajit Kar</v>
      </c>
      <c r="F18" s="10" t="str">
        <f>VLOOKUP(G18,Data!$A:$G,7,0)</f>
        <v>3390314928</v>
      </c>
      <c r="G18" s="5">
        <v>27154</v>
      </c>
      <c r="H18" s="7">
        <f>VLOOKUP(G18,'FI txn'!$G:$H,2,0)</f>
        <v>6</v>
      </c>
      <c r="I18" s="7">
        <f t="shared" si="0"/>
        <v>180</v>
      </c>
      <c r="J18" s="8">
        <v>8</v>
      </c>
      <c r="K18" s="8">
        <v>36</v>
      </c>
      <c r="L18" s="8">
        <v>28</v>
      </c>
      <c r="M18" s="8">
        <v>9</v>
      </c>
      <c r="N18" s="8">
        <v>18</v>
      </c>
      <c r="O18" s="8">
        <v>5</v>
      </c>
      <c r="P18" s="8"/>
      <c r="Q18" s="8"/>
      <c r="R18" s="8"/>
      <c r="S18" s="8"/>
      <c r="T18" s="8"/>
      <c r="U18" s="8"/>
      <c r="V18" s="8">
        <f t="shared" si="1"/>
        <v>104</v>
      </c>
      <c r="W18" s="9">
        <f t="shared" si="2"/>
        <v>17.333333333333332</v>
      </c>
    </row>
    <row r="19" spans="1:23" x14ac:dyDescent="0.3">
      <c r="A19" s="4" t="str">
        <f>VLOOKUP(G19,Data!$A:$G,2,0)</f>
        <v>Under Office (Birbhum)</v>
      </c>
      <c r="B19" s="4" t="str">
        <f>VLOOKUP(G19,Data!$A:$G,3,0)</f>
        <v>Active</v>
      </c>
      <c r="C19" s="4" t="str">
        <f>VLOOKUP(G19,Data!$A:$G,4,0)</f>
        <v>Siliguri</v>
      </c>
      <c r="D19" s="4" t="str">
        <f>VLOOKUP(G19,Data!$A:$G,5,0)</f>
        <v>Paikar</v>
      </c>
      <c r="E19" s="4" t="str">
        <f>VLOOKUP(G19,Data!$A:$G,6,0)</f>
        <v>Saheb Sk</v>
      </c>
      <c r="F19" s="10" t="str">
        <f>VLOOKUP(G19,Data!$A:$G,7,0)</f>
        <v>0140311324</v>
      </c>
      <c r="G19" s="5">
        <v>21999</v>
      </c>
      <c r="H19" s="7">
        <f>VLOOKUP(G19,'FI txn'!$G:$H,2,0)</f>
        <v>6</v>
      </c>
      <c r="I19" s="7">
        <f t="shared" si="0"/>
        <v>180</v>
      </c>
      <c r="J19" s="8">
        <v>26</v>
      </c>
      <c r="K19" s="8">
        <v>20</v>
      </c>
      <c r="L19" s="8">
        <v>16</v>
      </c>
      <c r="M19" s="8">
        <v>19</v>
      </c>
      <c r="N19" s="8">
        <v>18</v>
      </c>
      <c r="O19" s="8">
        <v>4</v>
      </c>
      <c r="P19" s="8"/>
      <c r="Q19" s="8"/>
      <c r="R19" s="8"/>
      <c r="S19" s="8"/>
      <c r="T19" s="8"/>
      <c r="U19" s="8"/>
      <c r="V19" s="8">
        <f t="shared" si="1"/>
        <v>103</v>
      </c>
      <c r="W19" s="9">
        <f t="shared" si="2"/>
        <v>17.166666666666668</v>
      </c>
    </row>
    <row r="20" spans="1:23" x14ac:dyDescent="0.3">
      <c r="A20" s="4" t="str">
        <f>VLOOKUP(G20,Data!$A:$G,2,0)</f>
        <v>Souvik Maity</v>
      </c>
      <c r="B20" s="4" t="str">
        <f>VLOOKUP(G20,Data!$A:$G,3,0)</f>
        <v>Active</v>
      </c>
      <c r="C20" s="4" t="str">
        <f>VLOOKUP(G20,Data!$A:$G,4,0)</f>
        <v>Hooghly</v>
      </c>
      <c r="D20" s="4" t="str">
        <f>VLOOKUP(G20,Data!$A:$G,5,0)</f>
        <v>Rajbalhat</v>
      </c>
      <c r="E20" s="4" t="str">
        <f>VLOOKUP(G20,Data!$A:$G,6,0)</f>
        <v>Dibyendu Bhowmick</v>
      </c>
      <c r="F20" s="10" t="str">
        <f>VLOOKUP(G20,Data!$A:$G,7,0)</f>
        <v>3390314186</v>
      </c>
      <c r="G20" s="5">
        <v>26015</v>
      </c>
      <c r="H20" s="7">
        <f>VLOOKUP(G20,'FI txn'!$G:$H,2,0)</f>
        <v>6</v>
      </c>
      <c r="I20" s="7">
        <f t="shared" si="0"/>
        <v>180</v>
      </c>
      <c r="J20" s="8">
        <v>7</v>
      </c>
      <c r="K20" s="8">
        <v>14</v>
      </c>
      <c r="L20" s="8">
        <v>35</v>
      </c>
      <c r="M20" s="8">
        <v>19</v>
      </c>
      <c r="N20" s="8">
        <v>18</v>
      </c>
      <c r="O20" s="8"/>
      <c r="P20" s="8"/>
      <c r="Q20" s="8"/>
      <c r="R20" s="8"/>
      <c r="S20" s="8"/>
      <c r="T20" s="8"/>
      <c r="U20" s="8"/>
      <c r="V20" s="8">
        <f t="shared" si="1"/>
        <v>93</v>
      </c>
      <c r="W20" s="9">
        <f t="shared" si="2"/>
        <v>15.5</v>
      </c>
    </row>
    <row r="21" spans="1:23" x14ac:dyDescent="0.3">
      <c r="A21" s="4" t="str">
        <f>VLOOKUP(G21,Data!$A:$G,2,0)</f>
        <v>Under Office (W Medinipur)</v>
      </c>
      <c r="B21" s="4" t="str">
        <f>VLOOKUP(G21,Data!$A:$G,3,0)</f>
        <v>Active</v>
      </c>
      <c r="C21" s="4" t="str">
        <f>VLOOKUP(G21,Data!$A:$G,4,0)</f>
        <v>Hooghly</v>
      </c>
      <c r="D21" s="4" t="str">
        <f>VLOOKUP(G21,Data!$A:$G,5,0)</f>
        <v>Kankabati</v>
      </c>
      <c r="E21" s="4" t="str">
        <f>VLOOKUP(G21,Data!$A:$G,6,0)</f>
        <v>Mita Samanta</v>
      </c>
      <c r="F21" s="10" t="str">
        <f>VLOOKUP(G21,Data!$A:$G,7,0)</f>
        <v>2390311663</v>
      </c>
      <c r="G21" s="5">
        <v>22401</v>
      </c>
      <c r="H21" s="7">
        <f>VLOOKUP(G21,'FI txn'!$G:$H,2,0)</f>
        <v>6</v>
      </c>
      <c r="I21" s="7">
        <f t="shared" si="0"/>
        <v>180</v>
      </c>
      <c r="J21" s="8"/>
      <c r="K21" s="8">
        <v>77</v>
      </c>
      <c r="L21" s="8">
        <v>12</v>
      </c>
      <c r="M21" s="8"/>
      <c r="N21" s="8">
        <v>3</v>
      </c>
      <c r="O21" s="8"/>
      <c r="P21" s="8"/>
      <c r="Q21" s="8"/>
      <c r="R21" s="8"/>
      <c r="S21" s="8"/>
      <c r="T21" s="8"/>
      <c r="U21" s="8"/>
      <c r="V21" s="8">
        <f t="shared" si="1"/>
        <v>92</v>
      </c>
      <c r="W21" s="9">
        <f t="shared" si="2"/>
        <v>15.333333333333334</v>
      </c>
    </row>
    <row r="22" spans="1:23" x14ac:dyDescent="0.3">
      <c r="A22" s="4" t="str">
        <f>VLOOKUP(G22,Data!$A:$G,2,0)</f>
        <v>Chandi Charan Mahato</v>
      </c>
      <c r="B22" s="4" t="str">
        <f>VLOOKUP(G22,Data!$A:$G,3,0)</f>
        <v>Active</v>
      </c>
      <c r="C22" s="4" t="str">
        <f>VLOOKUP(G22,Data!$A:$G,4,0)</f>
        <v>Durgapur</v>
      </c>
      <c r="D22" s="4" t="str">
        <f>VLOOKUP(G22,Data!$A:$G,5,0)</f>
        <v>Jhantipahari</v>
      </c>
      <c r="E22" s="4" t="str">
        <f>VLOOKUP(G22,Data!$A:$G,6,0)</f>
        <v>Asish Kumar Mandal</v>
      </c>
      <c r="F22" s="10" t="str">
        <f>VLOOKUP(G22,Data!$A:$G,7,0)</f>
        <v>2160314962</v>
      </c>
      <c r="G22" s="5">
        <v>27220</v>
      </c>
      <c r="H22" s="7">
        <f>VLOOKUP(G22,'FI txn'!$G:$H,2,0)</f>
        <v>6</v>
      </c>
      <c r="I22" s="7">
        <f t="shared" si="0"/>
        <v>180</v>
      </c>
      <c r="J22" s="8">
        <v>16</v>
      </c>
      <c r="K22" s="8">
        <v>25</v>
      </c>
      <c r="L22" s="8">
        <v>11</v>
      </c>
      <c r="M22" s="8">
        <v>15</v>
      </c>
      <c r="N22" s="8">
        <v>19</v>
      </c>
      <c r="O22" s="8">
        <v>3</v>
      </c>
      <c r="P22" s="8"/>
      <c r="Q22" s="8"/>
      <c r="R22" s="8"/>
      <c r="S22" s="8"/>
      <c r="T22" s="8"/>
      <c r="U22" s="8"/>
      <c r="V22" s="8">
        <f t="shared" si="1"/>
        <v>89</v>
      </c>
      <c r="W22" s="9">
        <f t="shared" si="2"/>
        <v>14.833333333333334</v>
      </c>
    </row>
    <row r="23" spans="1:23" x14ac:dyDescent="0.3">
      <c r="A23" s="4" t="str">
        <f>VLOOKUP(G23,Data!$A:$G,2,0)</f>
        <v>Under Office (W Medinipur)</v>
      </c>
      <c r="B23" s="4" t="str">
        <f>VLOOKUP(G23,Data!$A:$G,3,0)</f>
        <v>Active</v>
      </c>
      <c r="C23" s="4" t="str">
        <f>VLOOKUP(G23,Data!$A:$G,4,0)</f>
        <v>Hooghly</v>
      </c>
      <c r="D23" s="4" t="str">
        <f>VLOOKUP(G23,Data!$A:$G,5,0)</f>
        <v>Khirpai</v>
      </c>
      <c r="E23" s="4" t="str">
        <f>VLOOKUP(G23,Data!$A:$G,6,0)</f>
        <v>Sk Abbas Ali</v>
      </c>
      <c r="F23" s="10" t="str">
        <f>VLOOKUP(G23,Data!$A:$G,7,0)</f>
        <v>2390311378</v>
      </c>
      <c r="G23" s="5">
        <v>22073</v>
      </c>
      <c r="H23" s="7">
        <f>VLOOKUP(G23,'FI txn'!$G:$H,2,0)</f>
        <v>6</v>
      </c>
      <c r="I23" s="7">
        <f t="shared" si="0"/>
        <v>180</v>
      </c>
      <c r="J23" s="8">
        <v>9</v>
      </c>
      <c r="K23" s="8">
        <v>26</v>
      </c>
      <c r="L23" s="8">
        <v>15</v>
      </c>
      <c r="M23" s="8">
        <v>22</v>
      </c>
      <c r="N23" s="8">
        <v>14</v>
      </c>
      <c r="O23" s="8">
        <v>1</v>
      </c>
      <c r="P23" s="8"/>
      <c r="Q23" s="8"/>
      <c r="R23" s="8"/>
      <c r="S23" s="8"/>
      <c r="T23" s="8"/>
      <c r="U23" s="8"/>
      <c r="V23" s="8">
        <f t="shared" si="1"/>
        <v>87</v>
      </c>
      <c r="W23" s="9">
        <f t="shared" si="2"/>
        <v>14.5</v>
      </c>
    </row>
    <row r="24" spans="1:23" x14ac:dyDescent="0.3">
      <c r="A24" s="4" t="str">
        <f>VLOOKUP(G24,Data!$A:$G,2,0)</f>
        <v>Rajiul Momin</v>
      </c>
      <c r="B24" s="4" t="str">
        <f>VLOOKUP(G24,Data!$A:$G,3,0)</f>
        <v>Active</v>
      </c>
      <c r="C24" s="4" t="str">
        <f>VLOOKUP(G24,Data!$A:$G,4,0)</f>
        <v>Siliguri</v>
      </c>
      <c r="D24" s="4" t="str">
        <f>VLOOKUP(G24,Data!$A:$G,5,0)</f>
        <v>Kaluari</v>
      </c>
      <c r="E24" s="4" t="str">
        <f>VLOOKUP(G24,Data!$A:$G,6,0)</f>
        <v>Masidur Rahaman</v>
      </c>
      <c r="F24" s="10" t="str">
        <f>VLOOKUP(G24,Data!$A:$G,7,0)</f>
        <v>2370310973</v>
      </c>
      <c r="G24" s="5">
        <v>21583</v>
      </c>
      <c r="H24" s="7">
        <f>VLOOKUP(G24,'FI txn'!$G:$H,2,0)</f>
        <v>6</v>
      </c>
      <c r="I24" s="7">
        <f t="shared" si="0"/>
        <v>180</v>
      </c>
      <c r="J24" s="8">
        <v>7</v>
      </c>
      <c r="K24" s="8">
        <v>21</v>
      </c>
      <c r="L24" s="8">
        <v>20</v>
      </c>
      <c r="M24" s="8">
        <v>16</v>
      </c>
      <c r="N24" s="8">
        <v>15</v>
      </c>
      <c r="O24" s="8">
        <v>6</v>
      </c>
      <c r="P24" s="8"/>
      <c r="Q24" s="8"/>
      <c r="R24" s="8"/>
      <c r="S24" s="8"/>
      <c r="T24" s="8"/>
      <c r="U24" s="8"/>
      <c r="V24" s="8">
        <f t="shared" si="1"/>
        <v>85</v>
      </c>
      <c r="W24" s="9">
        <f t="shared" si="2"/>
        <v>14.166666666666666</v>
      </c>
    </row>
    <row r="25" spans="1:23" x14ac:dyDescent="0.3">
      <c r="A25" s="4" t="str">
        <f>VLOOKUP(G25,Data!$A:$G,2,0)</f>
        <v>Sunil Biswas</v>
      </c>
      <c r="B25" s="4" t="str">
        <f>VLOOKUP(G25,Data!$A:$G,3,0)</f>
        <v>Active</v>
      </c>
      <c r="C25" s="4" t="str">
        <f>VLOOKUP(G25,Data!$A:$G,4,0)</f>
        <v>Durgapur</v>
      </c>
      <c r="D25" s="4" t="str">
        <f>VLOOKUP(G25,Data!$A:$G,5,0)</f>
        <v>Hridaypur</v>
      </c>
      <c r="E25" s="4" t="str">
        <f>VLOOKUP(G25,Data!$A:$G,6,0)</f>
        <v>Suman Ghosh</v>
      </c>
      <c r="F25" s="10" t="str">
        <f>VLOOKUP(G25,Data!$A:$G,7,0)</f>
        <v>8116659114</v>
      </c>
      <c r="G25" s="5">
        <v>29525</v>
      </c>
      <c r="H25" s="7">
        <f>VLOOKUP(G25,'FI txn'!$G:$H,2,0)</f>
        <v>4</v>
      </c>
      <c r="I25" s="7">
        <f t="shared" si="0"/>
        <v>120</v>
      </c>
      <c r="J25" s="8"/>
      <c r="K25" s="8"/>
      <c r="L25" s="8">
        <v>22</v>
      </c>
      <c r="M25" s="8">
        <v>48</v>
      </c>
      <c r="N25" s="8">
        <v>13</v>
      </c>
      <c r="O25" s="8">
        <v>2</v>
      </c>
      <c r="P25" s="8"/>
      <c r="Q25" s="8"/>
      <c r="R25" s="8"/>
      <c r="S25" s="8"/>
      <c r="T25" s="8"/>
      <c r="U25" s="8"/>
      <c r="V25" s="8">
        <f t="shared" si="1"/>
        <v>85</v>
      </c>
      <c r="W25" s="9">
        <f t="shared" si="2"/>
        <v>21.25</v>
      </c>
    </row>
    <row r="26" spans="1:23" x14ac:dyDescent="0.3">
      <c r="A26" s="4" t="str">
        <f>VLOOKUP(G26,Data!$A:$G,2,0)</f>
        <v>Souvik Maity</v>
      </c>
      <c r="B26" s="4" t="str">
        <f>VLOOKUP(G26,Data!$A:$G,3,0)</f>
        <v>Active</v>
      </c>
      <c r="C26" s="4" t="str">
        <f>VLOOKUP(G26,Data!$A:$G,4,0)</f>
        <v>Hooghly</v>
      </c>
      <c r="D26" s="4" t="str">
        <f>VLOOKUP(G26,Data!$A:$G,5,0)</f>
        <v>Sahapur</v>
      </c>
      <c r="E26" s="4" t="str">
        <f>VLOOKUP(G26,Data!$A:$G,6,0)</f>
        <v>Bishal Maity</v>
      </c>
      <c r="F26" s="10" t="str">
        <f>VLOOKUP(G26,Data!$A:$G,7,0)</f>
        <v>3390312548</v>
      </c>
      <c r="G26" s="5">
        <v>23565</v>
      </c>
      <c r="H26" s="7">
        <f>VLOOKUP(G26,'FI txn'!$G:$H,2,0)</f>
        <v>6</v>
      </c>
      <c r="I26" s="7">
        <f t="shared" si="0"/>
        <v>180</v>
      </c>
      <c r="J26" s="8">
        <v>4</v>
      </c>
      <c r="K26" s="8">
        <v>11</v>
      </c>
      <c r="L26" s="8">
        <v>26</v>
      </c>
      <c r="M26" s="8">
        <v>18</v>
      </c>
      <c r="N26" s="8">
        <v>17</v>
      </c>
      <c r="O26" s="8">
        <v>4</v>
      </c>
      <c r="P26" s="8"/>
      <c r="Q26" s="8"/>
      <c r="R26" s="8"/>
      <c r="S26" s="8"/>
      <c r="T26" s="8"/>
      <c r="U26" s="8"/>
      <c r="V26" s="8">
        <f t="shared" si="1"/>
        <v>80</v>
      </c>
      <c r="W26" s="9">
        <f t="shared" si="2"/>
        <v>13.333333333333334</v>
      </c>
    </row>
    <row r="27" spans="1:23" x14ac:dyDescent="0.3">
      <c r="A27" s="4" t="str">
        <f>VLOOKUP(G27,Data!$A:$G,2,0)</f>
        <v>Sanjoy Paul</v>
      </c>
      <c r="B27" s="4" t="str">
        <f>VLOOKUP(G27,Data!$A:$G,3,0)</f>
        <v>Active</v>
      </c>
      <c r="C27" s="4" t="str">
        <f>VLOOKUP(G27,Data!$A:$G,4,0)</f>
        <v>Siliguri</v>
      </c>
      <c r="D27" s="4" t="str">
        <f>VLOOKUP(G27,Data!$A:$G,5,0)</f>
        <v>Raiganj</v>
      </c>
      <c r="E27" s="4" t="str">
        <f>VLOOKUP(G27,Data!$A:$G,6,0)</f>
        <v>Joydev Das</v>
      </c>
      <c r="F27" s="10" t="str">
        <f>VLOOKUP(G27,Data!$A:$G,7,0)</f>
        <v>2560315042</v>
      </c>
      <c r="G27" s="5">
        <v>27372</v>
      </c>
      <c r="H27" s="7">
        <f>VLOOKUP(G27,'FI txn'!$G:$H,2,0)</f>
        <v>6</v>
      </c>
      <c r="I27" s="7">
        <f t="shared" si="0"/>
        <v>180</v>
      </c>
      <c r="J27" s="8">
        <v>13</v>
      </c>
      <c r="K27" s="8">
        <v>20</v>
      </c>
      <c r="L27" s="8">
        <v>9</v>
      </c>
      <c r="M27" s="8">
        <v>19</v>
      </c>
      <c r="N27" s="8">
        <v>14</v>
      </c>
      <c r="O27" s="8">
        <v>1</v>
      </c>
      <c r="P27" s="8"/>
      <c r="Q27" s="8"/>
      <c r="R27" s="8"/>
      <c r="S27" s="8"/>
      <c r="T27" s="8"/>
      <c r="U27" s="8"/>
      <c r="V27" s="8">
        <f t="shared" si="1"/>
        <v>76</v>
      </c>
      <c r="W27" s="9">
        <f t="shared" si="2"/>
        <v>12.666666666666666</v>
      </c>
    </row>
    <row r="28" spans="1:23" x14ac:dyDescent="0.3">
      <c r="A28" s="4" t="str">
        <f>VLOOKUP(G28,Data!$A:$G,2,0)</f>
        <v>Sunil Biswas</v>
      </c>
      <c r="B28" s="4" t="str">
        <f>VLOOKUP(G28,Data!$A:$G,3,0)</f>
        <v>Active</v>
      </c>
      <c r="C28" s="4" t="str">
        <f>VLOOKUP(G28,Data!$A:$G,4,0)</f>
        <v>Durgapur</v>
      </c>
      <c r="D28" s="4" t="str">
        <f>VLOOKUP(G28,Data!$A:$G,5,0)</f>
        <v>Hidaypur</v>
      </c>
      <c r="E28" s="4" t="str">
        <f>VLOOKUP(G28,Data!$A:$G,6,0)</f>
        <v>Akramul Shaikh</v>
      </c>
      <c r="F28" s="10" t="str">
        <f>VLOOKUP(G28,Data!$A:$G,7,0)</f>
        <v>2430315571</v>
      </c>
      <c r="G28" s="5">
        <v>28485</v>
      </c>
      <c r="H28" s="7">
        <f>VLOOKUP(G28,'FI txn'!$G:$H,2,0)</f>
        <v>6</v>
      </c>
      <c r="I28" s="7">
        <f t="shared" si="0"/>
        <v>180</v>
      </c>
      <c r="J28" s="8">
        <v>4</v>
      </c>
      <c r="K28" s="8">
        <v>29</v>
      </c>
      <c r="L28" s="8">
        <v>9</v>
      </c>
      <c r="M28" s="8">
        <v>22</v>
      </c>
      <c r="N28" s="8">
        <v>9</v>
      </c>
      <c r="O28" s="8"/>
      <c r="P28" s="8"/>
      <c r="Q28" s="8"/>
      <c r="R28" s="8"/>
      <c r="S28" s="8"/>
      <c r="T28" s="8"/>
      <c r="U28" s="8"/>
      <c r="V28" s="8">
        <f t="shared" si="1"/>
        <v>73</v>
      </c>
      <c r="W28" s="9">
        <f t="shared" si="2"/>
        <v>12.166666666666666</v>
      </c>
    </row>
    <row r="29" spans="1:23" x14ac:dyDescent="0.3">
      <c r="A29" s="4" t="str">
        <f>VLOOKUP(G29,Data!$A:$G,2,0)</f>
        <v>Santanu Bera</v>
      </c>
      <c r="B29" s="4" t="str">
        <f>VLOOKUP(G29,Data!$A:$G,3,0)</f>
        <v>Active</v>
      </c>
      <c r="C29" s="4" t="str">
        <f>VLOOKUP(G29,Data!$A:$G,4,0)</f>
        <v>Hooghly</v>
      </c>
      <c r="D29" s="4" t="str">
        <f>VLOOKUP(G29,Data!$A:$G,5,0)</f>
        <v>Panskura</v>
      </c>
      <c r="E29" s="4" t="str">
        <f>VLOOKUP(G29,Data!$A:$G,6,0)</f>
        <v>Kartik Maity</v>
      </c>
      <c r="F29" s="10" t="str">
        <f>VLOOKUP(G29,Data!$A:$G,7,0)</f>
        <v>2380311666</v>
      </c>
      <c r="G29" s="5">
        <v>22404</v>
      </c>
      <c r="H29" s="7">
        <f>VLOOKUP(G29,'FI txn'!$G:$H,2,0)</f>
        <v>6</v>
      </c>
      <c r="I29" s="7">
        <f t="shared" si="0"/>
        <v>180</v>
      </c>
      <c r="J29" s="8">
        <v>7</v>
      </c>
      <c r="K29" s="8">
        <v>15</v>
      </c>
      <c r="L29" s="8">
        <v>12</v>
      </c>
      <c r="M29" s="8">
        <v>23</v>
      </c>
      <c r="N29" s="8">
        <v>7</v>
      </c>
      <c r="O29" s="8">
        <v>1</v>
      </c>
      <c r="P29" s="8"/>
      <c r="Q29" s="8"/>
      <c r="R29" s="8"/>
      <c r="S29" s="8"/>
      <c r="T29" s="8"/>
      <c r="U29" s="8"/>
      <c r="V29" s="8">
        <f t="shared" si="1"/>
        <v>65</v>
      </c>
      <c r="W29" s="9">
        <f t="shared" si="2"/>
        <v>10.833333333333334</v>
      </c>
    </row>
    <row r="30" spans="1:23" x14ac:dyDescent="0.3">
      <c r="A30" s="4" t="str">
        <f>VLOOKUP(G30,Data!$A:$G,2,0)</f>
        <v>Shyamalesh Sarkar</v>
      </c>
      <c r="B30" s="4" t="str">
        <f>VLOOKUP(G30,Data!$A:$G,3,0)</f>
        <v>Active</v>
      </c>
      <c r="C30" s="4" t="str">
        <f>VLOOKUP(G30,Data!$A:$G,4,0)</f>
        <v>Siliguri</v>
      </c>
      <c r="D30" s="4" t="str">
        <f>VLOOKUP(G30,Data!$A:$G,5,0)</f>
        <v>Sagardighi Square</v>
      </c>
      <c r="E30" s="4" t="str">
        <f>VLOOKUP(G30,Data!$A:$G,6,0)</f>
        <v xml:space="preserve">Khurshid Alom </v>
      </c>
      <c r="F30" s="10" t="str">
        <f>VLOOKUP(G30,Data!$A:$G,7,0)</f>
        <v>2200311941</v>
      </c>
      <c r="G30" s="5">
        <v>22768</v>
      </c>
      <c r="H30" s="7">
        <f>VLOOKUP(G30,'FI txn'!$G:$H,2,0)</f>
        <v>6</v>
      </c>
      <c r="I30" s="7">
        <f t="shared" si="0"/>
        <v>180</v>
      </c>
      <c r="J30" s="8">
        <v>6</v>
      </c>
      <c r="K30" s="8">
        <v>4</v>
      </c>
      <c r="L30" s="8">
        <v>17</v>
      </c>
      <c r="M30" s="8">
        <v>19</v>
      </c>
      <c r="N30" s="8">
        <v>17</v>
      </c>
      <c r="O30" s="8">
        <v>1</v>
      </c>
      <c r="P30" s="8"/>
      <c r="Q30" s="8"/>
      <c r="R30" s="8"/>
      <c r="S30" s="8"/>
      <c r="T30" s="8"/>
      <c r="U30" s="8"/>
      <c r="V30" s="8">
        <f t="shared" si="1"/>
        <v>64</v>
      </c>
      <c r="W30" s="9">
        <f t="shared" si="2"/>
        <v>10.666666666666666</v>
      </c>
    </row>
    <row r="31" spans="1:23" x14ac:dyDescent="0.3">
      <c r="A31" s="4" t="str">
        <f>VLOOKUP(G31,Data!$A:$G,2,0)</f>
        <v>Sunil Biswas</v>
      </c>
      <c r="B31" s="4" t="str">
        <f>VLOOKUP(G31,Data!$A:$G,3,0)</f>
        <v>Active</v>
      </c>
      <c r="C31" s="4" t="str">
        <f>VLOOKUP(G31,Data!$A:$G,4,0)</f>
        <v>Durgapur</v>
      </c>
      <c r="D31" s="4" t="str">
        <f>VLOOKUP(G31,Data!$A:$G,5,0)</f>
        <v>Santipur</v>
      </c>
      <c r="E31" s="4" t="str">
        <f>VLOOKUP(G31,Data!$A:$G,6,0)</f>
        <v>Najmira Khatun</v>
      </c>
      <c r="F31" s="10" t="str">
        <f>VLOOKUP(G31,Data!$A:$G,7,0)</f>
        <v>2430315335</v>
      </c>
      <c r="G31" s="5">
        <v>28075</v>
      </c>
      <c r="H31" s="7">
        <f>VLOOKUP(G31,'FI txn'!$G:$H,2,0)</f>
        <v>6</v>
      </c>
      <c r="I31" s="7">
        <f t="shared" si="0"/>
        <v>180</v>
      </c>
      <c r="J31" s="8">
        <v>7</v>
      </c>
      <c r="K31" s="8">
        <v>12</v>
      </c>
      <c r="L31" s="8">
        <v>9</v>
      </c>
      <c r="M31" s="8">
        <v>22</v>
      </c>
      <c r="N31" s="8">
        <v>10</v>
      </c>
      <c r="O31" s="8">
        <v>4</v>
      </c>
      <c r="P31" s="8"/>
      <c r="Q31" s="8"/>
      <c r="R31" s="8"/>
      <c r="S31" s="8"/>
      <c r="T31" s="8"/>
      <c r="U31" s="8"/>
      <c r="V31" s="8">
        <f t="shared" si="1"/>
        <v>64</v>
      </c>
      <c r="W31" s="9">
        <f t="shared" si="2"/>
        <v>10.666666666666666</v>
      </c>
    </row>
    <row r="32" spans="1:23" x14ac:dyDescent="0.3">
      <c r="A32" s="4" t="str">
        <f>VLOOKUP(G32,Data!$A:$G,2,0)</f>
        <v>Rajiul Momin</v>
      </c>
      <c r="B32" s="4" t="str">
        <f>VLOOKUP(G32,Data!$A:$G,3,0)</f>
        <v>Active</v>
      </c>
      <c r="C32" s="4" t="str">
        <f>VLOOKUP(G32,Data!$A:$G,4,0)</f>
        <v>Siliguri</v>
      </c>
      <c r="D32" s="4" t="str">
        <f>VLOOKUP(G32,Data!$A:$G,5,0)</f>
        <v>Inyathpur</v>
      </c>
      <c r="E32" s="4" t="str">
        <f>VLOOKUP(G32,Data!$A:$G,6,0)</f>
        <v>Tumpa Poddar</v>
      </c>
      <c r="F32" s="10" t="str">
        <f>VLOOKUP(G32,Data!$A:$G,7,0)</f>
        <v>2370312246</v>
      </c>
      <c r="G32" s="5">
        <v>23178</v>
      </c>
      <c r="H32" s="7">
        <f>VLOOKUP(G32,'FI txn'!$G:$H,2,0)</f>
        <v>6</v>
      </c>
      <c r="I32" s="7">
        <f t="shared" si="0"/>
        <v>180</v>
      </c>
      <c r="J32" s="8">
        <v>11</v>
      </c>
      <c r="K32" s="8">
        <v>14</v>
      </c>
      <c r="L32" s="8">
        <v>11</v>
      </c>
      <c r="M32" s="8">
        <v>18</v>
      </c>
      <c r="N32" s="8">
        <v>6</v>
      </c>
      <c r="O32" s="8">
        <v>4</v>
      </c>
      <c r="P32" s="8"/>
      <c r="Q32" s="8"/>
      <c r="R32" s="8"/>
      <c r="S32" s="8"/>
      <c r="T32" s="8"/>
      <c r="U32" s="8"/>
      <c r="V32" s="8">
        <f t="shared" si="1"/>
        <v>64</v>
      </c>
      <c r="W32" s="9">
        <f t="shared" si="2"/>
        <v>10.666666666666666</v>
      </c>
    </row>
    <row r="33" spans="1:23" x14ac:dyDescent="0.3">
      <c r="A33" s="4" t="str">
        <f>VLOOKUP(G33,Data!$A:$G,2,0)</f>
        <v>Chandi Charan Mahato</v>
      </c>
      <c r="B33" s="4" t="str">
        <f>VLOOKUP(G33,Data!$A:$G,3,0)</f>
        <v>Active</v>
      </c>
      <c r="C33" s="4" t="str">
        <f>VLOOKUP(G33,Data!$A:$G,4,0)</f>
        <v>Durgapur</v>
      </c>
      <c r="D33" s="4" t="str">
        <f>VLOOKUP(G33,Data!$A:$G,5,0)</f>
        <v>Patrasayer</v>
      </c>
      <c r="E33" s="4" t="str">
        <f>VLOOKUP(G33,Data!$A:$G,6,0)</f>
        <v>Satish Ankure</v>
      </c>
      <c r="F33" s="10" t="str">
        <f>VLOOKUP(G33,Data!$A:$G,7,0)</f>
        <v>2160314679</v>
      </c>
      <c r="G33" s="5">
        <v>26810</v>
      </c>
      <c r="H33" s="7">
        <f>VLOOKUP(G33,'FI txn'!$G:$H,2,0)</f>
        <v>6</v>
      </c>
      <c r="I33" s="7">
        <f t="shared" si="0"/>
        <v>180</v>
      </c>
      <c r="J33" s="8">
        <v>6</v>
      </c>
      <c r="K33" s="8">
        <v>6</v>
      </c>
      <c r="L33" s="8">
        <v>5</v>
      </c>
      <c r="M33" s="8">
        <v>25</v>
      </c>
      <c r="N33" s="8">
        <v>21</v>
      </c>
      <c r="O33" s="8"/>
      <c r="P33" s="8"/>
      <c r="Q33" s="8"/>
      <c r="R33" s="8"/>
      <c r="S33" s="8"/>
      <c r="T33" s="8"/>
      <c r="U33" s="8"/>
      <c r="V33" s="8">
        <f t="shared" si="1"/>
        <v>63</v>
      </c>
      <c r="W33" s="9">
        <f t="shared" si="2"/>
        <v>10.5</v>
      </c>
    </row>
    <row r="34" spans="1:23" x14ac:dyDescent="0.3">
      <c r="A34" s="4" t="str">
        <f>VLOOKUP(G34,Data!$A:$G,2,0)</f>
        <v>Rajendra Kumar Bapari</v>
      </c>
      <c r="B34" s="4" t="str">
        <f>VLOOKUP(G34,Data!$A:$G,3,0)</f>
        <v>Active</v>
      </c>
      <c r="C34" s="4" t="str">
        <f>VLOOKUP(G34,Data!$A:$G,4,0)</f>
        <v>Durgapur</v>
      </c>
      <c r="D34" s="4" t="str">
        <f>VLOOKUP(G34,Data!$A:$G,5,0)</f>
        <v>Kushodanga</v>
      </c>
      <c r="E34" s="4" t="str">
        <f>VLOOKUP(G34,Data!$A:$G,6,0)</f>
        <v>Priti Das</v>
      </c>
      <c r="F34" s="10" t="str">
        <f>VLOOKUP(G34,Data!$A:$G,7,0)</f>
        <v>3390315408</v>
      </c>
      <c r="G34" s="5">
        <v>28176</v>
      </c>
      <c r="H34" s="7">
        <f>VLOOKUP(G34,'FI txn'!$G:$H,2,0)</f>
        <v>6</v>
      </c>
      <c r="I34" s="7">
        <f t="shared" ref="I34:I65" si="3">H34*30</f>
        <v>180</v>
      </c>
      <c r="J34" s="8">
        <v>5</v>
      </c>
      <c r="K34" s="8">
        <v>5</v>
      </c>
      <c r="L34" s="8">
        <v>9</v>
      </c>
      <c r="M34" s="8">
        <v>20</v>
      </c>
      <c r="N34" s="8">
        <v>17</v>
      </c>
      <c r="O34" s="8">
        <v>7</v>
      </c>
      <c r="P34" s="8"/>
      <c r="Q34" s="8"/>
      <c r="R34" s="8"/>
      <c r="S34" s="8"/>
      <c r="T34" s="8"/>
      <c r="U34" s="8"/>
      <c r="V34" s="8">
        <f t="shared" ref="V34:V65" si="4">SUM(J34:U34)</f>
        <v>63</v>
      </c>
      <c r="W34" s="9">
        <f t="shared" ref="W34:W65" si="5">V34/H34</f>
        <v>10.5</v>
      </c>
    </row>
    <row r="35" spans="1:23" x14ac:dyDescent="0.3">
      <c r="A35" s="4" t="str">
        <f>VLOOKUP(G35,Data!$A:$G,2,0)</f>
        <v>Under Office (W Medinipur)</v>
      </c>
      <c r="B35" s="4" t="str">
        <f>VLOOKUP(G35,Data!$A:$G,3,0)</f>
        <v>Active</v>
      </c>
      <c r="C35" s="4" t="str">
        <f>VLOOKUP(G35,Data!$A:$G,4,0)</f>
        <v>Hooghly</v>
      </c>
      <c r="D35" s="4" t="str">
        <f>VLOOKUP(G35,Data!$A:$G,5,0)</f>
        <v>Ghatal</v>
      </c>
      <c r="E35" s="4" t="str">
        <f>VLOOKUP(G35,Data!$A:$G,6,0)</f>
        <v>Chandan Satik</v>
      </c>
      <c r="F35" s="10" t="str">
        <f>VLOOKUP(G35,Data!$A:$G,7,0)</f>
        <v>2390311662</v>
      </c>
      <c r="G35" s="5">
        <v>22400</v>
      </c>
      <c r="H35" s="7">
        <f>VLOOKUP(G35,'FI txn'!$G:$H,2,0)</f>
        <v>6</v>
      </c>
      <c r="I35" s="7">
        <f t="shared" si="3"/>
        <v>180</v>
      </c>
      <c r="J35" s="8">
        <v>4</v>
      </c>
      <c r="K35" s="8">
        <v>4</v>
      </c>
      <c r="L35" s="8">
        <v>18</v>
      </c>
      <c r="M35" s="8">
        <v>20</v>
      </c>
      <c r="N35" s="8">
        <v>13</v>
      </c>
      <c r="O35" s="8">
        <v>1</v>
      </c>
      <c r="P35" s="8"/>
      <c r="Q35" s="8"/>
      <c r="R35" s="8"/>
      <c r="S35" s="8"/>
      <c r="T35" s="8"/>
      <c r="U35" s="8"/>
      <c r="V35" s="8">
        <f t="shared" si="4"/>
        <v>60</v>
      </c>
      <c r="W35" s="9">
        <f t="shared" si="5"/>
        <v>10</v>
      </c>
    </row>
    <row r="36" spans="1:23" x14ac:dyDescent="0.3">
      <c r="A36" s="4" t="str">
        <f>VLOOKUP(G36,Data!$A:$G,2,0)</f>
        <v>Souvik Maity</v>
      </c>
      <c r="B36" s="4" t="str">
        <f>VLOOKUP(G36,Data!$A:$G,3,0)</f>
        <v>Active</v>
      </c>
      <c r="C36" s="4" t="str">
        <f>VLOOKUP(G36,Data!$A:$G,4,0)</f>
        <v>Hooghly</v>
      </c>
      <c r="D36" s="4" t="str">
        <f>VLOOKUP(G36,Data!$A:$G,5,0)</f>
        <v>Kamarpara</v>
      </c>
      <c r="E36" s="4" t="str">
        <f>VLOOKUP(G36,Data!$A:$G,6,0)</f>
        <v>Md Mustakim</v>
      </c>
      <c r="F36" s="10" t="str">
        <f>VLOOKUP(G36,Data!$A:$G,7,0)</f>
        <v>3390312441</v>
      </c>
      <c r="G36" s="5">
        <v>23433</v>
      </c>
      <c r="H36" s="7">
        <f>VLOOKUP(G36,'FI txn'!$G:$H,2,0)</f>
        <v>6</v>
      </c>
      <c r="I36" s="7">
        <f t="shared" si="3"/>
        <v>180</v>
      </c>
      <c r="J36" s="8">
        <v>7</v>
      </c>
      <c r="K36" s="8">
        <v>14</v>
      </c>
      <c r="L36" s="8">
        <v>18</v>
      </c>
      <c r="M36" s="8">
        <v>15</v>
      </c>
      <c r="N36" s="8">
        <v>5</v>
      </c>
      <c r="O36" s="8">
        <v>1</v>
      </c>
      <c r="P36" s="8"/>
      <c r="Q36" s="8"/>
      <c r="R36" s="8"/>
      <c r="S36" s="8"/>
      <c r="T36" s="8"/>
      <c r="U36" s="8"/>
      <c r="V36" s="8">
        <f t="shared" si="4"/>
        <v>60</v>
      </c>
      <c r="W36" s="9">
        <f t="shared" si="5"/>
        <v>10</v>
      </c>
    </row>
    <row r="37" spans="1:23" x14ac:dyDescent="0.3">
      <c r="A37" s="4" t="str">
        <f>VLOOKUP(G37,Data!$A:$G,2,0)</f>
        <v>Under Office (Birbhum)</v>
      </c>
      <c r="B37" s="4" t="str">
        <f>VLOOKUP(G37,Data!$A:$G,3,0)</f>
        <v>Active</v>
      </c>
      <c r="C37" s="4" t="str">
        <f>VLOOKUP(G37,Data!$A:$G,4,0)</f>
        <v>Siliguri</v>
      </c>
      <c r="D37" s="4" t="str">
        <f>VLOOKUP(G37,Data!$A:$G,5,0)</f>
        <v>Jajigram</v>
      </c>
      <c r="E37" s="4" t="str">
        <f>VLOOKUP(G37,Data!$A:$G,6,0)</f>
        <v>Mosaraf Sk</v>
      </c>
      <c r="F37" s="10" t="str">
        <f>VLOOKUP(G37,Data!$A:$G,7,0)</f>
        <v>0140311323</v>
      </c>
      <c r="G37" s="5">
        <v>21998</v>
      </c>
      <c r="H37" s="7">
        <f>VLOOKUP(G37,'FI txn'!$G:$H,2,0)</f>
        <v>6</v>
      </c>
      <c r="I37" s="7">
        <f t="shared" si="3"/>
        <v>180</v>
      </c>
      <c r="J37" s="8">
        <v>4</v>
      </c>
      <c r="K37" s="8">
        <v>2</v>
      </c>
      <c r="L37" s="8">
        <v>15</v>
      </c>
      <c r="M37" s="8">
        <v>13</v>
      </c>
      <c r="N37" s="8">
        <v>15</v>
      </c>
      <c r="O37" s="8">
        <v>4</v>
      </c>
      <c r="P37" s="8"/>
      <c r="Q37" s="8"/>
      <c r="R37" s="8"/>
      <c r="S37" s="8"/>
      <c r="T37" s="8"/>
      <c r="U37" s="8"/>
      <c r="V37" s="8">
        <f t="shared" si="4"/>
        <v>53</v>
      </c>
      <c r="W37" s="9">
        <f t="shared" si="5"/>
        <v>8.8333333333333339</v>
      </c>
    </row>
    <row r="38" spans="1:23" x14ac:dyDescent="0.3">
      <c r="A38" s="4" t="str">
        <f>VLOOKUP(G38,Data!$A:$G,2,0)</f>
        <v>Santanu Bera</v>
      </c>
      <c r="B38" s="4" t="str">
        <f>VLOOKUP(G38,Data!$A:$G,3,0)</f>
        <v>Active</v>
      </c>
      <c r="C38" s="4" t="str">
        <f>VLOOKUP(G38,Data!$A:$G,4,0)</f>
        <v>Hooghly</v>
      </c>
      <c r="D38" s="4" t="str">
        <f>VLOOKUP(G38,Data!$A:$G,5,0)</f>
        <v>Kolaghat (Ktpps)</v>
      </c>
      <c r="E38" s="4" t="str">
        <f>VLOOKUP(G38,Data!$A:$G,6,0)</f>
        <v>Sudipta Mandal</v>
      </c>
      <c r="F38" s="10" t="str">
        <f>VLOOKUP(G38,Data!$A:$G,7,0)</f>
        <v>2380315163</v>
      </c>
      <c r="G38" s="5">
        <v>27637</v>
      </c>
      <c r="H38" s="7">
        <f>VLOOKUP(G38,'FI txn'!$G:$H,2,0)</f>
        <v>6</v>
      </c>
      <c r="I38" s="7">
        <f t="shared" si="3"/>
        <v>180</v>
      </c>
      <c r="J38" s="8">
        <v>3</v>
      </c>
      <c r="K38" s="8">
        <v>7</v>
      </c>
      <c r="L38" s="8">
        <v>6</v>
      </c>
      <c r="M38" s="8">
        <v>24</v>
      </c>
      <c r="N38" s="8">
        <v>11</v>
      </c>
      <c r="O38" s="8">
        <v>1</v>
      </c>
      <c r="P38" s="8"/>
      <c r="Q38" s="8"/>
      <c r="R38" s="8"/>
      <c r="S38" s="8"/>
      <c r="T38" s="8"/>
      <c r="U38" s="8"/>
      <c r="V38" s="8">
        <f t="shared" si="4"/>
        <v>52</v>
      </c>
      <c r="W38" s="9">
        <f t="shared" si="5"/>
        <v>8.6666666666666661</v>
      </c>
    </row>
    <row r="39" spans="1:23" x14ac:dyDescent="0.3">
      <c r="A39" s="4" t="str">
        <f>VLOOKUP(G39,Data!$A:$G,2,0)</f>
        <v>Under Office (W Medinipur)</v>
      </c>
      <c r="B39" s="4" t="str">
        <f>VLOOKUP(G39,Data!$A:$G,3,0)</f>
        <v>Active</v>
      </c>
      <c r="C39" s="4" t="str">
        <f>VLOOKUP(G39,Data!$A:$G,4,0)</f>
        <v>Hooghly</v>
      </c>
      <c r="D39" s="4" t="str">
        <f>VLOOKUP(G39,Data!$A:$G,5,0)</f>
        <v>Ramjibanpur</v>
      </c>
      <c r="E39" s="4" t="str">
        <f>VLOOKUP(G39,Data!$A:$G,6,0)</f>
        <v>Abhijit Modak</v>
      </c>
      <c r="F39" s="10" t="str">
        <f>VLOOKUP(G39,Data!$A:$G,7,0)</f>
        <v>3390311425</v>
      </c>
      <c r="G39" s="5">
        <v>22131</v>
      </c>
      <c r="H39" s="7">
        <f>VLOOKUP(G39,'FI txn'!$G:$H,2,0)</f>
        <v>6</v>
      </c>
      <c r="I39" s="7">
        <f t="shared" si="3"/>
        <v>180</v>
      </c>
      <c r="J39" s="8">
        <v>5</v>
      </c>
      <c r="K39" s="8">
        <v>22</v>
      </c>
      <c r="L39" s="8">
        <v>5</v>
      </c>
      <c r="M39" s="8">
        <v>11</v>
      </c>
      <c r="N39" s="8">
        <v>8</v>
      </c>
      <c r="O39" s="8">
        <v>1</v>
      </c>
      <c r="P39" s="8"/>
      <c r="Q39" s="8"/>
      <c r="R39" s="8"/>
      <c r="S39" s="8"/>
      <c r="T39" s="8"/>
      <c r="U39" s="8"/>
      <c r="V39" s="8">
        <f t="shared" si="4"/>
        <v>52</v>
      </c>
      <c r="W39" s="9">
        <f t="shared" si="5"/>
        <v>8.6666666666666661</v>
      </c>
    </row>
    <row r="40" spans="1:23" x14ac:dyDescent="0.3">
      <c r="A40" s="4" t="str">
        <f>VLOOKUP(G40,Data!$A:$G,2,0)</f>
        <v>Sunil Biswas</v>
      </c>
      <c r="B40" s="4" t="str">
        <f>VLOOKUP(G40,Data!$A:$G,3,0)</f>
        <v>Inactive</v>
      </c>
      <c r="C40" s="4" t="str">
        <f>VLOOKUP(G40,Data!$A:$G,4,0)</f>
        <v>Durgapur</v>
      </c>
      <c r="D40" s="4" t="str">
        <f>VLOOKUP(G40,Data!$A:$G,5,0)</f>
        <v>Santipur</v>
      </c>
      <c r="E40" s="4" t="str">
        <f>VLOOKUP(G40,Data!$A:$G,6,0)</f>
        <v>Dipanwita Das</v>
      </c>
      <c r="F40" s="10" t="str">
        <f>VLOOKUP(G40,Data!$A:$G,7,0)</f>
        <v>2430315569</v>
      </c>
      <c r="G40" s="5">
        <v>28483</v>
      </c>
      <c r="H40" s="7">
        <f>VLOOKUP(G40,'FI txn'!$G:$H,2,0)</f>
        <v>5</v>
      </c>
      <c r="I40" s="7">
        <f t="shared" si="3"/>
        <v>150</v>
      </c>
      <c r="J40" s="8">
        <v>2</v>
      </c>
      <c r="K40" s="8"/>
      <c r="L40" s="8">
        <v>26</v>
      </c>
      <c r="M40" s="8">
        <v>8</v>
      </c>
      <c r="N40" s="8">
        <v>11</v>
      </c>
      <c r="O40" s="8">
        <v>3</v>
      </c>
      <c r="P40" s="8"/>
      <c r="Q40" s="8"/>
      <c r="R40" s="8"/>
      <c r="S40" s="8"/>
      <c r="T40" s="8"/>
      <c r="U40" s="8"/>
      <c r="V40" s="8">
        <f t="shared" si="4"/>
        <v>50</v>
      </c>
      <c r="W40" s="9">
        <f t="shared" si="5"/>
        <v>10</v>
      </c>
    </row>
    <row r="41" spans="1:23" x14ac:dyDescent="0.3">
      <c r="A41" s="4" t="str">
        <f>VLOOKUP(G41,Data!$A:$G,2,0)</f>
        <v>Souvik Maity</v>
      </c>
      <c r="B41" s="4" t="str">
        <f>VLOOKUP(G41,Data!$A:$G,3,0)</f>
        <v>Active</v>
      </c>
      <c r="C41" s="4" t="str">
        <f>VLOOKUP(G41,Data!$A:$G,4,0)</f>
        <v>Hooghly</v>
      </c>
      <c r="D41" s="4" t="str">
        <f>VLOOKUP(G41,Data!$A:$G,5,0)</f>
        <v>Dhanyaghori</v>
      </c>
      <c r="E41" s="4" t="str">
        <f>VLOOKUP(G41,Data!$A:$G,6,0)</f>
        <v>Pratik Chakraborty</v>
      </c>
      <c r="F41" s="10" t="str">
        <f>VLOOKUP(G41,Data!$A:$G,7,0)</f>
        <v>3390311946</v>
      </c>
      <c r="G41" s="5">
        <v>22773</v>
      </c>
      <c r="H41" s="7">
        <f>VLOOKUP(G41,'FI txn'!$G:$H,2,0)</f>
        <v>6</v>
      </c>
      <c r="I41" s="7">
        <f t="shared" si="3"/>
        <v>180</v>
      </c>
      <c r="J41" s="8">
        <v>4</v>
      </c>
      <c r="K41" s="8">
        <v>7</v>
      </c>
      <c r="L41" s="8">
        <v>15</v>
      </c>
      <c r="M41" s="8">
        <v>17</v>
      </c>
      <c r="N41" s="8">
        <v>5</v>
      </c>
      <c r="O41" s="8">
        <v>1</v>
      </c>
      <c r="P41" s="8"/>
      <c r="Q41" s="8"/>
      <c r="R41" s="8"/>
      <c r="S41" s="8"/>
      <c r="T41" s="8"/>
      <c r="U41" s="8"/>
      <c r="V41" s="8">
        <f t="shared" si="4"/>
        <v>49</v>
      </c>
      <c r="W41" s="9">
        <f t="shared" si="5"/>
        <v>8.1666666666666661</v>
      </c>
    </row>
    <row r="42" spans="1:23" x14ac:dyDescent="0.3">
      <c r="A42" s="4" t="str">
        <f>VLOOKUP(G42,Data!$A:$G,2,0)</f>
        <v>Under Office (Birbhum)</v>
      </c>
      <c r="B42" s="4" t="str">
        <f>VLOOKUP(G42,Data!$A:$G,3,0)</f>
        <v>Active</v>
      </c>
      <c r="C42" s="4" t="str">
        <f>VLOOKUP(G42,Data!$A:$G,4,0)</f>
        <v>Siliguri</v>
      </c>
      <c r="D42" s="4" t="str">
        <f>VLOOKUP(G42,Data!$A:$G,5,0)</f>
        <v>Mangaldihi</v>
      </c>
      <c r="E42" s="4" t="str">
        <f>VLOOKUP(G42,Data!$A:$G,6,0)</f>
        <v>Ruma Bagdi</v>
      </c>
      <c r="F42" s="10" t="str">
        <f>VLOOKUP(G42,Data!$A:$G,7,0)</f>
        <v>0140311670</v>
      </c>
      <c r="G42" s="5">
        <v>27028</v>
      </c>
      <c r="H42" s="7">
        <f>VLOOKUP(G42,'FI txn'!$G:$H,2,0)</f>
        <v>6</v>
      </c>
      <c r="I42" s="7">
        <f t="shared" si="3"/>
        <v>180</v>
      </c>
      <c r="J42" s="8">
        <v>3</v>
      </c>
      <c r="K42" s="8">
        <v>5</v>
      </c>
      <c r="L42" s="8">
        <v>11</v>
      </c>
      <c r="M42" s="8">
        <v>16</v>
      </c>
      <c r="N42" s="8">
        <v>10</v>
      </c>
      <c r="O42" s="8">
        <v>3</v>
      </c>
      <c r="P42" s="8"/>
      <c r="Q42" s="8"/>
      <c r="R42" s="8"/>
      <c r="S42" s="8"/>
      <c r="T42" s="8"/>
      <c r="U42" s="8"/>
      <c r="V42" s="8">
        <f t="shared" si="4"/>
        <v>48</v>
      </c>
      <c r="W42" s="9">
        <f t="shared" si="5"/>
        <v>8</v>
      </c>
    </row>
    <row r="43" spans="1:23" x14ac:dyDescent="0.3">
      <c r="A43" s="4" t="str">
        <f>VLOOKUP(G43,Data!$A:$G,2,0)</f>
        <v>Under Office (Birbhum)</v>
      </c>
      <c r="B43" s="4" t="str">
        <f>VLOOKUP(G43,Data!$A:$G,3,0)</f>
        <v>Active</v>
      </c>
      <c r="C43" s="4" t="str">
        <f>VLOOKUP(G43,Data!$A:$G,4,0)</f>
        <v>Siliguri</v>
      </c>
      <c r="D43" s="4" t="str">
        <f>VLOOKUP(G43,Data!$A:$G,5,0)</f>
        <v>Dharampur</v>
      </c>
      <c r="E43" s="4" t="str">
        <f>VLOOKUP(G43,Data!$A:$G,6,0)</f>
        <v>Md Zulfikar Ali</v>
      </c>
      <c r="F43" s="10" t="str">
        <f>VLOOKUP(G43,Data!$A:$G,7,0)</f>
        <v>0140315201</v>
      </c>
      <c r="G43" s="5">
        <v>27792</v>
      </c>
      <c r="H43" s="7">
        <f>VLOOKUP(G43,'FI txn'!$G:$H,2,0)</f>
        <v>6</v>
      </c>
      <c r="I43" s="7">
        <f t="shared" si="3"/>
        <v>180</v>
      </c>
      <c r="J43" s="8">
        <v>2</v>
      </c>
      <c r="K43" s="8">
        <v>11</v>
      </c>
      <c r="L43" s="8">
        <v>15</v>
      </c>
      <c r="M43" s="8">
        <v>12</v>
      </c>
      <c r="N43" s="8">
        <v>6</v>
      </c>
      <c r="O43" s="8">
        <v>2</v>
      </c>
      <c r="P43" s="8"/>
      <c r="Q43" s="8"/>
      <c r="R43" s="8"/>
      <c r="S43" s="8"/>
      <c r="T43" s="8"/>
      <c r="U43" s="8"/>
      <c r="V43" s="8">
        <f t="shared" si="4"/>
        <v>48</v>
      </c>
      <c r="W43" s="9">
        <f t="shared" si="5"/>
        <v>8</v>
      </c>
    </row>
    <row r="44" spans="1:23" x14ac:dyDescent="0.3">
      <c r="A44" s="4" t="str">
        <f>VLOOKUP(G44,Data!$A:$G,2,0)</f>
        <v>Manindra Nath Barman</v>
      </c>
      <c r="B44" s="4" t="str">
        <f>VLOOKUP(G44,Data!$A:$G,3,0)</f>
        <v>Active</v>
      </c>
      <c r="C44" s="4" t="str">
        <f>VLOOKUP(G44,Data!$A:$G,4,0)</f>
        <v>Siliguri</v>
      </c>
      <c r="D44" s="4" t="str">
        <f>VLOOKUP(G44,Data!$A:$G,5,0)</f>
        <v>Barobisha</v>
      </c>
      <c r="E44" s="4" t="str">
        <f>VLOOKUP(G44,Data!$A:$G,6,0)</f>
        <v>Sankar Arya</v>
      </c>
      <c r="F44" s="10" t="str">
        <f>VLOOKUP(G44,Data!$A:$G,7,0)</f>
        <v>2200315639</v>
      </c>
      <c r="G44" s="5">
        <v>28692</v>
      </c>
      <c r="H44" s="7">
        <f>VLOOKUP(G44,'FI txn'!$G:$H,2,0)</f>
        <v>6</v>
      </c>
      <c r="I44" s="7">
        <f t="shared" si="3"/>
        <v>180</v>
      </c>
      <c r="J44" s="8">
        <v>4</v>
      </c>
      <c r="K44" s="8">
        <v>4</v>
      </c>
      <c r="L44" s="8">
        <v>16</v>
      </c>
      <c r="M44" s="8">
        <v>10</v>
      </c>
      <c r="N44" s="8">
        <v>12</v>
      </c>
      <c r="O44" s="8">
        <v>1</v>
      </c>
      <c r="P44" s="8"/>
      <c r="Q44" s="8"/>
      <c r="R44" s="8"/>
      <c r="S44" s="8"/>
      <c r="T44" s="8"/>
      <c r="U44" s="8"/>
      <c r="V44" s="8">
        <f t="shared" si="4"/>
        <v>47</v>
      </c>
      <c r="W44" s="9">
        <f t="shared" si="5"/>
        <v>7.833333333333333</v>
      </c>
    </row>
    <row r="45" spans="1:23" x14ac:dyDescent="0.3">
      <c r="A45" s="4" t="str">
        <f>VLOOKUP(G45,Data!$A:$G,2,0)</f>
        <v>Chandi Charan Mahato</v>
      </c>
      <c r="B45" s="4" t="str">
        <f>VLOOKUP(G45,Data!$A:$G,3,0)</f>
        <v>Inactive</v>
      </c>
      <c r="C45" s="4" t="str">
        <f>VLOOKUP(G45,Data!$A:$G,4,0)</f>
        <v>Durgapur</v>
      </c>
      <c r="D45" s="4" t="str">
        <f>VLOOKUP(G45,Data!$A:$G,5,0)</f>
        <v>Patrasayer</v>
      </c>
      <c r="E45" s="4" t="str">
        <f>VLOOKUP(G45,Data!$A:$G,6,0)</f>
        <v>Bula Karmakar</v>
      </c>
      <c r="F45" s="10" t="str">
        <f>VLOOKUP(G45,Data!$A:$G,7,0)</f>
        <v>2160315824</v>
      </c>
      <c r="G45" s="5">
        <v>29069</v>
      </c>
      <c r="H45" s="7">
        <f>VLOOKUP(G45,'FI txn'!$G:$H,2,0)</f>
        <v>5</v>
      </c>
      <c r="I45" s="7">
        <f t="shared" si="3"/>
        <v>150</v>
      </c>
      <c r="J45" s="8">
        <v>5</v>
      </c>
      <c r="K45" s="8">
        <v>9</v>
      </c>
      <c r="L45" s="8">
        <v>20</v>
      </c>
      <c r="M45" s="8">
        <v>8</v>
      </c>
      <c r="N45" s="8">
        <v>4</v>
      </c>
      <c r="O45" s="8">
        <v>1</v>
      </c>
      <c r="P45" s="8"/>
      <c r="Q45" s="8"/>
      <c r="R45" s="8"/>
      <c r="S45" s="8"/>
      <c r="T45" s="8"/>
      <c r="U45" s="8"/>
      <c r="V45" s="8">
        <f t="shared" si="4"/>
        <v>47</v>
      </c>
      <c r="W45" s="9">
        <f t="shared" si="5"/>
        <v>9.4</v>
      </c>
    </row>
    <row r="46" spans="1:23" x14ac:dyDescent="0.3">
      <c r="A46" s="4" t="str">
        <f>VLOOKUP(G46,Data!$A:$G,2,0)</f>
        <v>Under Office (W Medinipur)</v>
      </c>
      <c r="B46" s="4" t="str">
        <f>VLOOKUP(G46,Data!$A:$G,3,0)</f>
        <v>Active</v>
      </c>
      <c r="C46" s="4" t="str">
        <f>VLOOKUP(G46,Data!$A:$G,4,0)</f>
        <v>Hooghly</v>
      </c>
      <c r="D46" s="4" t="str">
        <f>VLOOKUP(G46,Data!$A:$G,5,0)</f>
        <v>Guiadaha</v>
      </c>
      <c r="E46" s="4" t="str">
        <f>VLOOKUP(G46,Data!$A:$G,6,0)</f>
        <v>Munmun Chakraborty</v>
      </c>
      <c r="F46" s="10" t="str">
        <f>VLOOKUP(G46,Data!$A:$G,7,0)</f>
        <v>2390312218</v>
      </c>
      <c r="G46" s="5">
        <v>23142</v>
      </c>
      <c r="H46" s="7">
        <f>VLOOKUP(G46,'FI txn'!$G:$H,2,0)</f>
        <v>6</v>
      </c>
      <c r="I46" s="7">
        <f t="shared" si="3"/>
        <v>180</v>
      </c>
      <c r="J46" s="8">
        <v>5</v>
      </c>
      <c r="K46" s="8">
        <v>3</v>
      </c>
      <c r="L46" s="8">
        <v>3</v>
      </c>
      <c r="M46" s="8">
        <v>16</v>
      </c>
      <c r="N46" s="8">
        <v>14</v>
      </c>
      <c r="O46" s="8">
        <v>1</v>
      </c>
      <c r="P46" s="8"/>
      <c r="Q46" s="8"/>
      <c r="R46" s="8"/>
      <c r="S46" s="8"/>
      <c r="T46" s="8"/>
      <c r="U46" s="8"/>
      <c r="V46" s="8">
        <f t="shared" si="4"/>
        <v>42</v>
      </c>
      <c r="W46" s="9">
        <f t="shared" si="5"/>
        <v>7</v>
      </c>
    </row>
    <row r="47" spans="1:23" x14ac:dyDescent="0.3">
      <c r="A47" s="4" t="str">
        <f>VLOOKUP(G47,Data!$A:$G,2,0)</f>
        <v>Under Office (W Medinipur)</v>
      </c>
      <c r="B47" s="4" t="str">
        <f>VLOOKUP(G47,Data!$A:$G,3,0)</f>
        <v>Active</v>
      </c>
      <c r="C47" s="4" t="str">
        <f>VLOOKUP(G47,Data!$A:$G,4,0)</f>
        <v>Hooghly</v>
      </c>
      <c r="D47" s="4" t="str">
        <f>VLOOKUP(G47,Data!$A:$G,5,0)</f>
        <v>Ramjibanpur</v>
      </c>
      <c r="E47" s="4" t="str">
        <f>VLOOKUP(G47,Data!$A:$G,6,0)</f>
        <v xml:space="preserve">Mahadeb Das </v>
      </c>
      <c r="F47" s="10" t="str">
        <f>VLOOKUP(G47,Data!$A:$G,7,0)</f>
        <v>3390315155</v>
      </c>
      <c r="G47" s="5">
        <v>27629</v>
      </c>
      <c r="H47" s="7">
        <f>VLOOKUP(G47,'FI txn'!$G:$H,2,0)</f>
        <v>6</v>
      </c>
      <c r="I47" s="7">
        <f t="shared" si="3"/>
        <v>180</v>
      </c>
      <c r="J47" s="8">
        <v>6</v>
      </c>
      <c r="K47" s="8">
        <v>7</v>
      </c>
      <c r="L47" s="8">
        <v>16</v>
      </c>
      <c r="M47" s="8">
        <v>6</v>
      </c>
      <c r="N47" s="8">
        <v>7</v>
      </c>
      <c r="O47" s="8"/>
      <c r="P47" s="8"/>
      <c r="Q47" s="8"/>
      <c r="R47" s="8"/>
      <c r="S47" s="8"/>
      <c r="T47" s="8"/>
      <c r="U47" s="8"/>
      <c r="V47" s="8">
        <f t="shared" si="4"/>
        <v>42</v>
      </c>
      <c r="W47" s="9">
        <f t="shared" si="5"/>
        <v>7</v>
      </c>
    </row>
    <row r="48" spans="1:23" x14ac:dyDescent="0.3">
      <c r="A48" s="4" t="str">
        <f>VLOOKUP(G48,Data!$A:$G,2,0)</f>
        <v>Souvik Maity</v>
      </c>
      <c r="B48" s="4" t="str">
        <f>VLOOKUP(G48,Data!$A:$G,3,0)</f>
        <v>Active</v>
      </c>
      <c r="C48" s="4" t="str">
        <f>VLOOKUP(G48,Data!$A:$G,4,0)</f>
        <v>Hooghly</v>
      </c>
      <c r="D48" s="4" t="str">
        <f>VLOOKUP(G48,Data!$A:$G,5,0)</f>
        <v>Kalipur</v>
      </c>
      <c r="E48" s="4" t="str">
        <f>VLOOKUP(G48,Data!$A:$G,6,0)</f>
        <v>Satyajit Chattopadhyay</v>
      </c>
      <c r="F48" s="10" t="str">
        <f>VLOOKUP(G48,Data!$A:$G,7,0)</f>
        <v>3390311422</v>
      </c>
      <c r="G48" s="5">
        <v>22128</v>
      </c>
      <c r="H48" s="7">
        <f>VLOOKUP(G48,'FI txn'!$G:$H,2,0)</f>
        <v>6</v>
      </c>
      <c r="I48" s="7">
        <f t="shared" si="3"/>
        <v>180</v>
      </c>
      <c r="J48" s="8">
        <v>3</v>
      </c>
      <c r="K48" s="8">
        <v>25</v>
      </c>
      <c r="L48" s="8">
        <v>7</v>
      </c>
      <c r="M48" s="8">
        <v>2</v>
      </c>
      <c r="N48" s="8">
        <v>3</v>
      </c>
      <c r="O48" s="8">
        <v>1</v>
      </c>
      <c r="P48" s="8"/>
      <c r="Q48" s="8"/>
      <c r="R48" s="8"/>
      <c r="S48" s="8"/>
      <c r="T48" s="8"/>
      <c r="U48" s="8"/>
      <c r="V48" s="8">
        <f t="shared" si="4"/>
        <v>41</v>
      </c>
      <c r="W48" s="9">
        <f t="shared" si="5"/>
        <v>6.833333333333333</v>
      </c>
    </row>
    <row r="49" spans="1:23" x14ac:dyDescent="0.3">
      <c r="A49" s="4" t="str">
        <f>VLOOKUP(G49,Data!$A:$G,2,0)</f>
        <v>Sunil Biswas</v>
      </c>
      <c r="B49" s="4" t="str">
        <f>VLOOKUP(G49,Data!$A:$G,3,0)</f>
        <v>Active</v>
      </c>
      <c r="C49" s="4" t="str">
        <f>VLOOKUP(G49,Data!$A:$G,4,0)</f>
        <v>Durgapur</v>
      </c>
      <c r="D49" s="4" t="str">
        <f>VLOOKUP(G49,Data!$A:$G,5,0)</f>
        <v>Badkulla</v>
      </c>
      <c r="E49" s="4" t="str">
        <f>VLOOKUP(G49,Data!$A:$G,6,0)</f>
        <v>Swapan Kumar Biswas</v>
      </c>
      <c r="F49" s="10" t="str">
        <f>VLOOKUP(G49,Data!$A:$G,7,0)</f>
        <v>2430315186</v>
      </c>
      <c r="G49" s="5">
        <v>27732</v>
      </c>
      <c r="H49" s="7">
        <f>VLOOKUP(G49,'FI txn'!$G:$H,2,0)</f>
        <v>6</v>
      </c>
      <c r="I49" s="7">
        <f t="shared" si="3"/>
        <v>180</v>
      </c>
      <c r="J49" s="8">
        <v>4</v>
      </c>
      <c r="K49" s="8">
        <v>15</v>
      </c>
      <c r="L49" s="8">
        <v>3</v>
      </c>
      <c r="M49" s="8">
        <v>8</v>
      </c>
      <c r="N49" s="8">
        <v>10</v>
      </c>
      <c r="O49" s="8"/>
      <c r="P49" s="8"/>
      <c r="Q49" s="8"/>
      <c r="R49" s="8"/>
      <c r="S49" s="8"/>
      <c r="T49" s="8"/>
      <c r="U49" s="8"/>
      <c r="V49" s="8">
        <f t="shared" si="4"/>
        <v>40</v>
      </c>
      <c r="W49" s="9">
        <f t="shared" si="5"/>
        <v>6.666666666666667</v>
      </c>
    </row>
    <row r="50" spans="1:23" x14ac:dyDescent="0.3">
      <c r="A50" s="4" t="str">
        <f>VLOOKUP(G50,Data!$A:$G,2,0)</f>
        <v>Sunil Biswas</v>
      </c>
      <c r="B50" s="4" t="str">
        <f>VLOOKUP(G50,Data!$A:$G,3,0)</f>
        <v>Active</v>
      </c>
      <c r="C50" s="4" t="str">
        <f>VLOOKUP(G50,Data!$A:$G,4,0)</f>
        <v>Durgapur</v>
      </c>
      <c r="D50" s="4" t="str">
        <f>VLOOKUP(G50,Data!$A:$G,5,0)</f>
        <v>Ranaghat</v>
      </c>
      <c r="E50" s="4" t="str">
        <f>VLOOKUP(G50,Data!$A:$G,6,0)</f>
        <v>Kishore Bhakta</v>
      </c>
      <c r="F50" s="10" t="str">
        <f>VLOOKUP(G50,Data!$A:$G,7,0)</f>
        <v>2430315568</v>
      </c>
      <c r="G50" s="5">
        <v>28482</v>
      </c>
      <c r="H50" s="7">
        <f>VLOOKUP(G50,'FI txn'!$G:$H,2,0)</f>
        <v>6</v>
      </c>
      <c r="I50" s="7">
        <f t="shared" si="3"/>
        <v>180</v>
      </c>
      <c r="J50" s="8">
        <v>4</v>
      </c>
      <c r="K50" s="8">
        <v>21</v>
      </c>
      <c r="L50" s="8">
        <v>5</v>
      </c>
      <c r="M50" s="8">
        <v>1</v>
      </c>
      <c r="N50" s="8">
        <v>8</v>
      </c>
      <c r="O50" s="8">
        <v>1</v>
      </c>
      <c r="P50" s="8"/>
      <c r="Q50" s="8"/>
      <c r="R50" s="8"/>
      <c r="S50" s="8"/>
      <c r="T50" s="8"/>
      <c r="U50" s="8"/>
      <c r="V50" s="8">
        <f t="shared" si="4"/>
        <v>40</v>
      </c>
      <c r="W50" s="9">
        <f t="shared" si="5"/>
        <v>6.666666666666667</v>
      </c>
    </row>
    <row r="51" spans="1:23" x14ac:dyDescent="0.3">
      <c r="A51" s="4" t="str">
        <f>VLOOKUP(G51,Data!$A:$G,2,0)</f>
        <v>Souvik Maity</v>
      </c>
      <c r="B51" s="4" t="str">
        <f>VLOOKUP(G51,Data!$A:$G,3,0)</f>
        <v>Active</v>
      </c>
      <c r="C51" s="4" t="str">
        <f>VLOOKUP(G51,Data!$A:$G,4,0)</f>
        <v>Hooghly</v>
      </c>
      <c r="D51" s="4" t="str">
        <f>VLOOKUP(G51,Data!$A:$G,5,0)</f>
        <v>Khanakul</v>
      </c>
      <c r="E51" s="4" t="str">
        <f>VLOOKUP(G51,Data!$A:$G,6,0)</f>
        <v>Susobhan Patra</v>
      </c>
      <c r="F51" s="10" t="str">
        <f>VLOOKUP(G51,Data!$A:$G,7,0)</f>
        <v>3390312968</v>
      </c>
      <c r="G51" s="5">
        <v>24153</v>
      </c>
      <c r="H51" s="7">
        <f>VLOOKUP(G51,'FI txn'!$G:$H,2,0)</f>
        <v>6</v>
      </c>
      <c r="I51" s="7">
        <f t="shared" si="3"/>
        <v>180</v>
      </c>
      <c r="J51" s="8">
        <v>4</v>
      </c>
      <c r="K51" s="8">
        <v>13</v>
      </c>
      <c r="L51" s="8">
        <v>4</v>
      </c>
      <c r="M51" s="8">
        <v>11</v>
      </c>
      <c r="N51" s="8">
        <v>6</v>
      </c>
      <c r="O51" s="8"/>
      <c r="P51" s="8"/>
      <c r="Q51" s="8"/>
      <c r="R51" s="8"/>
      <c r="S51" s="8"/>
      <c r="T51" s="8"/>
      <c r="U51" s="8"/>
      <c r="V51" s="8">
        <f t="shared" si="4"/>
        <v>38</v>
      </c>
      <c r="W51" s="9">
        <f t="shared" si="5"/>
        <v>6.333333333333333</v>
      </c>
    </row>
    <row r="52" spans="1:23" x14ac:dyDescent="0.3">
      <c r="A52" s="4" t="str">
        <f>VLOOKUP(G52,Data!$A:$G,2,0)</f>
        <v>Under Office (W Medinipur)</v>
      </c>
      <c r="B52" s="4" t="str">
        <f>VLOOKUP(G52,Data!$A:$G,3,0)</f>
        <v>Active</v>
      </c>
      <c r="C52" s="4" t="str">
        <f>VLOOKUP(G52,Data!$A:$G,4,0)</f>
        <v>Hooghly</v>
      </c>
      <c r="D52" s="4" t="str">
        <f>VLOOKUP(G52,Data!$A:$G,5,0)</f>
        <v>Palaschabrighat</v>
      </c>
      <c r="E52" s="4" t="str">
        <f>VLOOKUP(G52,Data!$A:$G,6,0)</f>
        <v>Asima Bhunia</v>
      </c>
      <c r="F52" s="10" t="str">
        <f>VLOOKUP(G52,Data!$A:$G,7,0)</f>
        <v>2390311420</v>
      </c>
      <c r="G52" s="5">
        <v>22126</v>
      </c>
      <c r="H52" s="7">
        <f>VLOOKUP(G52,'FI txn'!$G:$H,2,0)</f>
        <v>6</v>
      </c>
      <c r="I52" s="7">
        <f t="shared" si="3"/>
        <v>180</v>
      </c>
      <c r="J52" s="8">
        <v>3</v>
      </c>
      <c r="K52" s="8">
        <v>3</v>
      </c>
      <c r="L52" s="8">
        <v>10</v>
      </c>
      <c r="M52" s="8">
        <v>7</v>
      </c>
      <c r="N52" s="8">
        <v>14</v>
      </c>
      <c r="O52" s="8"/>
      <c r="P52" s="8"/>
      <c r="Q52" s="8"/>
      <c r="R52" s="8"/>
      <c r="S52" s="8"/>
      <c r="T52" s="8"/>
      <c r="U52" s="8"/>
      <c r="V52" s="8">
        <f t="shared" si="4"/>
        <v>37</v>
      </c>
      <c r="W52" s="9">
        <f t="shared" si="5"/>
        <v>6.166666666666667</v>
      </c>
    </row>
    <row r="53" spans="1:23" x14ac:dyDescent="0.3">
      <c r="A53" s="4" t="str">
        <f>VLOOKUP(G53,Data!$A:$G,2,0)</f>
        <v>Avi Sk</v>
      </c>
      <c r="B53" s="4" t="str">
        <f>VLOOKUP(G53,Data!$A:$G,3,0)</f>
        <v>Active</v>
      </c>
      <c r="C53" s="4" t="str">
        <f>VLOOKUP(G53,Data!$A:$G,4,0)</f>
        <v>Siliguri</v>
      </c>
      <c r="D53" s="4" t="str">
        <f>VLOOKUP(G53,Data!$A:$G,5,0)</f>
        <v>Talgachi</v>
      </c>
      <c r="E53" s="4" t="str">
        <f>VLOOKUP(G53,Data!$A:$G,6,0)</f>
        <v>Giridhari Sarkar</v>
      </c>
      <c r="F53" s="10" t="str">
        <f>VLOOKUP(G53,Data!$A:$G,7,0)</f>
        <v>2410310083</v>
      </c>
      <c r="G53" s="5">
        <v>20509</v>
      </c>
      <c r="H53" s="7">
        <f>VLOOKUP(G53,'FI txn'!$G:$H,2,0)</f>
        <v>6</v>
      </c>
      <c r="I53" s="7">
        <f t="shared" si="3"/>
        <v>180</v>
      </c>
      <c r="J53" s="8">
        <v>2</v>
      </c>
      <c r="K53" s="8">
        <v>6</v>
      </c>
      <c r="L53" s="8">
        <v>4</v>
      </c>
      <c r="M53" s="8">
        <v>10</v>
      </c>
      <c r="N53" s="8">
        <v>6</v>
      </c>
      <c r="O53" s="8">
        <v>9</v>
      </c>
      <c r="P53" s="8"/>
      <c r="Q53" s="8"/>
      <c r="R53" s="8"/>
      <c r="S53" s="8"/>
      <c r="T53" s="8"/>
      <c r="U53" s="8"/>
      <c r="V53" s="8">
        <f t="shared" si="4"/>
        <v>37</v>
      </c>
      <c r="W53" s="9">
        <f t="shared" si="5"/>
        <v>6.166666666666667</v>
      </c>
    </row>
    <row r="54" spans="1:23" x14ac:dyDescent="0.3">
      <c r="A54" s="4" t="str">
        <f>VLOOKUP(G54,Data!$A:$G,2,0)</f>
        <v>Pijush Singha</v>
      </c>
      <c r="B54" s="4" t="str">
        <f>VLOOKUP(G54,Data!$A:$G,3,0)</f>
        <v>Active</v>
      </c>
      <c r="C54" s="4" t="str">
        <f>VLOOKUP(G54,Data!$A:$G,4,0)</f>
        <v>Siliguri</v>
      </c>
      <c r="D54" s="4" t="str">
        <f>VLOOKUP(G54,Data!$A:$G,5,0)</f>
        <v>Nabagram</v>
      </c>
      <c r="E54" s="4" t="str">
        <f>VLOOKUP(G54,Data!$A:$G,6,0)</f>
        <v>Sahabuddin Ahmed</v>
      </c>
      <c r="F54" s="10" t="str">
        <f>VLOOKUP(G54,Data!$A:$G,7,0)</f>
        <v>2410312329</v>
      </c>
      <c r="G54" s="5">
        <v>23270</v>
      </c>
      <c r="H54" s="7">
        <f>VLOOKUP(G54,'FI txn'!$G:$H,2,0)</f>
        <v>6</v>
      </c>
      <c r="I54" s="7">
        <f t="shared" si="3"/>
        <v>180</v>
      </c>
      <c r="J54" s="8">
        <v>2</v>
      </c>
      <c r="K54" s="8">
        <v>7</v>
      </c>
      <c r="L54" s="8">
        <v>6</v>
      </c>
      <c r="M54" s="8">
        <v>13</v>
      </c>
      <c r="N54" s="8">
        <v>6</v>
      </c>
      <c r="O54" s="8">
        <v>1</v>
      </c>
      <c r="P54" s="8"/>
      <c r="Q54" s="8"/>
      <c r="R54" s="8"/>
      <c r="S54" s="8"/>
      <c r="T54" s="8"/>
      <c r="U54" s="8"/>
      <c r="V54" s="8">
        <f t="shared" si="4"/>
        <v>35</v>
      </c>
      <c r="W54" s="9">
        <f t="shared" si="5"/>
        <v>5.833333333333333</v>
      </c>
    </row>
    <row r="55" spans="1:23" x14ac:dyDescent="0.3">
      <c r="A55" s="4" t="str">
        <f>VLOOKUP(G55,Data!$A:$G,2,0)</f>
        <v>Avi Sk</v>
      </c>
      <c r="B55" s="4" t="str">
        <f>VLOOKUP(G55,Data!$A:$G,3,0)</f>
        <v>Active</v>
      </c>
      <c r="C55" s="4" t="str">
        <f>VLOOKUP(G55,Data!$A:$G,4,0)</f>
        <v>Siliguri</v>
      </c>
      <c r="D55" s="4" t="str">
        <f>VLOOKUP(G55,Data!$A:$G,5,0)</f>
        <v>Sagarpara</v>
      </c>
      <c r="E55" s="4" t="str">
        <f>VLOOKUP(G55,Data!$A:$G,6,0)</f>
        <v>Habibur Rahaman</v>
      </c>
      <c r="F55" s="10" t="str">
        <f>VLOOKUP(G55,Data!$A:$G,7,0)</f>
        <v>2410311259</v>
      </c>
      <c r="G55" s="5">
        <v>28860</v>
      </c>
      <c r="H55" s="7">
        <f>VLOOKUP(G55,'FI txn'!$G:$H,2,0)</f>
        <v>6</v>
      </c>
      <c r="I55" s="7">
        <f t="shared" si="3"/>
        <v>180</v>
      </c>
      <c r="J55" s="8">
        <v>2</v>
      </c>
      <c r="K55" s="8"/>
      <c r="L55" s="8">
        <v>20</v>
      </c>
      <c r="M55" s="8">
        <v>10</v>
      </c>
      <c r="N55" s="8">
        <v>2</v>
      </c>
      <c r="O55" s="8">
        <v>1</v>
      </c>
      <c r="P55" s="8"/>
      <c r="Q55" s="8"/>
      <c r="R55" s="8"/>
      <c r="S55" s="8"/>
      <c r="T55" s="8"/>
      <c r="U55" s="8"/>
      <c r="V55" s="8">
        <f t="shared" si="4"/>
        <v>35</v>
      </c>
      <c r="W55" s="9">
        <f t="shared" si="5"/>
        <v>5.833333333333333</v>
      </c>
    </row>
    <row r="56" spans="1:23" x14ac:dyDescent="0.3">
      <c r="A56" s="4" t="str">
        <f>VLOOKUP(G56,Data!$A:$G,2,0)</f>
        <v>Under Office (W Medinipur)</v>
      </c>
      <c r="B56" s="4" t="str">
        <f>VLOOKUP(G56,Data!$A:$G,3,0)</f>
        <v>Active</v>
      </c>
      <c r="C56" s="4" t="str">
        <f>VLOOKUP(G56,Data!$A:$G,4,0)</f>
        <v>Hooghly</v>
      </c>
      <c r="D56" s="4" t="str">
        <f>VLOOKUP(G56,Data!$A:$G,5,0)</f>
        <v>Nayabasat</v>
      </c>
      <c r="E56" s="4" t="str">
        <f>VLOOKUP(G56,Data!$A:$G,6,0)</f>
        <v>Soumya Ghosh</v>
      </c>
      <c r="F56" s="10" t="str">
        <f>VLOOKUP(G56,Data!$A:$G,7,0)</f>
        <v>2390314387</v>
      </c>
      <c r="G56" s="5">
        <v>26403</v>
      </c>
      <c r="H56" s="7">
        <f>VLOOKUP(G56,'FI txn'!$G:$H,2,0)</f>
        <v>6</v>
      </c>
      <c r="I56" s="7">
        <f t="shared" si="3"/>
        <v>180</v>
      </c>
      <c r="J56" s="8">
        <v>11</v>
      </c>
      <c r="K56" s="8">
        <v>3</v>
      </c>
      <c r="L56" s="8">
        <v>4</v>
      </c>
      <c r="M56" s="8">
        <v>6</v>
      </c>
      <c r="N56" s="8">
        <v>8</v>
      </c>
      <c r="O56" s="8">
        <v>2</v>
      </c>
      <c r="P56" s="8"/>
      <c r="Q56" s="8"/>
      <c r="R56" s="8"/>
      <c r="S56" s="8"/>
      <c r="T56" s="8"/>
      <c r="U56" s="8"/>
      <c r="V56" s="8">
        <f t="shared" si="4"/>
        <v>34</v>
      </c>
      <c r="W56" s="9">
        <f t="shared" si="5"/>
        <v>5.666666666666667</v>
      </c>
    </row>
    <row r="57" spans="1:23" x14ac:dyDescent="0.3">
      <c r="A57" s="4" t="str">
        <f>VLOOKUP(G57,Data!$A:$G,2,0)</f>
        <v>Under Office (Birbhum)</v>
      </c>
      <c r="B57" s="4" t="str">
        <f>VLOOKUP(G57,Data!$A:$G,3,0)</f>
        <v>Active</v>
      </c>
      <c r="C57" s="4" t="str">
        <f>VLOOKUP(G57,Data!$A:$G,4,0)</f>
        <v>Siliguri</v>
      </c>
      <c r="D57" s="4" t="str">
        <f>VLOOKUP(G57,Data!$A:$G,5,0)</f>
        <v>Parsundi</v>
      </c>
      <c r="E57" s="4" t="str">
        <f>VLOOKUP(G57,Data!$A:$G,6,0)</f>
        <v>Parimal Das</v>
      </c>
      <c r="F57" s="10" t="str">
        <f>VLOOKUP(G57,Data!$A:$G,7,0)</f>
        <v>0140311628</v>
      </c>
      <c r="G57" s="5">
        <v>22365</v>
      </c>
      <c r="H57" s="7">
        <f>VLOOKUP(G57,'FI txn'!$G:$H,2,0)</f>
        <v>6</v>
      </c>
      <c r="I57" s="7">
        <f t="shared" si="3"/>
        <v>180</v>
      </c>
      <c r="J57" s="8">
        <v>3</v>
      </c>
      <c r="K57" s="8">
        <v>8</v>
      </c>
      <c r="L57" s="8">
        <v>12</v>
      </c>
      <c r="M57" s="8">
        <v>5</v>
      </c>
      <c r="N57" s="8">
        <v>6</v>
      </c>
      <c r="O57" s="8"/>
      <c r="P57" s="8"/>
      <c r="Q57" s="8"/>
      <c r="R57" s="8"/>
      <c r="S57" s="8"/>
      <c r="T57" s="8"/>
      <c r="U57" s="8"/>
      <c r="V57" s="8">
        <f t="shared" si="4"/>
        <v>34</v>
      </c>
      <c r="W57" s="9">
        <f t="shared" si="5"/>
        <v>5.666666666666667</v>
      </c>
    </row>
    <row r="58" spans="1:23" x14ac:dyDescent="0.3">
      <c r="A58" s="4" t="str">
        <f>VLOOKUP(G58,Data!$A:$G,2,0)</f>
        <v>Under Office (W Medinipur)</v>
      </c>
      <c r="B58" s="4" t="str">
        <f>VLOOKUP(G58,Data!$A:$G,3,0)</f>
        <v>Active</v>
      </c>
      <c r="C58" s="4" t="str">
        <f>VLOOKUP(G58,Data!$A:$G,4,0)</f>
        <v>Hooghly</v>
      </c>
      <c r="D58" s="4" t="str">
        <f>VLOOKUP(G58,Data!$A:$G,5,0)</f>
        <v>Khirpai</v>
      </c>
      <c r="E58" s="4" t="str">
        <f>VLOOKUP(G58,Data!$A:$G,6,0)</f>
        <v>Reshma Khatun</v>
      </c>
      <c r="F58" s="10" t="str">
        <f>VLOOKUP(G58,Data!$A:$G,7,0)</f>
        <v>2390314453</v>
      </c>
      <c r="G58" s="5">
        <v>26501</v>
      </c>
      <c r="H58" s="7">
        <f>VLOOKUP(G58,'FI txn'!$G:$H,2,0)</f>
        <v>6</v>
      </c>
      <c r="I58" s="7">
        <f t="shared" si="3"/>
        <v>180</v>
      </c>
      <c r="J58" s="8">
        <v>6</v>
      </c>
      <c r="K58" s="8">
        <v>8</v>
      </c>
      <c r="L58" s="8">
        <v>8</v>
      </c>
      <c r="M58" s="8">
        <v>9</v>
      </c>
      <c r="N58" s="8">
        <v>3</v>
      </c>
      <c r="O58" s="8"/>
      <c r="P58" s="8"/>
      <c r="Q58" s="8"/>
      <c r="R58" s="8"/>
      <c r="S58" s="8"/>
      <c r="T58" s="8"/>
      <c r="U58" s="8"/>
      <c r="V58" s="8">
        <f t="shared" si="4"/>
        <v>34</v>
      </c>
      <c r="W58" s="9">
        <f t="shared" si="5"/>
        <v>5.666666666666667</v>
      </c>
    </row>
    <row r="59" spans="1:23" x14ac:dyDescent="0.3">
      <c r="A59" s="4" t="str">
        <f>VLOOKUP(G59,Data!$A:$G,2,0)</f>
        <v>Souvik Maity</v>
      </c>
      <c r="B59" s="4" t="str">
        <f>VLOOKUP(G59,Data!$A:$G,3,0)</f>
        <v>Active</v>
      </c>
      <c r="C59" s="4" t="str">
        <f>VLOOKUP(G59,Data!$A:$G,4,0)</f>
        <v>Hooghly</v>
      </c>
      <c r="D59" s="4" t="str">
        <f>VLOOKUP(G59,Data!$A:$G,5,0)</f>
        <v>Haripal</v>
      </c>
      <c r="E59" s="4" t="str">
        <f>VLOOKUP(G59,Data!$A:$G,6,0)</f>
        <v>Sk Nasim Ali</v>
      </c>
      <c r="F59" s="10" t="str">
        <f>VLOOKUP(G59,Data!$A:$G,7,0)</f>
        <v>3390312613</v>
      </c>
      <c r="G59" s="5">
        <v>23669</v>
      </c>
      <c r="H59" s="7">
        <f>VLOOKUP(G59,'FI txn'!$G:$H,2,0)</f>
        <v>6</v>
      </c>
      <c r="I59" s="7">
        <f t="shared" si="3"/>
        <v>180</v>
      </c>
      <c r="J59" s="8">
        <v>3</v>
      </c>
      <c r="K59" s="8">
        <v>11</v>
      </c>
      <c r="L59" s="8">
        <v>7</v>
      </c>
      <c r="M59" s="8">
        <v>7</v>
      </c>
      <c r="N59" s="8">
        <v>3</v>
      </c>
      <c r="O59" s="8"/>
      <c r="P59" s="8"/>
      <c r="Q59" s="8"/>
      <c r="R59" s="8"/>
      <c r="S59" s="8"/>
      <c r="T59" s="8"/>
      <c r="U59" s="8"/>
      <c r="V59" s="8">
        <f t="shared" si="4"/>
        <v>31</v>
      </c>
      <c r="W59" s="9">
        <f t="shared" si="5"/>
        <v>5.166666666666667</v>
      </c>
    </row>
    <row r="60" spans="1:23" x14ac:dyDescent="0.3">
      <c r="A60" s="4" t="str">
        <f>VLOOKUP(G60,Data!$A:$G,2,0)</f>
        <v>Sunil Biswas</v>
      </c>
      <c r="B60" s="4" t="str">
        <f>VLOOKUP(G60,Data!$A:$G,3,0)</f>
        <v>Active</v>
      </c>
      <c r="C60" s="4" t="str">
        <f>VLOOKUP(G60,Data!$A:$G,4,0)</f>
        <v>Durgapur</v>
      </c>
      <c r="D60" s="4" t="str">
        <f>VLOOKUP(G60,Data!$A:$G,5,0)</f>
        <v>Santipur</v>
      </c>
      <c r="E60" s="4" t="str">
        <f>VLOOKUP(G60,Data!$A:$G,6,0)</f>
        <v>Partha Dey</v>
      </c>
      <c r="F60" s="10" t="str">
        <f>VLOOKUP(G60,Data!$A:$G,7,0)</f>
        <v>2430315570</v>
      </c>
      <c r="G60" s="5">
        <v>29089</v>
      </c>
      <c r="H60" s="7">
        <f>VLOOKUP(G60,'FI txn'!$G:$H,2,0)</f>
        <v>6</v>
      </c>
      <c r="I60" s="7">
        <f t="shared" si="3"/>
        <v>180</v>
      </c>
      <c r="J60" s="8">
        <v>3</v>
      </c>
      <c r="K60" s="8">
        <v>9</v>
      </c>
      <c r="L60" s="8">
        <v>5</v>
      </c>
      <c r="M60" s="8">
        <v>8</v>
      </c>
      <c r="N60" s="8">
        <v>3</v>
      </c>
      <c r="O60" s="8">
        <v>1</v>
      </c>
      <c r="P60" s="8"/>
      <c r="Q60" s="8"/>
      <c r="R60" s="8"/>
      <c r="S60" s="8"/>
      <c r="T60" s="8"/>
      <c r="U60" s="8"/>
      <c r="V60" s="8">
        <f t="shared" si="4"/>
        <v>29</v>
      </c>
      <c r="W60" s="9">
        <f t="shared" si="5"/>
        <v>4.833333333333333</v>
      </c>
    </row>
    <row r="61" spans="1:23" x14ac:dyDescent="0.3">
      <c r="A61" s="4" t="str">
        <f>VLOOKUP(G61,Data!$A:$G,2,0)</f>
        <v>Souvik Maity</v>
      </c>
      <c r="B61" s="4" t="str">
        <f>VLOOKUP(G61,Data!$A:$G,3,0)</f>
        <v>Active</v>
      </c>
      <c r="C61" s="4" t="str">
        <f>VLOOKUP(G61,Data!$A:$G,4,0)</f>
        <v>Hooghly</v>
      </c>
      <c r="D61" s="4" t="str">
        <f>VLOOKUP(G61,Data!$A:$G,5,0)</f>
        <v>Polba</v>
      </c>
      <c r="E61" s="4" t="str">
        <f>VLOOKUP(G61,Data!$A:$G,6,0)</f>
        <v>Arindam Sadhukhan</v>
      </c>
      <c r="F61" s="10" t="str">
        <f>VLOOKUP(G61,Data!$A:$G,7,0)</f>
        <v>3390315433</v>
      </c>
      <c r="G61" s="5">
        <v>28201</v>
      </c>
      <c r="H61" s="7">
        <f>VLOOKUP(G61,'FI txn'!$G:$H,2,0)</f>
        <v>6</v>
      </c>
      <c r="I61" s="7">
        <f t="shared" si="3"/>
        <v>180</v>
      </c>
      <c r="J61" s="8">
        <v>4</v>
      </c>
      <c r="K61" s="8">
        <v>4</v>
      </c>
      <c r="L61" s="8">
        <v>11</v>
      </c>
      <c r="M61" s="8">
        <v>3</v>
      </c>
      <c r="N61" s="8">
        <v>3</v>
      </c>
      <c r="O61" s="8">
        <v>1</v>
      </c>
      <c r="P61" s="8"/>
      <c r="Q61" s="8"/>
      <c r="R61" s="8"/>
      <c r="S61" s="8"/>
      <c r="T61" s="8"/>
      <c r="U61" s="8"/>
      <c r="V61" s="8">
        <f t="shared" si="4"/>
        <v>26</v>
      </c>
      <c r="W61" s="9">
        <f t="shared" si="5"/>
        <v>4.333333333333333</v>
      </c>
    </row>
    <row r="62" spans="1:23" x14ac:dyDescent="0.3">
      <c r="A62" s="4" t="str">
        <f>VLOOKUP(G62,Data!$A:$G,2,0)</f>
        <v>Souvik Maity</v>
      </c>
      <c r="B62" s="4" t="str">
        <f>VLOOKUP(G62,Data!$A:$G,3,0)</f>
        <v>Active</v>
      </c>
      <c r="C62" s="4" t="str">
        <f>VLOOKUP(G62,Data!$A:$G,4,0)</f>
        <v>Hooghly</v>
      </c>
      <c r="D62" s="4" t="str">
        <f>VLOOKUP(G62,Data!$A:$G,5,0)</f>
        <v>Khanakul</v>
      </c>
      <c r="E62" s="4" t="str">
        <f>VLOOKUP(G62,Data!$A:$G,6,0)</f>
        <v>Sahanaj Parvin</v>
      </c>
      <c r="F62" s="10" t="str">
        <f>VLOOKUP(G62,Data!$A:$G,7,0)</f>
        <v>3390312801</v>
      </c>
      <c r="G62" s="5">
        <v>23969</v>
      </c>
      <c r="H62" s="7">
        <f>VLOOKUP(G62,'FI txn'!$G:$H,2,0)</f>
        <v>6</v>
      </c>
      <c r="I62" s="7">
        <f t="shared" si="3"/>
        <v>180</v>
      </c>
      <c r="J62" s="8">
        <v>2</v>
      </c>
      <c r="K62" s="8">
        <v>3</v>
      </c>
      <c r="L62" s="8"/>
      <c r="M62" s="8">
        <v>15</v>
      </c>
      <c r="N62" s="8">
        <v>5</v>
      </c>
      <c r="O62" s="8"/>
      <c r="P62" s="8"/>
      <c r="Q62" s="8"/>
      <c r="R62" s="8"/>
      <c r="S62" s="8"/>
      <c r="T62" s="8"/>
      <c r="U62" s="8"/>
      <c r="V62" s="8">
        <f t="shared" si="4"/>
        <v>25</v>
      </c>
      <c r="W62" s="9">
        <f t="shared" si="5"/>
        <v>4.166666666666667</v>
      </c>
    </row>
    <row r="63" spans="1:23" x14ac:dyDescent="0.3">
      <c r="A63" s="4" t="str">
        <f>VLOOKUP(G63,Data!$A:$G,2,0)</f>
        <v>Sunil Biswas</v>
      </c>
      <c r="B63" s="4" t="str">
        <f>VLOOKUP(G63,Data!$A:$G,3,0)</f>
        <v>Active</v>
      </c>
      <c r="C63" s="4" t="str">
        <f>VLOOKUP(G63,Data!$A:$G,4,0)</f>
        <v>Durgapur</v>
      </c>
      <c r="D63" s="4" t="str">
        <f>VLOOKUP(G63,Data!$A:$G,5,0)</f>
        <v>Ranaghat</v>
      </c>
      <c r="E63" s="4" t="str">
        <f>VLOOKUP(G63,Data!$A:$G,6,0)</f>
        <v>Sagari Ghosh</v>
      </c>
      <c r="F63" s="10" t="str">
        <f>VLOOKUP(G63,Data!$A:$G,7,0)</f>
        <v>2430314519</v>
      </c>
      <c r="G63" s="5">
        <v>26595</v>
      </c>
      <c r="H63" s="7">
        <f>VLOOKUP(G63,'FI txn'!$G:$H,2,0)</f>
        <v>6</v>
      </c>
      <c r="I63" s="7">
        <f t="shared" si="3"/>
        <v>180</v>
      </c>
      <c r="J63" s="8">
        <v>6</v>
      </c>
      <c r="K63" s="8">
        <v>9</v>
      </c>
      <c r="L63" s="8">
        <v>6</v>
      </c>
      <c r="M63" s="8">
        <v>3</v>
      </c>
      <c r="N63" s="8">
        <v>1</v>
      </c>
      <c r="O63" s="8"/>
      <c r="P63" s="8"/>
      <c r="Q63" s="8"/>
      <c r="R63" s="8"/>
      <c r="S63" s="8"/>
      <c r="T63" s="8"/>
      <c r="U63" s="8"/>
      <c r="V63" s="8">
        <f t="shared" si="4"/>
        <v>25</v>
      </c>
      <c r="W63" s="9">
        <f t="shared" si="5"/>
        <v>4.166666666666667</v>
      </c>
    </row>
    <row r="64" spans="1:23" x14ac:dyDescent="0.3">
      <c r="A64" s="4" t="str">
        <f>VLOOKUP(G64,Data!$A:$G,2,0)</f>
        <v>Souvik Maity</v>
      </c>
      <c r="B64" s="4" t="str">
        <f>VLOOKUP(G64,Data!$A:$G,3,0)</f>
        <v>Active</v>
      </c>
      <c r="C64" s="4" t="str">
        <f>VLOOKUP(G64,Data!$A:$G,4,0)</f>
        <v>Hooghly</v>
      </c>
      <c r="D64" s="4" t="str">
        <f>VLOOKUP(G64,Data!$A:$G,5,0)</f>
        <v>Dasghara</v>
      </c>
      <c r="E64" s="4" t="str">
        <f>VLOOKUP(G64,Data!$A:$G,6,0)</f>
        <v>Sabir Amed</v>
      </c>
      <c r="F64" s="10" t="str">
        <f>VLOOKUP(G64,Data!$A:$G,7,0)</f>
        <v>3390312282</v>
      </c>
      <c r="G64" s="5">
        <v>23214</v>
      </c>
      <c r="H64" s="7">
        <f>VLOOKUP(G64,'FI txn'!$G:$H,2,0)</f>
        <v>6</v>
      </c>
      <c r="I64" s="7">
        <f t="shared" si="3"/>
        <v>180</v>
      </c>
      <c r="J64" s="8">
        <v>2</v>
      </c>
      <c r="K64" s="8">
        <v>5</v>
      </c>
      <c r="L64" s="8">
        <v>2</v>
      </c>
      <c r="M64" s="8">
        <v>9</v>
      </c>
      <c r="N64" s="8">
        <v>6</v>
      </c>
      <c r="O64" s="8"/>
      <c r="P64" s="8"/>
      <c r="Q64" s="8"/>
      <c r="R64" s="8"/>
      <c r="S64" s="8"/>
      <c r="T64" s="8"/>
      <c r="U64" s="8"/>
      <c r="V64" s="8">
        <f t="shared" si="4"/>
        <v>24</v>
      </c>
      <c r="W64" s="9">
        <f t="shared" si="5"/>
        <v>4</v>
      </c>
    </row>
    <row r="65" spans="1:23" x14ac:dyDescent="0.3">
      <c r="A65" s="4" t="str">
        <f>VLOOKUP(G65,Data!$A:$G,2,0)</f>
        <v>Under Office (W Medinipur)</v>
      </c>
      <c r="B65" s="4" t="str">
        <f>VLOOKUP(G65,Data!$A:$G,3,0)</f>
        <v>Active</v>
      </c>
      <c r="C65" s="4" t="str">
        <f>VLOOKUP(G65,Data!$A:$G,4,0)</f>
        <v>Hooghly</v>
      </c>
      <c r="D65" s="4" t="str">
        <f>VLOOKUP(G65,Data!$A:$G,5,0)</f>
        <v>Kharar</v>
      </c>
      <c r="E65" s="4" t="str">
        <f>VLOOKUP(G65,Data!$A:$G,6,0)</f>
        <v>Pinki Ghosh</v>
      </c>
      <c r="F65" s="10" t="str">
        <f>VLOOKUP(G65,Data!$A:$G,7,0)</f>
        <v>2390311944</v>
      </c>
      <c r="G65" s="5">
        <v>29368</v>
      </c>
      <c r="H65" s="7">
        <f>VLOOKUP(G65,'FI txn'!$G:$H,2,0)</f>
        <v>6</v>
      </c>
      <c r="I65" s="7">
        <f t="shared" si="3"/>
        <v>180</v>
      </c>
      <c r="J65" s="8"/>
      <c r="K65" s="8">
        <v>8</v>
      </c>
      <c r="L65" s="8">
        <v>7</v>
      </c>
      <c r="M65" s="8">
        <v>2</v>
      </c>
      <c r="N65" s="8">
        <v>5</v>
      </c>
      <c r="O65" s="8">
        <v>2</v>
      </c>
      <c r="P65" s="8"/>
      <c r="Q65" s="8"/>
      <c r="R65" s="8"/>
      <c r="S65" s="8"/>
      <c r="T65" s="8"/>
      <c r="U65" s="8"/>
      <c r="V65" s="8">
        <f t="shared" si="4"/>
        <v>24</v>
      </c>
      <c r="W65" s="9">
        <f t="shared" si="5"/>
        <v>4</v>
      </c>
    </row>
    <row r="66" spans="1:23" x14ac:dyDescent="0.3">
      <c r="A66" s="4" t="str">
        <f>VLOOKUP(G66,Data!$A:$G,2,0)</f>
        <v>Manindra Nath Barman</v>
      </c>
      <c r="B66" s="4" t="str">
        <f>VLOOKUP(G66,Data!$A:$G,3,0)</f>
        <v>Inactive</v>
      </c>
      <c r="C66" s="4" t="str">
        <f>VLOOKUP(G66,Data!$A:$G,4,0)</f>
        <v>Siliguri</v>
      </c>
      <c r="D66" s="4" t="str">
        <f>VLOOKUP(G66,Data!$A:$G,5,0)</f>
        <v>Barobisha</v>
      </c>
      <c r="E66" s="4" t="str">
        <f>VLOOKUP(G66,Data!$A:$G,6,0)</f>
        <v>Virendra Narayan Nag</v>
      </c>
      <c r="F66" s="10" t="str">
        <f>VLOOKUP(G66,Data!$A:$G,7,0)</f>
        <v>8967601707</v>
      </c>
      <c r="G66" s="5">
        <v>29526</v>
      </c>
      <c r="H66" s="7">
        <f>VLOOKUP(G66,'FI txn'!$G:$H,2,0)</f>
        <v>3</v>
      </c>
      <c r="I66" s="7">
        <f t="shared" ref="I66:I97" si="6">H66*30</f>
        <v>90</v>
      </c>
      <c r="J66" s="8"/>
      <c r="K66" s="8"/>
      <c r="L66" s="8">
        <v>2</v>
      </c>
      <c r="M66" s="8">
        <v>8</v>
      </c>
      <c r="N66" s="8">
        <v>13</v>
      </c>
      <c r="O66" s="8"/>
      <c r="P66" s="8"/>
      <c r="Q66" s="8"/>
      <c r="R66" s="8"/>
      <c r="S66" s="8"/>
      <c r="T66" s="8"/>
      <c r="U66" s="8"/>
      <c r="V66" s="8">
        <f t="shared" ref="V66:V97" si="7">SUM(J66:U66)</f>
        <v>23</v>
      </c>
      <c r="W66" s="9">
        <f t="shared" ref="W66:W97" si="8">V66/H66</f>
        <v>7.666666666666667</v>
      </c>
    </row>
    <row r="67" spans="1:23" x14ac:dyDescent="0.3">
      <c r="A67" s="4" t="str">
        <f>VLOOKUP(G67,Data!$A:$G,2,0)</f>
        <v>Avi Sk</v>
      </c>
      <c r="B67" s="4" t="str">
        <f>VLOOKUP(G67,Data!$A:$G,3,0)</f>
        <v>Active</v>
      </c>
      <c r="C67" s="4" t="str">
        <f>VLOOKUP(G67,Data!$A:$G,4,0)</f>
        <v>Siliguri</v>
      </c>
      <c r="D67" s="4" t="str">
        <f>VLOOKUP(G67,Data!$A:$G,5,0)</f>
        <v>Kanupur</v>
      </c>
      <c r="E67" s="4" t="str">
        <f>VLOOKUP(G67,Data!$A:$G,6,0)</f>
        <v>Shobhan Majhi</v>
      </c>
      <c r="F67" s="10" t="str">
        <f>VLOOKUP(G67,Data!$A:$G,7,0)</f>
        <v>2410311257</v>
      </c>
      <c r="G67" s="5">
        <v>21926</v>
      </c>
      <c r="H67" s="7">
        <f>VLOOKUP(G67,'FI txn'!$G:$H,2,0)</f>
        <v>6</v>
      </c>
      <c r="I67" s="7">
        <f t="shared" si="6"/>
        <v>180</v>
      </c>
      <c r="J67" s="8"/>
      <c r="K67" s="8">
        <v>4</v>
      </c>
      <c r="L67" s="8">
        <v>10</v>
      </c>
      <c r="M67" s="8">
        <v>3</v>
      </c>
      <c r="N67" s="8">
        <v>6</v>
      </c>
      <c r="O67" s="8"/>
      <c r="P67" s="8"/>
      <c r="Q67" s="8"/>
      <c r="R67" s="8"/>
      <c r="S67" s="8"/>
      <c r="T67" s="8"/>
      <c r="U67" s="8"/>
      <c r="V67" s="8">
        <f t="shared" si="7"/>
        <v>23</v>
      </c>
      <c r="W67" s="9">
        <f t="shared" si="8"/>
        <v>3.8333333333333335</v>
      </c>
    </row>
    <row r="68" spans="1:23" x14ac:dyDescent="0.3">
      <c r="A68" s="4" t="str">
        <f>VLOOKUP(G68,Data!$A:$G,2,0)</f>
        <v>Santanu Bera</v>
      </c>
      <c r="B68" s="4" t="str">
        <f>VLOOKUP(G68,Data!$A:$G,3,0)</f>
        <v>Active</v>
      </c>
      <c r="C68" s="4" t="str">
        <f>VLOOKUP(G68,Data!$A:$G,4,0)</f>
        <v>Hooghly</v>
      </c>
      <c r="D68" s="4" t="str">
        <f>VLOOKUP(G68,Data!$A:$G,5,0)</f>
        <v>Panskura</v>
      </c>
      <c r="E68" s="4" t="str">
        <f>VLOOKUP(G68,Data!$A:$G,6,0)</f>
        <v>Prasanta Ghorai</v>
      </c>
      <c r="F68" s="10" t="str">
        <f>VLOOKUP(G68,Data!$A:$G,7,0)</f>
        <v>9635383167</v>
      </c>
      <c r="G68" s="5">
        <v>29527</v>
      </c>
      <c r="H68" s="7">
        <f>VLOOKUP(G68,'FI txn'!$G:$H,2,0)</f>
        <v>4</v>
      </c>
      <c r="I68" s="7">
        <f t="shared" si="6"/>
        <v>120</v>
      </c>
      <c r="J68" s="8"/>
      <c r="K68" s="8"/>
      <c r="L68" s="8">
        <v>9</v>
      </c>
      <c r="M68" s="8">
        <v>6</v>
      </c>
      <c r="N68" s="8">
        <v>7</v>
      </c>
      <c r="O68" s="8"/>
      <c r="P68" s="8"/>
      <c r="Q68" s="8"/>
      <c r="R68" s="8"/>
      <c r="S68" s="8"/>
      <c r="T68" s="8"/>
      <c r="U68" s="8"/>
      <c r="V68" s="8">
        <f t="shared" si="7"/>
        <v>22</v>
      </c>
      <c r="W68" s="9">
        <f t="shared" si="8"/>
        <v>5.5</v>
      </c>
    </row>
    <row r="69" spans="1:23" x14ac:dyDescent="0.3">
      <c r="A69" s="4" t="str">
        <f>VLOOKUP(G69,Data!$A:$G,2,0)</f>
        <v>Under Office (W Medinipur)</v>
      </c>
      <c r="B69" s="4" t="str">
        <f>VLOOKUP(G69,Data!$A:$G,3,0)</f>
        <v>Active</v>
      </c>
      <c r="C69" s="4" t="str">
        <f>VLOOKUP(G69,Data!$A:$G,4,0)</f>
        <v>Hooghly</v>
      </c>
      <c r="D69" s="4" t="str">
        <f>VLOOKUP(G69,Data!$A:$G,5,0)</f>
        <v>Banka</v>
      </c>
      <c r="E69" s="4" t="str">
        <f>VLOOKUP(G69,Data!$A:$G,6,0)</f>
        <v>Shampa Mandal</v>
      </c>
      <c r="F69" s="10" t="str">
        <f>VLOOKUP(G69,Data!$A:$G,7,0)</f>
        <v>2390312439</v>
      </c>
      <c r="G69" s="5">
        <v>23431</v>
      </c>
      <c r="H69" s="7">
        <f>VLOOKUP(G69,'FI txn'!$G:$H,2,0)</f>
        <v>6</v>
      </c>
      <c r="I69" s="7">
        <f t="shared" si="6"/>
        <v>180</v>
      </c>
      <c r="J69" s="8">
        <v>1</v>
      </c>
      <c r="K69" s="8">
        <v>3</v>
      </c>
      <c r="L69" s="8">
        <v>3</v>
      </c>
      <c r="M69" s="8">
        <v>7</v>
      </c>
      <c r="N69" s="8">
        <v>5</v>
      </c>
      <c r="O69" s="8">
        <v>1</v>
      </c>
      <c r="P69" s="8"/>
      <c r="Q69" s="8"/>
      <c r="R69" s="8"/>
      <c r="S69" s="8"/>
      <c r="T69" s="8"/>
      <c r="U69" s="8"/>
      <c r="V69" s="8">
        <f t="shared" si="7"/>
        <v>20</v>
      </c>
      <c r="W69" s="9">
        <f t="shared" si="8"/>
        <v>3.3333333333333335</v>
      </c>
    </row>
    <row r="70" spans="1:23" x14ac:dyDescent="0.3">
      <c r="A70" s="4" t="str">
        <f>VLOOKUP(G70,Data!$A:$G,2,0)</f>
        <v>Manindra Nath Barman</v>
      </c>
      <c r="B70" s="4" t="str">
        <f>VLOOKUP(G70,Data!$A:$G,3,0)</f>
        <v>Inactive</v>
      </c>
      <c r="C70" s="4" t="str">
        <f>VLOOKUP(G70,Data!$A:$G,4,0)</f>
        <v>Siliguri</v>
      </c>
      <c r="D70" s="4" t="str">
        <f>VLOOKUP(G70,Data!$A:$G,5,0)</f>
        <v>Buxa Forest Craja</v>
      </c>
      <c r="E70" s="4" t="str">
        <f>VLOOKUP(G70,Data!$A:$G,6,0)</f>
        <v>Pankaj Tiwari</v>
      </c>
      <c r="F70" s="10" t="str">
        <f>VLOOKUP(G70,Data!$A:$G,7,0)</f>
        <v>9490310077</v>
      </c>
      <c r="G70" s="12">
        <v>20503</v>
      </c>
      <c r="H70" s="7">
        <f>VLOOKUP(G70,'FI txn'!$G:$H,2,0)</f>
        <v>4</v>
      </c>
      <c r="I70" s="7">
        <f t="shared" si="6"/>
        <v>120</v>
      </c>
      <c r="J70" s="8"/>
      <c r="K70" s="8"/>
      <c r="L70" s="8"/>
      <c r="M70" s="8">
        <v>9</v>
      </c>
      <c r="N70" s="8">
        <v>6</v>
      </c>
      <c r="O70" s="8">
        <v>1</v>
      </c>
      <c r="P70" s="8"/>
      <c r="Q70" s="8"/>
      <c r="R70" s="8"/>
      <c r="S70" s="8"/>
      <c r="T70" s="8"/>
      <c r="U70" s="8"/>
      <c r="V70" s="8">
        <f t="shared" si="7"/>
        <v>16</v>
      </c>
      <c r="W70" s="9">
        <f t="shared" si="8"/>
        <v>4</v>
      </c>
    </row>
    <row r="71" spans="1:23" x14ac:dyDescent="0.3">
      <c r="A71" s="4" t="str">
        <f>VLOOKUP(G71,Data!$A:$G,2,0)</f>
        <v>Rajendra Kumar Bapari</v>
      </c>
      <c r="B71" s="4" t="str">
        <f>VLOOKUP(G71,Data!$A:$G,3,0)</f>
        <v>Active</v>
      </c>
      <c r="C71" s="4" t="str">
        <f>VLOOKUP(G71,Data!$A:$G,4,0)</f>
        <v>Durgapur</v>
      </c>
      <c r="D71" s="4" t="str">
        <f>VLOOKUP(G71,Data!$A:$G,5,0)</f>
        <v>Kushodanga</v>
      </c>
      <c r="E71" s="4" t="str">
        <f>VLOOKUP(G71,Data!$A:$G,6,0)</f>
        <v>Rumpa Pal Mondal</v>
      </c>
      <c r="F71" s="10" t="str">
        <f>VLOOKUP(G71,Data!$A:$G,7,0)</f>
        <v>3390315402</v>
      </c>
      <c r="G71" s="5">
        <v>28170</v>
      </c>
      <c r="H71" s="7">
        <f>VLOOKUP(G71,'FI txn'!$G:$H,2,0)</f>
        <v>6</v>
      </c>
      <c r="I71" s="7">
        <f t="shared" si="6"/>
        <v>180</v>
      </c>
      <c r="J71" s="8"/>
      <c r="K71" s="8">
        <v>5</v>
      </c>
      <c r="L71" s="8">
        <v>2</v>
      </c>
      <c r="M71" s="8">
        <v>4</v>
      </c>
      <c r="N71" s="8">
        <v>4</v>
      </c>
      <c r="O71" s="8">
        <v>1</v>
      </c>
      <c r="P71" s="8"/>
      <c r="Q71" s="8"/>
      <c r="R71" s="8"/>
      <c r="S71" s="8"/>
      <c r="T71" s="8"/>
      <c r="U71" s="8"/>
      <c r="V71" s="8">
        <f t="shared" si="7"/>
        <v>16</v>
      </c>
      <c r="W71" s="9">
        <f t="shared" si="8"/>
        <v>2.6666666666666665</v>
      </c>
    </row>
    <row r="72" spans="1:23" x14ac:dyDescent="0.3">
      <c r="A72" s="4" t="str">
        <f>VLOOKUP(G72,Data!$A:$G,2,0)</f>
        <v>Under Office (W Medinipur)</v>
      </c>
      <c r="B72" s="4" t="str">
        <f>VLOOKUP(G72,Data!$A:$G,3,0)</f>
        <v>Active</v>
      </c>
      <c r="C72" s="4" t="str">
        <f>VLOOKUP(G72,Data!$A:$G,4,0)</f>
        <v>Hooghly</v>
      </c>
      <c r="D72" s="4" t="str">
        <f>VLOOKUP(G72,Data!$A:$G,5,0)</f>
        <v>Chandrakona</v>
      </c>
      <c r="E72" s="4" t="str">
        <f>VLOOKUP(G72,Data!$A:$G,6,0)</f>
        <v>Ananya Maity Bag</v>
      </c>
      <c r="F72" s="10" t="str">
        <f>VLOOKUP(G72,Data!$A:$G,7,0)</f>
        <v>2390313181</v>
      </c>
      <c r="G72" s="5">
        <v>24495</v>
      </c>
      <c r="H72" s="7">
        <f>VLOOKUP(G72,'FI txn'!$G:$H,2,0)</f>
        <v>6</v>
      </c>
      <c r="I72" s="7">
        <f t="shared" si="6"/>
        <v>180</v>
      </c>
      <c r="J72" s="8">
        <v>1</v>
      </c>
      <c r="K72" s="8">
        <v>3</v>
      </c>
      <c r="L72" s="8">
        <v>1</v>
      </c>
      <c r="M72" s="8">
        <v>5</v>
      </c>
      <c r="N72" s="8">
        <v>4</v>
      </c>
      <c r="O72" s="8">
        <v>1</v>
      </c>
      <c r="P72" s="8"/>
      <c r="Q72" s="8"/>
      <c r="R72" s="8"/>
      <c r="S72" s="8"/>
      <c r="T72" s="8"/>
      <c r="U72" s="8"/>
      <c r="V72" s="8">
        <f t="shared" si="7"/>
        <v>15</v>
      </c>
      <c r="W72" s="9">
        <f t="shared" si="8"/>
        <v>2.5</v>
      </c>
    </row>
    <row r="73" spans="1:23" x14ac:dyDescent="0.3">
      <c r="A73" s="4" t="str">
        <f>VLOOKUP(G73,Data!$A:$G,2,0)</f>
        <v>Sunil Biswas</v>
      </c>
      <c r="B73" s="4" t="str">
        <f>VLOOKUP(G73,Data!$A:$G,3,0)</f>
        <v>Inactive</v>
      </c>
      <c r="C73" s="4" t="str">
        <f>VLOOKUP(G73,Data!$A:$G,4,0)</f>
        <v>Durgapur</v>
      </c>
      <c r="D73" s="4" t="str">
        <f>VLOOKUP(G73,Data!$A:$G,5,0)</f>
        <v>Chakdaha</v>
      </c>
      <c r="E73" s="4" t="str">
        <f>VLOOKUP(G73,Data!$A:$G,6,0)</f>
        <v>Kiran Biswas</v>
      </c>
      <c r="F73" s="10" t="str">
        <f>VLOOKUP(G73,Data!$A:$G,7,0)</f>
        <v>2430315343</v>
      </c>
      <c r="G73" s="5">
        <v>28083</v>
      </c>
      <c r="H73" s="7">
        <f>VLOOKUP(G73,'FI txn'!$G:$H,2,0)</f>
        <v>5</v>
      </c>
      <c r="I73" s="7">
        <f t="shared" si="6"/>
        <v>150</v>
      </c>
      <c r="J73" s="8">
        <v>2</v>
      </c>
      <c r="K73" s="8">
        <v>3</v>
      </c>
      <c r="L73" s="8">
        <v>1</v>
      </c>
      <c r="M73" s="8">
        <v>5</v>
      </c>
      <c r="N73" s="8">
        <v>1</v>
      </c>
      <c r="O73" s="8">
        <v>1</v>
      </c>
      <c r="P73" s="8"/>
      <c r="Q73" s="8"/>
      <c r="R73" s="8"/>
      <c r="S73" s="8"/>
      <c r="T73" s="8"/>
      <c r="U73" s="8"/>
      <c r="V73" s="8">
        <f t="shared" si="7"/>
        <v>13</v>
      </c>
      <c r="W73" s="9">
        <f t="shared" si="8"/>
        <v>2.6</v>
      </c>
    </row>
    <row r="74" spans="1:23" x14ac:dyDescent="0.3">
      <c r="A74" s="4" t="str">
        <f>VLOOKUP(G74,Data!$A:$G,2,0)</f>
        <v>Under Office (W Medinipur)</v>
      </c>
      <c r="B74" s="4" t="str">
        <f>VLOOKUP(G74,Data!$A:$G,3,0)</f>
        <v>Active</v>
      </c>
      <c r="C74" s="4" t="str">
        <f>VLOOKUP(G74,Data!$A:$G,4,0)</f>
        <v>Hooghly</v>
      </c>
      <c r="D74" s="4" t="str">
        <f>VLOOKUP(G74,Data!$A:$G,5,0)</f>
        <v>Jara</v>
      </c>
      <c r="E74" s="4" t="str">
        <f>VLOOKUP(G74,Data!$A:$G,6,0)</f>
        <v>Priyanka Biswas</v>
      </c>
      <c r="F74" s="10" t="str">
        <f>VLOOKUP(G74,Data!$A:$G,7,0)</f>
        <v>2390311424</v>
      </c>
      <c r="G74" s="5">
        <v>22130</v>
      </c>
      <c r="H74" s="7">
        <f>VLOOKUP(G74,'FI txn'!$G:$H,2,0)</f>
        <v>6</v>
      </c>
      <c r="I74" s="7">
        <f t="shared" si="6"/>
        <v>180</v>
      </c>
      <c r="J74" s="8">
        <v>1</v>
      </c>
      <c r="K74" s="8">
        <v>2</v>
      </c>
      <c r="L74" s="8">
        <v>3</v>
      </c>
      <c r="M74" s="8">
        <v>3</v>
      </c>
      <c r="N74" s="8">
        <v>3</v>
      </c>
      <c r="O74" s="8"/>
      <c r="P74" s="8"/>
      <c r="Q74" s="8"/>
      <c r="R74" s="8"/>
      <c r="S74" s="8"/>
      <c r="T74" s="8"/>
      <c r="U74" s="8"/>
      <c r="V74" s="8">
        <f t="shared" si="7"/>
        <v>12</v>
      </c>
      <c r="W74" s="9">
        <f t="shared" si="8"/>
        <v>2</v>
      </c>
    </row>
    <row r="75" spans="1:23" x14ac:dyDescent="0.3">
      <c r="A75" s="4" t="str">
        <f>VLOOKUP(G75,Data!$A:$G,2,0)</f>
        <v>Souvik Maity</v>
      </c>
      <c r="B75" s="4" t="str">
        <f>VLOOKUP(G75,Data!$A:$G,3,0)</f>
        <v>Inactive</v>
      </c>
      <c r="C75" s="4" t="str">
        <f>VLOOKUP(G75,Data!$A:$G,4,0)</f>
        <v>Hooghly</v>
      </c>
      <c r="D75" s="4" t="str">
        <f>VLOOKUP(G75,Data!$A:$G,5,0)</f>
        <v>Batanal</v>
      </c>
      <c r="E75" s="4" t="str">
        <f>VLOOKUP(G75,Data!$A:$G,6,0)</f>
        <v>Chaitali Shit Malik</v>
      </c>
      <c r="F75" s="10" t="str">
        <f>VLOOKUP(G75,Data!$A:$G,7,0)</f>
        <v>3390311948</v>
      </c>
      <c r="G75" s="12">
        <v>22775</v>
      </c>
      <c r="H75" s="7">
        <f>VLOOKUP(G75,'FI txn'!$G:$H,2,0)</f>
        <v>1</v>
      </c>
      <c r="I75" s="7">
        <f t="shared" si="6"/>
        <v>30</v>
      </c>
      <c r="J75" s="8">
        <v>4</v>
      </c>
      <c r="K75" s="8">
        <v>4</v>
      </c>
      <c r="L75" s="8">
        <v>3</v>
      </c>
      <c r="M75" s="8"/>
      <c r="N75" s="8"/>
      <c r="O75" s="8"/>
      <c r="P75" s="8"/>
      <c r="Q75" s="8"/>
      <c r="R75" s="8"/>
      <c r="S75" s="8"/>
      <c r="T75" s="8"/>
      <c r="U75" s="8"/>
      <c r="V75" s="8">
        <f t="shared" si="7"/>
        <v>11</v>
      </c>
      <c r="W75" s="9">
        <f t="shared" si="8"/>
        <v>11</v>
      </c>
    </row>
    <row r="76" spans="1:23" x14ac:dyDescent="0.3">
      <c r="A76" s="4" t="str">
        <f>VLOOKUP(G76,Data!$A:$G,2,0)</f>
        <v>Santanu Bera</v>
      </c>
      <c r="B76" s="4" t="str">
        <f>VLOOKUP(G76,Data!$A:$G,3,0)</f>
        <v>Active</v>
      </c>
      <c r="C76" s="4" t="str">
        <f>VLOOKUP(G76,Data!$A:$G,4,0)</f>
        <v>Hooghly</v>
      </c>
      <c r="D76" s="4" t="str">
        <f>VLOOKUP(G76,Data!$A:$G,5,0)</f>
        <v>Keshapat</v>
      </c>
      <c r="E76" s="4" t="str">
        <f>VLOOKUP(G76,Data!$A:$G,6,0)</f>
        <v>Subhankar Samanta</v>
      </c>
      <c r="F76" s="10" t="str">
        <f>VLOOKUP(G76,Data!$A:$G,7,0)</f>
        <v>2380311664</v>
      </c>
      <c r="G76" s="5">
        <v>22402</v>
      </c>
      <c r="H76" s="7">
        <f>VLOOKUP(G76,'FI txn'!$G:$H,2,0)</f>
        <v>6</v>
      </c>
      <c r="I76" s="7">
        <f t="shared" si="6"/>
        <v>180</v>
      </c>
      <c r="J76" s="8">
        <v>3</v>
      </c>
      <c r="K76" s="8">
        <v>3</v>
      </c>
      <c r="L76" s="8">
        <v>1</v>
      </c>
      <c r="M76" s="8">
        <v>2</v>
      </c>
      <c r="N76" s="8"/>
      <c r="O76" s="8"/>
      <c r="P76" s="8"/>
      <c r="Q76" s="8"/>
      <c r="R76" s="8"/>
      <c r="S76" s="8"/>
      <c r="T76" s="8"/>
      <c r="U76" s="8"/>
      <c r="V76" s="8">
        <f t="shared" si="7"/>
        <v>9</v>
      </c>
      <c r="W76" s="9">
        <f t="shared" si="8"/>
        <v>1.5</v>
      </c>
    </row>
    <row r="77" spans="1:23" x14ac:dyDescent="0.3">
      <c r="A77" s="4" t="str">
        <f>VLOOKUP(G77,Data!$A:$G,2,0)</f>
        <v>Chandi Charan Mahato</v>
      </c>
      <c r="B77" s="4" t="str">
        <f>VLOOKUP(G77,Data!$A:$G,3,0)</f>
        <v>Inactive</v>
      </c>
      <c r="C77" s="4" t="str">
        <f>VLOOKUP(G77,Data!$A:$G,4,0)</f>
        <v>Durgapur</v>
      </c>
      <c r="D77" s="4" t="str">
        <f>VLOOKUP(G77,Data!$A:$G,5,0)</f>
        <v>Patrasayer</v>
      </c>
      <c r="E77" s="4" t="str">
        <f>VLOOKUP(G77,Data!$A:$G,6,0)</f>
        <v xml:space="preserve">Manorama Chakraborty Roy </v>
      </c>
      <c r="F77" s="10" t="str">
        <f>VLOOKUP(G77,Data!$A:$G,7,0)</f>
        <v>2160315496</v>
      </c>
      <c r="G77" s="5">
        <v>28305</v>
      </c>
      <c r="H77" s="7">
        <f>VLOOKUP(G77,'FI txn'!$G:$H,2,0)</f>
        <v>4</v>
      </c>
      <c r="I77" s="7">
        <f t="shared" si="6"/>
        <v>120</v>
      </c>
      <c r="J77" s="8"/>
      <c r="K77" s="8">
        <v>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>
        <f t="shared" si="7"/>
        <v>9</v>
      </c>
      <c r="W77" s="9">
        <f t="shared" si="8"/>
        <v>2.25</v>
      </c>
    </row>
    <row r="78" spans="1:23" x14ac:dyDescent="0.3">
      <c r="A78" s="4" t="str">
        <f>VLOOKUP(G78,Data!$A:$G,2,0)</f>
        <v>Sunil Biswas</v>
      </c>
      <c r="B78" s="4" t="str">
        <f>VLOOKUP(G78,Data!$A:$G,3,0)</f>
        <v>Inactive</v>
      </c>
      <c r="C78" s="4" t="str">
        <f>VLOOKUP(G78,Data!$A:$G,4,0)</f>
        <v>Durgapur</v>
      </c>
      <c r="D78" s="4" t="str">
        <f>VLOOKUP(G78,Data!$A:$G,5,0)</f>
        <v>Hridaypur</v>
      </c>
      <c r="E78" s="4" t="str">
        <f>VLOOKUP(G78,Data!$A:$G,6,0)</f>
        <v>Asim Halder</v>
      </c>
      <c r="F78" s="10" t="str">
        <f>VLOOKUP(G78,Data!$A:$G,7,0)</f>
        <v>2430315807</v>
      </c>
      <c r="G78" s="5">
        <v>29052</v>
      </c>
      <c r="H78" s="7">
        <f>VLOOKUP(G78,'FI txn'!$G:$H,2,0)</f>
        <v>3</v>
      </c>
      <c r="I78" s="7">
        <f t="shared" si="6"/>
        <v>90</v>
      </c>
      <c r="J78" s="8">
        <v>4</v>
      </c>
      <c r="K78" s="8">
        <v>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>
        <f t="shared" si="7"/>
        <v>9</v>
      </c>
      <c r="W78" s="9">
        <f t="shared" si="8"/>
        <v>3</v>
      </c>
    </row>
    <row r="79" spans="1:23" x14ac:dyDescent="0.3">
      <c r="A79" s="4" t="str">
        <f>VLOOKUP(G79,Data!$A:$G,2,0)</f>
        <v>Under Office (W Medinipur)</v>
      </c>
      <c r="B79" s="4" t="str">
        <f>VLOOKUP(G79,Data!$A:$G,3,0)</f>
        <v>Active</v>
      </c>
      <c r="C79" s="4" t="str">
        <f>VLOOKUP(G79,Data!$A:$G,4,0)</f>
        <v>Hooghly</v>
      </c>
      <c r="D79" s="4" t="str">
        <f>VLOOKUP(G79,Data!$A:$G,5,0)</f>
        <v>Bhairabpur</v>
      </c>
      <c r="E79" s="4" t="str">
        <f>VLOOKUP(G79,Data!$A:$G,6,0)</f>
        <v>Srabani Chatterjee</v>
      </c>
      <c r="F79" s="10" t="str">
        <f>VLOOKUP(G79,Data!$A:$G,7,0)</f>
        <v>2390312437</v>
      </c>
      <c r="G79" s="5">
        <v>23429</v>
      </c>
      <c r="H79" s="7">
        <f>VLOOKUP(G79,'FI txn'!$G:$H,2,0)</f>
        <v>6</v>
      </c>
      <c r="I79" s="7">
        <f t="shared" si="6"/>
        <v>180</v>
      </c>
      <c r="J79" s="8">
        <v>1</v>
      </c>
      <c r="K79" s="8">
        <v>2</v>
      </c>
      <c r="L79" s="8">
        <v>1</v>
      </c>
      <c r="M79" s="8">
        <v>2</v>
      </c>
      <c r="N79" s="8">
        <v>1</v>
      </c>
      <c r="O79" s="8">
        <v>1</v>
      </c>
      <c r="P79" s="8"/>
      <c r="Q79" s="8"/>
      <c r="R79" s="8"/>
      <c r="S79" s="8"/>
      <c r="T79" s="8"/>
      <c r="U79" s="8"/>
      <c r="V79" s="8">
        <f t="shared" si="7"/>
        <v>8</v>
      </c>
      <c r="W79" s="9">
        <f t="shared" si="8"/>
        <v>1.3333333333333333</v>
      </c>
    </row>
    <row r="80" spans="1:23" x14ac:dyDescent="0.3">
      <c r="A80" s="4" t="str">
        <f>VLOOKUP(G80,Data!$A:$G,2,0)</f>
        <v>Souvik Maity</v>
      </c>
      <c r="B80" s="4" t="str">
        <f>VLOOKUP(G80,Data!$A:$G,3,0)</f>
        <v>Active</v>
      </c>
      <c r="C80" s="4" t="str">
        <f>VLOOKUP(G80,Data!$A:$G,4,0)</f>
        <v>Hooghly</v>
      </c>
      <c r="D80" s="4" t="str">
        <f>VLOOKUP(G80,Data!$A:$G,5,0)</f>
        <v>Kamarpara</v>
      </c>
      <c r="E80" s="4" t="str">
        <f>VLOOKUP(G80,Data!$A:$G,6,0)</f>
        <v>Mithu Ghosh</v>
      </c>
      <c r="F80" s="10" t="str">
        <f>VLOOKUP(G80,Data!$A:$G,7,0)</f>
        <v>3390312440</v>
      </c>
      <c r="G80" s="5">
        <v>23432</v>
      </c>
      <c r="H80" s="7">
        <f>VLOOKUP(G80,'FI txn'!$G:$H,2,0)</f>
        <v>6</v>
      </c>
      <c r="I80" s="7">
        <f t="shared" si="6"/>
        <v>180</v>
      </c>
      <c r="J80" s="8">
        <v>1</v>
      </c>
      <c r="K80" s="8"/>
      <c r="L80" s="8">
        <v>3</v>
      </c>
      <c r="M80" s="8">
        <v>1</v>
      </c>
      <c r="N80" s="8">
        <v>1</v>
      </c>
      <c r="O80" s="8"/>
      <c r="P80" s="8"/>
      <c r="Q80" s="8"/>
      <c r="R80" s="8"/>
      <c r="S80" s="8"/>
      <c r="T80" s="8"/>
      <c r="U80" s="8"/>
      <c r="V80" s="8">
        <f t="shared" si="7"/>
        <v>6</v>
      </c>
      <c r="W80" s="9">
        <f t="shared" si="8"/>
        <v>1</v>
      </c>
    </row>
    <row r="81" spans="1:23" x14ac:dyDescent="0.3">
      <c r="A81" s="4" t="str">
        <f>VLOOKUP(G81,Data!$A:$G,2,0)</f>
        <v>Under Office (W Medinipur)</v>
      </c>
      <c r="B81" s="4" t="str">
        <f>VLOOKUP(G81,Data!$A:$G,3,0)</f>
        <v>Active</v>
      </c>
      <c r="C81" s="4" t="str">
        <f>VLOOKUP(G81,Data!$A:$G,4,0)</f>
        <v>Hooghly</v>
      </c>
      <c r="D81" s="4" t="str">
        <f>VLOOKUP(G81,Data!$A:$G,5,0)</f>
        <v>Chandrakona</v>
      </c>
      <c r="E81" s="4" t="str">
        <f>VLOOKUP(G81,Data!$A:$G,6,0)</f>
        <v>Mani Dhara</v>
      </c>
      <c r="F81" s="10" t="str">
        <f>VLOOKUP(G81,Data!$A:$G,7,0)</f>
        <v>2390313180</v>
      </c>
      <c r="G81" s="5">
        <v>24494</v>
      </c>
      <c r="H81" s="7">
        <f>VLOOKUP(G81,'FI txn'!$G:$H,2,0)</f>
        <v>6</v>
      </c>
      <c r="I81" s="7">
        <f t="shared" si="6"/>
        <v>180</v>
      </c>
      <c r="J81" s="8"/>
      <c r="K81" s="8">
        <v>2</v>
      </c>
      <c r="L81" s="8"/>
      <c r="M81" s="8"/>
      <c r="N81" s="8">
        <v>3</v>
      </c>
      <c r="O81" s="8"/>
      <c r="P81" s="8"/>
      <c r="Q81" s="8"/>
      <c r="R81" s="8"/>
      <c r="S81" s="8"/>
      <c r="T81" s="8"/>
      <c r="U81" s="8"/>
      <c r="V81" s="8">
        <f t="shared" si="7"/>
        <v>5</v>
      </c>
      <c r="W81" s="9">
        <f t="shared" si="8"/>
        <v>0.83333333333333337</v>
      </c>
    </row>
    <row r="82" spans="1:23" x14ac:dyDescent="0.3">
      <c r="A82" s="4" t="str">
        <f>VLOOKUP(G82,Data!$A:$G,2,0)</f>
        <v>Santanu Bera</v>
      </c>
      <c r="B82" s="4" t="str">
        <f>VLOOKUP(G82,Data!$A:$G,3,0)</f>
        <v>Active</v>
      </c>
      <c r="C82" s="4" t="str">
        <f>VLOOKUP(G82,Data!$A:$G,4,0)</f>
        <v>Hooghly</v>
      </c>
      <c r="D82" s="4" t="str">
        <f>VLOOKUP(G82,Data!$A:$G,5,0)</f>
        <v>Contai</v>
      </c>
      <c r="E82" s="4" t="str">
        <f>VLOOKUP(G82,Data!$A:$G,6,0)</f>
        <v>Subhankar Sahoo</v>
      </c>
      <c r="F82" s="10" t="str">
        <f>VLOOKUP(G82,Data!$A:$G,7,0)</f>
        <v>2380314983</v>
      </c>
      <c r="G82" s="5">
        <v>27249</v>
      </c>
      <c r="H82" s="7">
        <f>VLOOKUP(G82,'FI txn'!$G:$H,2,0)</f>
        <v>6</v>
      </c>
      <c r="I82" s="7">
        <f t="shared" si="6"/>
        <v>180</v>
      </c>
      <c r="J82" s="8"/>
      <c r="K82" s="8">
        <v>3</v>
      </c>
      <c r="L82" s="8"/>
      <c r="M82" s="8">
        <v>1</v>
      </c>
      <c r="N82" s="8"/>
      <c r="O82" s="8"/>
      <c r="P82" s="8"/>
      <c r="Q82" s="8"/>
      <c r="R82" s="8"/>
      <c r="S82" s="8"/>
      <c r="T82" s="8"/>
      <c r="U82" s="8"/>
      <c r="V82" s="8">
        <f t="shared" si="7"/>
        <v>4</v>
      </c>
      <c r="W82" s="9">
        <f t="shared" si="8"/>
        <v>0.66666666666666663</v>
      </c>
    </row>
    <row r="83" spans="1:23" x14ac:dyDescent="0.3">
      <c r="A83" s="4" t="str">
        <f>VLOOKUP(G83,Data!$A:$G,2,0)</f>
        <v>Manindra Nath Barman</v>
      </c>
      <c r="B83" s="4" t="str">
        <f>VLOOKUP(G83,Data!$A:$G,3,0)</f>
        <v>Inactive</v>
      </c>
      <c r="C83" s="4" t="str">
        <f>VLOOKUP(G83,Data!$A:$G,4,0)</f>
        <v>Siliguri</v>
      </c>
      <c r="D83" s="4" t="str">
        <f>VLOOKUP(G83,Data!$A:$G,5,0)</f>
        <v>Buxa Forest Craja</v>
      </c>
      <c r="E83" s="4" t="str">
        <f>VLOOKUP(G83,Data!$A:$G,6,0)</f>
        <v xml:space="preserve">Md Khalique Ansari </v>
      </c>
      <c r="F83" s="10" t="str">
        <f>VLOOKUP(G83,Data!$A:$G,7,0)</f>
        <v>9490315684</v>
      </c>
      <c r="G83" s="5">
        <v>28825</v>
      </c>
      <c r="H83" s="7">
        <f>VLOOKUP(G83,'FI txn'!$G:$H,2,0)</f>
        <v>5</v>
      </c>
      <c r="I83" s="7">
        <f t="shared" si="6"/>
        <v>150</v>
      </c>
      <c r="J83" s="8"/>
      <c r="K83" s="8"/>
      <c r="L83" s="8"/>
      <c r="M83" s="8">
        <v>1</v>
      </c>
      <c r="N83" s="8">
        <v>2</v>
      </c>
      <c r="O83" s="8"/>
      <c r="P83" s="8"/>
      <c r="Q83" s="8"/>
      <c r="R83" s="8"/>
      <c r="S83" s="8"/>
      <c r="T83" s="8"/>
      <c r="U83" s="8"/>
      <c r="V83" s="8">
        <f t="shared" si="7"/>
        <v>3</v>
      </c>
      <c r="W83" s="9">
        <f t="shared" si="8"/>
        <v>0.6</v>
      </c>
    </row>
    <row r="84" spans="1:23" x14ac:dyDescent="0.3">
      <c r="A84" s="4" t="str">
        <f>VLOOKUP(G84,Data!$A:$G,2,0)</f>
        <v>Manindra Nath Barman</v>
      </c>
      <c r="B84" s="4" t="str">
        <f>VLOOKUP(G84,Data!$A:$G,3,0)</f>
        <v>Active</v>
      </c>
      <c r="C84" s="4" t="str">
        <f>VLOOKUP(G84,Data!$A:$G,4,0)</f>
        <v>Siliguri</v>
      </c>
      <c r="D84" s="4" t="str">
        <f>VLOOKUP(G84,Data!$A:$G,5,0)</f>
        <v>Ethelbari</v>
      </c>
      <c r="E84" s="4" t="str">
        <f>VLOOKUP(G84,Data!$A:$G,6,0)</f>
        <v>Tarif Baxla</v>
      </c>
      <c r="F84" s="10" t="str">
        <f>VLOOKUP(G84,Data!$A:$G,7,0)</f>
        <v>8410316211</v>
      </c>
      <c r="G84" s="5">
        <v>29798</v>
      </c>
      <c r="H84" s="7">
        <f>VLOOKUP(G84,'FI txn'!$G:$H,2,0)</f>
        <v>2</v>
      </c>
      <c r="I84" s="7">
        <f t="shared" si="6"/>
        <v>60</v>
      </c>
      <c r="J84" s="8"/>
      <c r="K84" s="8"/>
      <c r="L84" s="8"/>
      <c r="M84" s="8"/>
      <c r="N84" s="8"/>
      <c r="O84" s="8">
        <v>3</v>
      </c>
      <c r="P84" s="8"/>
      <c r="Q84" s="8"/>
      <c r="R84" s="8"/>
      <c r="S84" s="8"/>
      <c r="T84" s="8"/>
      <c r="U84" s="8"/>
      <c r="V84" s="8">
        <f t="shared" si="7"/>
        <v>3</v>
      </c>
      <c r="W84" s="9">
        <f t="shared" si="8"/>
        <v>1.5</v>
      </c>
    </row>
    <row r="85" spans="1:23" x14ac:dyDescent="0.3">
      <c r="A85" s="4" t="str">
        <f>VLOOKUP(G85,Data!$A:$G,2,0)</f>
        <v>Under Office (W Medinipur)</v>
      </c>
      <c r="B85" s="4" t="str">
        <f>VLOOKUP(G85,Data!$A:$G,3,0)</f>
        <v>Active</v>
      </c>
      <c r="C85" s="4" t="str">
        <f>VLOOKUP(G85,Data!$A:$G,4,0)</f>
        <v>Hooghly</v>
      </c>
      <c r="D85" s="4" t="str">
        <f>VLOOKUP(G85,Data!$A:$G,5,0)</f>
        <v>Banka</v>
      </c>
      <c r="E85" s="4" t="str">
        <f>VLOOKUP(G85,Data!$A:$G,6,0)</f>
        <v>Subhajit Chanda</v>
      </c>
      <c r="F85" s="10" t="str">
        <f>VLOOKUP(G85,Data!$A:$G,7,0)</f>
        <v>2390312543</v>
      </c>
      <c r="G85" s="5">
        <v>23560</v>
      </c>
      <c r="H85" s="7">
        <f>VLOOKUP(G85,'FI txn'!$G:$H,2,0)</f>
        <v>6</v>
      </c>
      <c r="I85" s="7">
        <f t="shared" si="6"/>
        <v>180</v>
      </c>
      <c r="J85" s="8"/>
      <c r="K85" s="8">
        <v>1</v>
      </c>
      <c r="L85" s="8">
        <v>1</v>
      </c>
      <c r="M85" s="8"/>
      <c r="N85" s="8"/>
      <c r="O85" s="8"/>
      <c r="P85" s="8"/>
      <c r="Q85" s="8"/>
      <c r="R85" s="8"/>
      <c r="S85" s="8"/>
      <c r="T85" s="8"/>
      <c r="U85" s="8"/>
      <c r="V85" s="8">
        <f t="shared" si="7"/>
        <v>2</v>
      </c>
      <c r="W85" s="9">
        <f t="shared" si="8"/>
        <v>0.33333333333333331</v>
      </c>
    </row>
    <row r="86" spans="1:23" x14ac:dyDescent="0.3">
      <c r="A86" s="4" t="str">
        <f>VLOOKUP(G86,Data!$A:$G,2,0)</f>
        <v>Sunil Biswas</v>
      </c>
      <c r="B86" s="4" t="str">
        <f>VLOOKUP(G86,Data!$A:$G,3,0)</f>
        <v>Inactive</v>
      </c>
      <c r="C86" s="4" t="str">
        <f>VLOOKUP(G86,Data!$A:$G,4,0)</f>
        <v>Durgapur</v>
      </c>
      <c r="D86" s="4" t="str">
        <f>VLOOKUP(G86,Data!$A:$G,5,0)</f>
        <v>Badkulla</v>
      </c>
      <c r="E86" s="4" t="str">
        <f>VLOOKUP(G86,Data!$A:$G,6,0)</f>
        <v>Amit Sikder</v>
      </c>
      <c r="F86" s="10" t="str">
        <f>VLOOKUP(G86,Data!$A:$G,7,0)</f>
        <v>2430315185</v>
      </c>
      <c r="G86" s="5">
        <v>27731</v>
      </c>
      <c r="H86" s="7">
        <f>VLOOKUP(G86,'FI txn'!$G:$H,2,0)</f>
        <v>2</v>
      </c>
      <c r="I86" s="7">
        <f t="shared" si="6"/>
        <v>60</v>
      </c>
      <c r="J86" s="8">
        <v>2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>
        <f t="shared" si="7"/>
        <v>2</v>
      </c>
      <c r="W86" s="9">
        <f t="shared" si="8"/>
        <v>1</v>
      </c>
    </row>
    <row r="87" spans="1:23" x14ac:dyDescent="0.3">
      <c r="A87" s="4" t="str">
        <f>VLOOKUP(G87,Data!$A:$G,2,0)</f>
        <v>Sunil Biswas</v>
      </c>
      <c r="B87" s="4" t="str">
        <f>VLOOKUP(G87,Data!$A:$G,3,0)</f>
        <v>Inactive</v>
      </c>
      <c r="C87" s="4" t="str">
        <f>VLOOKUP(G87,Data!$A:$G,4,0)</f>
        <v>Durgapur</v>
      </c>
      <c r="D87" s="4" t="str">
        <f>VLOOKUP(G87,Data!$A:$G,5,0)</f>
        <v>Hridaypur</v>
      </c>
      <c r="E87" s="4" t="str">
        <f>VLOOKUP(G87,Data!$A:$G,6,0)</f>
        <v>Nitish Mondal</v>
      </c>
      <c r="F87" s="10" t="str">
        <f>VLOOKUP(G87,Data!$A:$G,7,0)</f>
        <v>8942919438</v>
      </c>
      <c r="G87" s="5">
        <v>29524</v>
      </c>
      <c r="H87" s="7">
        <f>VLOOKUP(G87,'FI txn'!$G:$H,2,0)</f>
        <v>1</v>
      </c>
      <c r="I87" s="7">
        <f t="shared" si="6"/>
        <v>30</v>
      </c>
      <c r="J87" s="8"/>
      <c r="K87" s="8"/>
      <c r="L87" s="8"/>
      <c r="M87" s="8">
        <v>2</v>
      </c>
      <c r="N87" s="8"/>
      <c r="O87" s="8"/>
      <c r="P87" s="8"/>
      <c r="Q87" s="8"/>
      <c r="R87" s="8"/>
      <c r="S87" s="8"/>
      <c r="T87" s="8"/>
      <c r="U87" s="8"/>
      <c r="V87" s="8">
        <f t="shared" si="7"/>
        <v>2</v>
      </c>
      <c r="W87" s="9"/>
    </row>
    <row r="88" spans="1:23" x14ac:dyDescent="0.3">
      <c r="A88" s="4" t="str">
        <f>VLOOKUP(G88,Data!$A:$G,2,0)</f>
        <v>Mousumi Sarkar</v>
      </c>
      <c r="B88" s="4" t="str">
        <f>VLOOKUP(G88,Data!$A:$G,3,0)</f>
        <v>Active</v>
      </c>
      <c r="C88" s="4" t="str">
        <f>VLOOKUP(G88,Data!$A:$G,4,0)</f>
        <v>Saltlake</v>
      </c>
      <c r="D88" s="4" t="str">
        <f>VLOOKUP(G88,Data!$A:$G,5,0)</f>
        <v>Hingalganj</v>
      </c>
      <c r="E88" s="4" t="str">
        <f>VLOOKUP(G88,Data!$A:$G,6,0)</f>
        <v>Khairulla Mistri</v>
      </c>
      <c r="F88" s="10" t="str">
        <f>VLOOKUP(G88,Data!$A:$G,7,0)</f>
        <v>8410316210</v>
      </c>
      <c r="G88" s="5">
        <v>29799</v>
      </c>
      <c r="H88" s="7">
        <f>VLOOKUP(G88,'FI txn'!$G:$H,2,0)</f>
        <v>2</v>
      </c>
      <c r="I88" s="7">
        <f t="shared" si="6"/>
        <v>60</v>
      </c>
      <c r="J88" s="8"/>
      <c r="K88" s="8"/>
      <c r="L88" s="8"/>
      <c r="M88" s="8"/>
      <c r="N88" s="8"/>
      <c r="O88" s="8">
        <v>1</v>
      </c>
      <c r="P88" s="8"/>
      <c r="Q88" s="8"/>
      <c r="R88" s="8"/>
      <c r="S88" s="8"/>
      <c r="T88" s="8"/>
      <c r="U88" s="8"/>
      <c r="V88" s="8">
        <f t="shared" si="7"/>
        <v>1</v>
      </c>
      <c r="W88" s="9">
        <f t="shared" ref="W88:W104" si="9">V88/H88</f>
        <v>0.5</v>
      </c>
    </row>
    <row r="89" spans="1:23" x14ac:dyDescent="0.3">
      <c r="A89" s="4" t="str">
        <f>VLOOKUP(G89,Data!$A:$G,2,0)</f>
        <v>Souvik Maity</v>
      </c>
      <c r="B89" s="4" t="str">
        <f>VLOOKUP(G89,Data!$A:$G,3,0)</f>
        <v>Active</v>
      </c>
      <c r="C89" s="4" t="str">
        <f>VLOOKUP(G89,Data!$A:$G,4,0)</f>
        <v>Hooghly</v>
      </c>
      <c r="D89" s="4" t="str">
        <f>VLOOKUP(G89,Data!$A:$G,5,0)</f>
        <v>Saidpur</v>
      </c>
      <c r="E89" s="4" t="str">
        <f>VLOOKUP(G89,Data!$A:$G,6,0)</f>
        <v>Puja Manna</v>
      </c>
      <c r="F89" s="10" t="str">
        <f>VLOOKUP(G89,Data!$A:$G,7,0)</f>
        <v>3390311696</v>
      </c>
      <c r="G89" s="5">
        <v>22453</v>
      </c>
      <c r="H89" s="7">
        <f>VLOOKUP(G89,'FI txn'!$G:$H,2,0)</f>
        <v>6</v>
      </c>
      <c r="I89" s="7">
        <f t="shared" si="6"/>
        <v>180</v>
      </c>
      <c r="J89" s="8"/>
      <c r="K89" s="8">
        <v>1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>
        <f t="shared" si="7"/>
        <v>1</v>
      </c>
      <c r="W89" s="9">
        <f t="shared" si="9"/>
        <v>0.16666666666666666</v>
      </c>
    </row>
    <row r="90" spans="1:23" x14ac:dyDescent="0.3">
      <c r="A90" s="4" t="str">
        <f>VLOOKUP(G90,Data!$A:$G,2,0)</f>
        <v>Under Office (Birbhum)</v>
      </c>
      <c r="B90" s="4" t="str">
        <f>VLOOKUP(G90,Data!$A:$G,3,0)</f>
        <v>Inactive</v>
      </c>
      <c r="C90" s="4" t="str">
        <f>VLOOKUP(G90,Data!$A:$G,4,0)</f>
        <v>Siliguri</v>
      </c>
      <c r="D90" s="4" t="str">
        <f>VLOOKUP(G90,Data!$A:$G,5,0)</f>
        <v>Lohapur</v>
      </c>
      <c r="E90" s="4" t="str">
        <f>VLOOKUP(G90,Data!$A:$G,6,0)</f>
        <v>Suraj Fulmali</v>
      </c>
      <c r="F90" s="10" t="str">
        <f>VLOOKUP(G90,Data!$A:$G,7,0)</f>
        <v>0140311327</v>
      </c>
      <c r="G90" s="5">
        <v>27437</v>
      </c>
      <c r="H90" s="7">
        <f>VLOOKUP(G90,'FI txn'!$G:$H,2,0)</f>
        <v>2</v>
      </c>
      <c r="I90" s="7">
        <f t="shared" si="6"/>
        <v>60</v>
      </c>
      <c r="J90" s="8">
        <v>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>
        <f t="shared" si="7"/>
        <v>1</v>
      </c>
      <c r="W90" s="9">
        <f t="shared" si="9"/>
        <v>0.5</v>
      </c>
    </row>
    <row r="91" spans="1:23" x14ac:dyDescent="0.3">
      <c r="A91" s="4" t="str">
        <f>VLOOKUP(G91,Data!$A:$G,2,0)</f>
        <v>Santanu Bera</v>
      </c>
      <c r="B91" s="4" t="str">
        <f>VLOOKUP(G91,Data!$A:$G,3,0)</f>
        <v>Active</v>
      </c>
      <c r="C91" s="4" t="str">
        <f>VLOOKUP(G91,Data!$A:$G,4,0)</f>
        <v>Hooghly</v>
      </c>
      <c r="D91" s="4" t="str">
        <f>VLOOKUP(G91,Data!$A:$G,5,0)</f>
        <v>Tamluk</v>
      </c>
      <c r="E91" s="4" t="str">
        <f>VLOOKUP(G91,Data!$A:$G,6,0)</f>
        <v>Soumen Baichar</v>
      </c>
      <c r="F91" s="10" t="str">
        <f>VLOOKUP(G91,Data!$A:$G,7,0)</f>
        <v>2390314474</v>
      </c>
      <c r="G91" s="5">
        <v>26530</v>
      </c>
      <c r="H91" s="7">
        <f>VLOOKUP(G91,'FI txn'!$G:$H,2,0)</f>
        <v>6</v>
      </c>
      <c r="I91" s="7">
        <f t="shared" si="6"/>
        <v>180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>
        <f t="shared" si="9"/>
        <v>0</v>
      </c>
    </row>
    <row r="92" spans="1:23" x14ac:dyDescent="0.3">
      <c r="A92" s="4" t="str">
        <f>VLOOKUP(G92,Data!$A:$G,2,0)</f>
        <v>Souvik Maity</v>
      </c>
      <c r="B92" s="4" t="str">
        <f>VLOOKUP(G92,Data!$A:$G,3,0)</f>
        <v>Active</v>
      </c>
      <c r="C92" s="4" t="str">
        <f>VLOOKUP(G92,Data!$A:$G,4,0)</f>
        <v>Hooghly</v>
      </c>
      <c r="D92" s="4" t="str">
        <f>VLOOKUP(G92,Data!$A:$G,5,0)</f>
        <v>Mayapur</v>
      </c>
      <c r="E92" s="4" t="str">
        <f>VLOOKUP(G92,Data!$A:$G,6,0)</f>
        <v>Ruma Rana</v>
      </c>
      <c r="F92" s="10" t="str">
        <f>VLOOKUP(G92,Data!$A:$G,7,0)</f>
        <v>8410316172</v>
      </c>
      <c r="G92" s="5">
        <v>29749</v>
      </c>
      <c r="H92" s="7">
        <f>VLOOKUP(G92,'FI txn'!$G:$H,2,0)</f>
        <v>1</v>
      </c>
      <c r="I92" s="7">
        <f t="shared" si="6"/>
        <v>30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>
        <f t="shared" si="9"/>
        <v>0</v>
      </c>
    </row>
    <row r="93" spans="1:23" x14ac:dyDescent="0.3">
      <c r="A93" s="4" t="str">
        <f>VLOOKUP(G93,Data!$A:$G,2,0)</f>
        <v>Chandi Charan Mahato</v>
      </c>
      <c r="B93" s="4" t="str">
        <f>VLOOKUP(G93,Data!$A:$G,3,0)</f>
        <v>Inactive</v>
      </c>
      <c r="C93" s="4" t="str">
        <f>VLOOKUP(G93,Data!$A:$G,4,0)</f>
        <v>Durgapur</v>
      </c>
      <c r="D93" s="4" t="str">
        <f>VLOOKUP(G93,Data!$A:$G,5,0)</f>
        <v>Kotulpur</v>
      </c>
      <c r="E93" s="4" t="str">
        <f>VLOOKUP(G93,Data!$A:$G,6,0)</f>
        <v>Sayan Dutta</v>
      </c>
      <c r="F93" s="10" t="str">
        <f>VLOOKUP(G93,Data!$A:$G,7,0)</f>
        <v>2160315608</v>
      </c>
      <c r="G93" s="12">
        <v>28601</v>
      </c>
      <c r="H93" s="7">
        <f>VLOOKUP(G93,'FI txn'!$G:$H,2,0)</f>
        <v>1</v>
      </c>
      <c r="I93" s="7">
        <f t="shared" si="6"/>
        <v>30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>
        <f t="shared" si="9"/>
        <v>0</v>
      </c>
    </row>
    <row r="94" spans="1:23" x14ac:dyDescent="0.3">
      <c r="A94" s="4" t="str">
        <f>VLOOKUP(G94,Data!$A:$G,2,0)</f>
        <v>Under Office (Birbhum)</v>
      </c>
      <c r="B94" s="4" t="str">
        <f>VLOOKUP(G94,Data!$A:$G,3,0)</f>
        <v>Inactive</v>
      </c>
      <c r="C94" s="4" t="str">
        <f>VLOOKUP(G94,Data!$A:$G,4,0)</f>
        <v>Siliguri</v>
      </c>
      <c r="D94" s="4" t="str">
        <f>VLOOKUP(G94,Data!$A:$G,5,0)</f>
        <v>Mangaldihi</v>
      </c>
      <c r="E94" s="4" t="str">
        <f>VLOOKUP(G94,Data!$A:$G,6,0)</f>
        <v>Sk Khairul Hossain</v>
      </c>
      <c r="F94" s="10" t="str">
        <f>VLOOKUP(G94,Data!$A:$G,7,0)</f>
        <v>0140310490</v>
      </c>
      <c r="G94" s="12">
        <v>20983</v>
      </c>
      <c r="H94" s="7">
        <f>VLOOKUP(G94,'FI txn'!$G:$H,2,0)</f>
        <v>0</v>
      </c>
      <c r="I94" s="7">
        <f t="shared" si="6"/>
        <v>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 t="e">
        <f t="shared" si="9"/>
        <v>#DIV/0!</v>
      </c>
    </row>
    <row r="95" spans="1:23" x14ac:dyDescent="0.3">
      <c r="A95" s="4" t="str">
        <f>VLOOKUP(G95,Data!$A:$G,2,0)</f>
        <v>Manindra Nath Barman</v>
      </c>
      <c r="B95" s="4" t="str">
        <f>VLOOKUP(G95,Data!$A:$G,3,0)</f>
        <v>Inactive</v>
      </c>
      <c r="C95" s="4" t="str">
        <f>VLOOKUP(G95,Data!$A:$G,4,0)</f>
        <v>Siliguri</v>
      </c>
      <c r="D95" s="4" t="str">
        <f>VLOOKUP(G95,Data!$A:$G,5,0)</f>
        <v>Maynaguri</v>
      </c>
      <c r="E95" s="4" t="str">
        <f>VLOOKUP(G95,Data!$A:$G,6,0)</f>
        <v>Biswajit Roy</v>
      </c>
      <c r="F95" s="10" t="str">
        <f>VLOOKUP(G95,Data!$A:$G,7,0)</f>
        <v>2310311260</v>
      </c>
      <c r="G95" s="12">
        <v>21929</v>
      </c>
      <c r="H95" s="7">
        <f>VLOOKUP(G95,'FI txn'!$G:$H,2,0)</f>
        <v>0</v>
      </c>
      <c r="I95" s="7">
        <f t="shared" si="6"/>
        <v>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 t="e">
        <f t="shared" si="9"/>
        <v>#DIV/0!</v>
      </c>
    </row>
    <row r="96" spans="1:23" x14ac:dyDescent="0.3">
      <c r="A96" s="4" t="str">
        <f>VLOOKUP(G96,Data!$A:$G,2,0)</f>
        <v>Chandi Charan Mahato</v>
      </c>
      <c r="B96" s="4" t="str">
        <f>VLOOKUP(G96,Data!$A:$G,3,0)</f>
        <v>Inactive</v>
      </c>
      <c r="C96" s="4" t="str">
        <f>VLOOKUP(G96,Data!$A:$G,4,0)</f>
        <v>Durgapur</v>
      </c>
      <c r="D96" s="4" t="str">
        <f>VLOOKUP(G96,Data!$A:$G,5,0)</f>
        <v>Layekbandh</v>
      </c>
      <c r="E96" s="4" t="str">
        <f>VLOOKUP(G96,Data!$A:$G,6,0)</f>
        <v>Debasis Dey</v>
      </c>
      <c r="F96" s="10" t="str">
        <f>VLOOKUP(G96,Data!$A:$G,7,0)</f>
        <v>2160315158</v>
      </c>
      <c r="G96" s="12">
        <v>27632</v>
      </c>
      <c r="H96" s="7">
        <f>VLOOKUP(G96,'FI txn'!$G:$H,2,0)</f>
        <v>0</v>
      </c>
      <c r="I96" s="7">
        <f t="shared" si="6"/>
        <v>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 t="e">
        <f t="shared" si="9"/>
        <v>#DIV/0!</v>
      </c>
    </row>
    <row r="97" spans="1:23" x14ac:dyDescent="0.3">
      <c r="A97" s="4" t="str">
        <f>VLOOKUP(G97,Data!$A:$G,2,0)</f>
        <v>Souvik Maity</v>
      </c>
      <c r="B97" s="4" t="str">
        <f>VLOOKUP(G97,Data!$A:$G,3,0)</f>
        <v>Inactive</v>
      </c>
      <c r="C97" s="4" t="str">
        <f>VLOOKUP(G97,Data!$A:$G,4,0)</f>
        <v>Hooghly</v>
      </c>
      <c r="D97" s="4" t="str">
        <f>VLOOKUP(G97,Data!$A:$G,5,0)</f>
        <v>Mayapur</v>
      </c>
      <c r="E97" s="4" t="str">
        <f>VLOOKUP(G97,Data!$A:$G,6,0)</f>
        <v>Falguni Samanta</v>
      </c>
      <c r="F97" s="10" t="str">
        <f>VLOOKUP(G97,Data!$A:$G,7,0)</f>
        <v>3390311256</v>
      </c>
      <c r="G97" s="12">
        <v>21925</v>
      </c>
      <c r="H97" s="7">
        <f>VLOOKUP(G97,'FI txn'!$G:$H,2,0)</f>
        <v>0</v>
      </c>
      <c r="I97" s="7">
        <f t="shared" si="6"/>
        <v>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 t="e">
        <f t="shared" si="9"/>
        <v>#DIV/0!</v>
      </c>
    </row>
    <row r="98" spans="1:23" x14ac:dyDescent="0.3">
      <c r="A98" s="4" t="str">
        <f>VLOOKUP(G98,Data!$A:$G,2,0)</f>
        <v>Santanu Bera</v>
      </c>
      <c r="B98" s="4" t="str">
        <f>VLOOKUP(G98,Data!$A:$G,3,0)</f>
        <v>Inactive</v>
      </c>
      <c r="C98" s="4" t="str">
        <f>VLOOKUP(G98,Data!$A:$G,4,0)</f>
        <v>Hooghly</v>
      </c>
      <c r="D98" s="4" t="str">
        <f>VLOOKUP(G98,Data!$A:$G,5,0)</f>
        <v>Contai</v>
      </c>
      <c r="E98" s="4" t="str">
        <f>VLOOKUP(G98,Data!$A:$G,6,0)</f>
        <v>Narayan Ojha</v>
      </c>
      <c r="F98" s="10" t="str">
        <f>VLOOKUP(G98,Data!$A:$G,7,0)</f>
        <v>2380314459</v>
      </c>
      <c r="G98" s="12">
        <v>26507</v>
      </c>
      <c r="H98" s="7">
        <f>VLOOKUP(G98,'FI txn'!$G:$H,2,0)</f>
        <v>0</v>
      </c>
      <c r="I98" s="7">
        <f t="shared" ref="I98:I129" si="10">H98*30</f>
        <v>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 t="e">
        <f t="shared" si="9"/>
        <v>#DIV/0!</v>
      </c>
    </row>
    <row r="99" spans="1:23" x14ac:dyDescent="0.3">
      <c r="A99" s="4" t="str">
        <f>VLOOKUP(G99,Data!$A:$G,2,0)</f>
        <v>Souvik Maity</v>
      </c>
      <c r="B99" s="4" t="str">
        <f>VLOOKUP(G99,Data!$A:$G,3,0)</f>
        <v>Inactive</v>
      </c>
      <c r="C99" s="4" t="str">
        <f>VLOOKUP(G99,Data!$A:$G,4,0)</f>
        <v>Hooghly</v>
      </c>
      <c r="D99" s="4" t="str">
        <f>VLOOKUP(G99,Data!$A:$G,5,0)</f>
        <v>Mangrul</v>
      </c>
      <c r="E99" s="4" t="str">
        <f>VLOOKUP(G99,Data!$A:$G,6,0)</f>
        <v>Prasenjit Ghosh</v>
      </c>
      <c r="F99" s="10" t="str">
        <f>VLOOKUP(G99,Data!$A:$G,7,0)</f>
        <v>2390311944</v>
      </c>
      <c r="G99" s="5">
        <v>22771</v>
      </c>
      <c r="H99" s="7">
        <f>VLOOKUP(G99,'FI txn'!$G:$H,2,0)</f>
        <v>0</v>
      </c>
      <c r="I99" s="7">
        <f t="shared" si="10"/>
        <v>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 t="e">
        <f t="shared" si="9"/>
        <v>#DIV/0!</v>
      </c>
    </row>
    <row r="100" spans="1:23" x14ac:dyDescent="0.3">
      <c r="A100" s="4" t="str">
        <f>VLOOKUP(G100,Data!$A:$G,2,0)</f>
        <v>Sunil Biswas</v>
      </c>
      <c r="B100" s="4" t="str">
        <f>VLOOKUP(G100,Data!$A:$G,3,0)</f>
        <v>Inactive</v>
      </c>
      <c r="C100" s="4" t="str">
        <f>VLOOKUP(G100,Data!$A:$G,4,0)</f>
        <v>Durgapur</v>
      </c>
      <c r="D100" s="4" t="str">
        <f>VLOOKUP(G100,Data!$A:$G,5,0)</f>
        <v>Hridaypur</v>
      </c>
      <c r="E100" s="4" t="str">
        <f>VLOOKUP(G100,Data!$A:$G,6,0)</f>
        <v>Saiful Sekh</v>
      </c>
      <c r="F100" s="10" t="str">
        <f>VLOOKUP(G100,Data!$A:$G,7,0)</f>
        <v>2430314735</v>
      </c>
      <c r="G100" s="12">
        <v>26881</v>
      </c>
      <c r="H100" s="7">
        <f>VLOOKUP(G100,'FI txn'!$G:$H,2,0)</f>
        <v>0</v>
      </c>
      <c r="I100" s="7">
        <f t="shared" si="10"/>
        <v>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 t="e">
        <f t="shared" si="9"/>
        <v>#DIV/0!</v>
      </c>
    </row>
    <row r="101" spans="1:23" x14ac:dyDescent="0.3">
      <c r="A101" s="4" t="str">
        <f>VLOOKUP(G101,Data!$A:$G,2,0)</f>
        <v>Souvik Maity</v>
      </c>
      <c r="B101" s="4" t="str">
        <f>VLOOKUP(G101,Data!$A:$G,3,0)</f>
        <v>Inactive</v>
      </c>
      <c r="C101" s="4" t="str">
        <f>VLOOKUP(G101,Data!$A:$G,4,0)</f>
        <v>Hooghly</v>
      </c>
      <c r="D101" s="4" t="str">
        <f>VLOOKUP(G101,Data!$A:$G,5,0)</f>
        <v>Arambagh</v>
      </c>
      <c r="E101" s="4" t="str">
        <f>VLOOKUP(G101,Data!$A:$G,6,0)</f>
        <v>Sk Momin Uddin</v>
      </c>
      <c r="F101" s="10" t="str">
        <f>VLOOKUP(G101,Data!$A:$G,7,0)</f>
        <v>3390313207</v>
      </c>
      <c r="G101" s="12">
        <v>24527</v>
      </c>
      <c r="H101" s="7">
        <f>VLOOKUP(G101,'FI txn'!$G:$H,2,0)</f>
        <v>0</v>
      </c>
      <c r="I101" s="7">
        <f t="shared" si="10"/>
        <v>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 t="e">
        <f t="shared" si="9"/>
        <v>#DIV/0!</v>
      </c>
    </row>
    <row r="102" spans="1:23" x14ac:dyDescent="0.3">
      <c r="A102" s="4" t="str">
        <f>VLOOKUP(G102,Data!$A:$G,2,0)</f>
        <v>Santanu Bera</v>
      </c>
      <c r="B102" s="4" t="str">
        <f>VLOOKUP(G102,Data!$A:$G,3,0)</f>
        <v>Inactive</v>
      </c>
      <c r="C102" s="4" t="str">
        <f>VLOOKUP(G102,Data!$A:$G,4,0)</f>
        <v>Hooghly</v>
      </c>
      <c r="D102" s="4" t="str">
        <f>VLOOKUP(G102,Data!$A:$G,5,0)</f>
        <v>Contai</v>
      </c>
      <c r="E102" s="4" t="str">
        <f>VLOOKUP(G102,Data!$A:$G,6,0)</f>
        <v>Sulekha Das</v>
      </c>
      <c r="F102" s="10" t="str">
        <f>VLOOKUP(G102,Data!$A:$G,7,0)</f>
        <v>2380314986</v>
      </c>
      <c r="G102" s="12">
        <v>27252</v>
      </c>
      <c r="H102" s="7">
        <f>VLOOKUP(G102,'FI txn'!$G:$H,2,0)</f>
        <v>0</v>
      </c>
      <c r="I102" s="7">
        <f t="shared" si="10"/>
        <v>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 t="e">
        <f t="shared" si="9"/>
        <v>#DIV/0!</v>
      </c>
    </row>
    <row r="103" spans="1:23" x14ac:dyDescent="0.3">
      <c r="A103" s="4" t="str">
        <f>VLOOKUP(G103,Data!$A:$G,2,0)</f>
        <v>Under Office (Birbhum)</v>
      </c>
      <c r="B103" s="4" t="str">
        <f>VLOOKUP(G103,Data!$A:$G,3,0)</f>
        <v>Inactive</v>
      </c>
      <c r="C103" s="4" t="str">
        <f>VLOOKUP(G103,Data!$A:$G,4,0)</f>
        <v>Siliguri</v>
      </c>
      <c r="D103" s="4" t="str">
        <f>VLOOKUP(G103,Data!$A:$G,5,0)</f>
        <v>Mangaldihi</v>
      </c>
      <c r="E103" s="4" t="str">
        <f>VLOOKUP(G103,Data!$A:$G,6,0)</f>
        <v>Swarup Sadhu</v>
      </c>
      <c r="F103" s="10" t="str">
        <f>VLOOKUP(G103,Data!$A:$G,7,0)</f>
        <v>0140311670</v>
      </c>
      <c r="G103" s="5">
        <v>22424</v>
      </c>
      <c r="H103" s="7">
        <f>VLOOKUP(G103,'FI txn'!$G:$H,2,0)</f>
        <v>0</v>
      </c>
      <c r="I103" s="7">
        <f t="shared" si="10"/>
        <v>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 t="e">
        <f t="shared" si="9"/>
        <v>#DIV/0!</v>
      </c>
    </row>
    <row r="104" spans="1:23" x14ac:dyDescent="0.3">
      <c r="A104" s="4" t="str">
        <f>VLOOKUP(G104,Data!$A:$G,2,0)</f>
        <v>Under Office (Birbhum)</v>
      </c>
      <c r="B104" s="4" t="str">
        <f>VLOOKUP(G104,Data!$A:$G,3,0)</f>
        <v>Inactive</v>
      </c>
      <c r="C104" s="4" t="str">
        <f>VLOOKUP(G104,Data!$A:$G,4,0)</f>
        <v>Siliguri</v>
      </c>
      <c r="D104" s="4" t="str">
        <f>VLOOKUP(G104,Data!$A:$G,5,0)</f>
        <v>Koytha</v>
      </c>
      <c r="E104" s="4" t="str">
        <f>VLOOKUP(G104,Data!$A:$G,6,0)</f>
        <v>Tamarul Sk</v>
      </c>
      <c r="F104" s="10" t="str">
        <f>VLOOKUP(G104,Data!$A:$G,7,0)</f>
        <v>0140311624</v>
      </c>
      <c r="G104" s="12">
        <v>22361</v>
      </c>
      <c r="H104" s="7">
        <f>VLOOKUP(G104,'FI txn'!$G:$H,2,0)</f>
        <v>0</v>
      </c>
      <c r="I104" s="7">
        <f t="shared" si="10"/>
        <v>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 t="e">
        <f t="shared" si="9"/>
        <v>#DIV/0!</v>
      </c>
    </row>
  </sheetData>
  <conditionalFormatting sqref="E1">
    <cfRule type="duplicateValues" dxfId="226" priority="7"/>
    <cfRule type="duplicateValues" dxfId="225" priority="8"/>
    <cfRule type="duplicateValues" dxfId="224" priority="9"/>
    <cfRule type="duplicateValues" dxfId="223" priority="10"/>
    <cfRule type="duplicateValues" dxfId="222" priority="11"/>
    <cfRule type="duplicateValues" dxfId="221" priority="12"/>
    <cfRule type="duplicateValues" dxfId="220" priority="13"/>
  </conditionalFormatting>
  <conditionalFormatting sqref="E105:E1048576">
    <cfRule type="duplicateValues" dxfId="219" priority="27"/>
    <cfRule type="duplicateValues" dxfId="218" priority="28"/>
  </conditionalFormatting>
  <conditionalFormatting sqref="F105:F1048576">
    <cfRule type="duplicateValues" dxfId="217" priority="14"/>
  </conditionalFormatting>
  <conditionalFormatting sqref="G1:G105 G191:G1048576">
    <cfRule type="duplicateValues" dxfId="216" priority="1"/>
  </conditionalFormatting>
  <conditionalFormatting sqref="G105 G191:G1048576">
    <cfRule type="duplicateValues" dxfId="215" priority="15"/>
    <cfRule type="duplicateValues" dxfId="214" priority="16"/>
  </conditionalFormatting>
  <conditionalFormatting sqref="G105">
    <cfRule type="duplicateValues" dxfId="213" priority="17"/>
    <cfRule type="duplicateValues" dxfId="212" priority="24"/>
  </conditionalFormatting>
  <conditionalFormatting sqref="G191:G1048576">
    <cfRule type="duplicateValues" dxfId="211" priority="18"/>
    <cfRule type="duplicateValues" dxfId="210" priority="19"/>
    <cfRule type="duplicateValues" dxfId="209" priority="20"/>
    <cfRule type="duplicateValues" dxfId="208" priority="21"/>
    <cfRule type="duplicateValues" dxfId="207" priority="22"/>
    <cfRule type="duplicateValues" dxfId="206" priority="23"/>
    <cfRule type="duplicateValues" dxfId="205" priority="25"/>
    <cfRule type="duplicateValues" dxfId="204" priority="26"/>
  </conditionalFormatting>
  <conditionalFormatting sqref="V2:V104">
    <cfRule type="top10" dxfId="203" priority="228" rank="3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9DFB-3024-48C4-A605-F61A23E12A45}">
  <dimension ref="A3:AD18"/>
  <sheetViews>
    <sheetView topLeftCell="V1" workbookViewId="0">
      <selection activeCell="A16" sqref="A16"/>
    </sheetView>
  </sheetViews>
  <sheetFormatPr defaultRowHeight="14.4" x14ac:dyDescent="0.3"/>
  <cols>
    <col min="1" max="1" width="23.77734375" bestFit="1" customWidth="1"/>
    <col min="2" max="2" width="12.77734375" bestFit="1" customWidth="1"/>
    <col min="3" max="3" width="13.21875" bestFit="1" customWidth="1"/>
    <col min="4" max="4" width="14" bestFit="1" customWidth="1"/>
    <col min="5" max="5" width="13.109375" bestFit="1" customWidth="1"/>
    <col min="6" max="6" width="12.33203125" bestFit="1" customWidth="1"/>
    <col min="7" max="7" width="13.5546875" bestFit="1" customWidth="1"/>
    <col min="8" max="8" width="13.33203125" bestFit="1" customWidth="1"/>
    <col min="9" max="9" width="13.109375" bestFit="1" customWidth="1"/>
    <col min="10" max="10" width="13.6640625" bestFit="1" customWidth="1"/>
    <col min="11" max="11" width="13.33203125" bestFit="1" customWidth="1"/>
    <col min="12" max="12" width="12.88671875" bestFit="1" customWidth="1"/>
    <col min="13" max="13" width="13.21875" bestFit="1" customWidth="1"/>
    <col min="14" max="14" width="13.6640625" bestFit="1" customWidth="1"/>
    <col min="15" max="15" width="15.5546875" bestFit="1" customWidth="1"/>
    <col min="17" max="17" width="23.77734375" bestFit="1" customWidth="1"/>
    <col min="18" max="18" width="14.5546875" bestFit="1" customWidth="1"/>
    <col min="19" max="19" width="15.33203125" bestFit="1" customWidth="1"/>
    <col min="20" max="20" width="14.44140625" bestFit="1" customWidth="1"/>
    <col min="21" max="21" width="13.77734375" bestFit="1" customWidth="1"/>
    <col min="22" max="22" width="14.88671875" bestFit="1" customWidth="1"/>
    <col min="23" max="23" width="14.6640625" bestFit="1" customWidth="1"/>
    <col min="24" max="24" width="14.44140625" bestFit="1" customWidth="1"/>
    <col min="25" max="25" width="15" bestFit="1" customWidth="1"/>
    <col min="26" max="26" width="14.6640625" bestFit="1" customWidth="1"/>
    <col min="27" max="27" width="14.33203125" bestFit="1" customWidth="1"/>
    <col min="28" max="28" width="14.5546875" bestFit="1" customWidth="1"/>
    <col min="29" max="29" width="15" bestFit="1" customWidth="1"/>
    <col min="30" max="30" width="16.88671875" bestFit="1" customWidth="1"/>
    <col min="31" max="31" width="15.6640625" bestFit="1" customWidth="1"/>
  </cols>
  <sheetData>
    <row r="3" spans="1:30" x14ac:dyDescent="0.3">
      <c r="A3" s="31" t="s">
        <v>289</v>
      </c>
      <c r="B3" t="s">
        <v>290</v>
      </c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 t="s">
        <v>296</v>
      </c>
      <c r="I3" t="s">
        <v>297</v>
      </c>
      <c r="J3" t="s">
        <v>298</v>
      </c>
      <c r="K3" t="s">
        <v>299</v>
      </c>
      <c r="L3" t="s">
        <v>300</v>
      </c>
      <c r="M3" t="s">
        <v>301</v>
      </c>
      <c r="N3" t="s">
        <v>302</v>
      </c>
      <c r="O3" t="s">
        <v>319</v>
      </c>
      <c r="Q3" s="31" t="s">
        <v>289</v>
      </c>
      <c r="R3" t="s">
        <v>304</v>
      </c>
      <c r="S3" t="s">
        <v>305</v>
      </c>
      <c r="T3" t="s">
        <v>306</v>
      </c>
      <c r="U3" t="s">
        <v>307</v>
      </c>
      <c r="V3" t="s">
        <v>308</v>
      </c>
      <c r="W3" t="s">
        <v>309</v>
      </c>
      <c r="X3" t="s">
        <v>310</v>
      </c>
      <c r="Y3" t="s">
        <v>311</v>
      </c>
      <c r="Z3" t="s">
        <v>312</v>
      </c>
      <c r="AA3" t="s">
        <v>313</v>
      </c>
      <c r="AB3" t="s">
        <v>314</v>
      </c>
      <c r="AC3" t="s">
        <v>315</v>
      </c>
      <c r="AD3" t="s">
        <v>339</v>
      </c>
    </row>
    <row r="4" spans="1:30" x14ac:dyDescent="0.3">
      <c r="A4" s="32" t="s">
        <v>99</v>
      </c>
      <c r="B4" s="33">
        <v>270</v>
      </c>
      <c r="C4" s="276">
        <v>1</v>
      </c>
      <c r="D4" s="276"/>
      <c r="E4" s="276">
        <v>2</v>
      </c>
      <c r="F4" s="276">
        <v>3</v>
      </c>
      <c r="G4" s="276">
        <v>5</v>
      </c>
      <c r="H4" s="276"/>
      <c r="I4" s="276"/>
      <c r="J4" s="276"/>
      <c r="K4" s="276"/>
      <c r="L4" s="276"/>
      <c r="M4" s="276"/>
      <c r="N4" s="276"/>
      <c r="O4" s="33">
        <v>7</v>
      </c>
      <c r="Q4" s="32" t="s">
        <v>99</v>
      </c>
      <c r="R4" s="276">
        <v>1</v>
      </c>
      <c r="S4" s="276"/>
      <c r="T4" s="276">
        <v>1</v>
      </c>
      <c r="U4" s="276">
        <v>1</v>
      </c>
      <c r="V4" s="276">
        <v>2</v>
      </c>
      <c r="W4" s="276"/>
      <c r="X4" s="276"/>
      <c r="Y4" s="276"/>
      <c r="Z4" s="276"/>
      <c r="AA4" s="276"/>
      <c r="AB4" s="276"/>
      <c r="AC4" s="276"/>
      <c r="AD4" s="276">
        <v>1</v>
      </c>
    </row>
    <row r="5" spans="1:30" x14ac:dyDescent="0.3">
      <c r="A5" s="32" t="s">
        <v>97</v>
      </c>
      <c r="B5" s="33">
        <v>420</v>
      </c>
      <c r="C5" s="276">
        <v>2</v>
      </c>
      <c r="D5" s="276">
        <v>4</v>
      </c>
      <c r="E5" s="276">
        <v>6</v>
      </c>
      <c r="F5" s="276">
        <v>3</v>
      </c>
      <c r="G5" s="276">
        <v>5</v>
      </c>
      <c r="H5" s="276"/>
      <c r="I5" s="276"/>
      <c r="J5" s="276"/>
      <c r="K5" s="276"/>
      <c r="L5" s="276"/>
      <c r="M5" s="276"/>
      <c r="N5" s="276"/>
      <c r="O5" s="33">
        <v>20</v>
      </c>
      <c r="Q5" s="32" t="s">
        <v>97</v>
      </c>
      <c r="R5" s="276">
        <v>1</v>
      </c>
      <c r="S5" s="276">
        <v>2</v>
      </c>
      <c r="T5" s="276">
        <v>2</v>
      </c>
      <c r="U5" s="276">
        <v>3</v>
      </c>
      <c r="V5" s="276">
        <v>2</v>
      </c>
      <c r="W5" s="276"/>
      <c r="X5" s="276"/>
      <c r="Y5" s="276"/>
      <c r="Z5" s="276"/>
      <c r="AA5" s="276"/>
      <c r="AB5" s="276"/>
      <c r="AC5" s="276"/>
      <c r="AD5" s="276">
        <v>4</v>
      </c>
    </row>
    <row r="6" spans="1:30" x14ac:dyDescent="0.3">
      <c r="A6" s="32" t="s">
        <v>93</v>
      </c>
      <c r="B6" s="33">
        <v>480</v>
      </c>
      <c r="C6" s="276">
        <v>2</v>
      </c>
      <c r="D6" s="276">
        <v>1</v>
      </c>
      <c r="E6" s="276">
        <v>2</v>
      </c>
      <c r="F6" s="276">
        <v>9</v>
      </c>
      <c r="G6" s="276">
        <v>7</v>
      </c>
      <c r="H6" s="276"/>
      <c r="I6" s="276"/>
      <c r="J6" s="276"/>
      <c r="K6" s="276"/>
      <c r="L6" s="276"/>
      <c r="M6" s="276"/>
      <c r="N6" s="276"/>
      <c r="O6" s="33">
        <v>21</v>
      </c>
      <c r="Q6" s="32" t="s">
        <v>93</v>
      </c>
      <c r="R6" s="276">
        <v>2</v>
      </c>
      <c r="S6" s="276">
        <v>1</v>
      </c>
      <c r="T6" s="276">
        <v>1</v>
      </c>
      <c r="U6" s="276">
        <v>2</v>
      </c>
      <c r="V6" s="276">
        <v>3</v>
      </c>
      <c r="W6" s="276"/>
      <c r="X6" s="276"/>
      <c r="Y6" s="276"/>
      <c r="Z6" s="276"/>
      <c r="AA6" s="276"/>
      <c r="AB6" s="276"/>
      <c r="AC6" s="276"/>
      <c r="AD6" s="276">
        <v>4</v>
      </c>
    </row>
    <row r="7" spans="1:30" x14ac:dyDescent="0.3">
      <c r="A7" s="32" t="s">
        <v>101</v>
      </c>
      <c r="B7" s="33">
        <v>180</v>
      </c>
      <c r="C7" s="276"/>
      <c r="D7" s="276"/>
      <c r="E7" s="276"/>
      <c r="F7" s="276">
        <v>1</v>
      </c>
      <c r="G7" s="276"/>
      <c r="H7" s="276"/>
      <c r="I7" s="276"/>
      <c r="J7" s="276"/>
      <c r="K7" s="276"/>
      <c r="L7" s="276"/>
      <c r="M7" s="276"/>
      <c r="N7" s="276"/>
      <c r="O7" s="33">
        <v>1</v>
      </c>
      <c r="Q7" s="32" t="s">
        <v>101</v>
      </c>
      <c r="R7" s="276"/>
      <c r="S7" s="276"/>
      <c r="T7" s="276"/>
      <c r="U7" s="276">
        <v>1</v>
      </c>
      <c r="V7" s="276"/>
      <c r="W7" s="276"/>
      <c r="X7" s="276"/>
      <c r="Y7" s="276"/>
      <c r="Z7" s="276"/>
      <c r="AA7" s="276"/>
      <c r="AB7" s="276"/>
      <c r="AC7" s="276"/>
      <c r="AD7" s="276">
        <v>1</v>
      </c>
    </row>
    <row r="8" spans="1:30" x14ac:dyDescent="0.3">
      <c r="A8" s="32" t="s">
        <v>102</v>
      </c>
      <c r="B8" s="33">
        <v>270</v>
      </c>
      <c r="C8" s="276">
        <v>4</v>
      </c>
      <c r="D8" s="276">
        <v>6</v>
      </c>
      <c r="E8" s="276">
        <v>13</v>
      </c>
      <c r="F8" s="276">
        <v>10</v>
      </c>
      <c r="G8" s="276">
        <v>18</v>
      </c>
      <c r="H8" s="276">
        <v>3</v>
      </c>
      <c r="I8" s="276"/>
      <c r="J8" s="276"/>
      <c r="K8" s="276"/>
      <c r="L8" s="276"/>
      <c r="M8" s="276"/>
      <c r="N8" s="276"/>
      <c r="O8" s="33">
        <v>54</v>
      </c>
      <c r="Q8" s="32" t="s">
        <v>102</v>
      </c>
      <c r="R8" s="276">
        <v>2</v>
      </c>
      <c r="S8" s="276">
        <v>2</v>
      </c>
      <c r="T8" s="276">
        <v>3</v>
      </c>
      <c r="U8" s="276">
        <v>3</v>
      </c>
      <c r="V8" s="276">
        <v>3</v>
      </c>
      <c r="W8" s="276">
        <v>2</v>
      </c>
      <c r="X8" s="276"/>
      <c r="Y8" s="276"/>
      <c r="Z8" s="276"/>
      <c r="AA8" s="276"/>
      <c r="AB8" s="276"/>
      <c r="AC8" s="276"/>
      <c r="AD8" s="276">
        <v>3</v>
      </c>
    </row>
    <row r="9" spans="1:30" x14ac:dyDescent="0.3">
      <c r="A9" s="32" t="s">
        <v>100</v>
      </c>
      <c r="B9" s="33">
        <v>180</v>
      </c>
      <c r="C9" s="276"/>
      <c r="D9" s="276"/>
      <c r="E9" s="276">
        <v>16</v>
      </c>
      <c r="F9" s="276">
        <v>5</v>
      </c>
      <c r="G9" s="276">
        <v>10</v>
      </c>
      <c r="H9" s="276">
        <v>1</v>
      </c>
      <c r="I9" s="276"/>
      <c r="J9" s="276"/>
      <c r="K9" s="276"/>
      <c r="L9" s="276"/>
      <c r="M9" s="276"/>
      <c r="N9" s="276"/>
      <c r="O9" s="33">
        <v>32</v>
      </c>
      <c r="Q9" s="32" t="s">
        <v>100</v>
      </c>
      <c r="R9" s="276"/>
      <c r="S9" s="276"/>
      <c r="T9" s="276">
        <v>2</v>
      </c>
      <c r="U9" s="276">
        <v>1</v>
      </c>
      <c r="V9" s="276">
        <v>1</v>
      </c>
      <c r="W9" s="276">
        <v>1</v>
      </c>
      <c r="X9" s="276"/>
      <c r="Y9" s="276"/>
      <c r="Z9" s="276"/>
      <c r="AA9" s="276"/>
      <c r="AB9" s="276"/>
      <c r="AC9" s="276"/>
      <c r="AD9" s="276">
        <v>2</v>
      </c>
    </row>
    <row r="10" spans="1:30" x14ac:dyDescent="0.3">
      <c r="A10" s="32" t="s">
        <v>103</v>
      </c>
      <c r="B10" s="33">
        <v>90</v>
      </c>
      <c r="C10" s="276">
        <v>1</v>
      </c>
      <c r="D10" s="276"/>
      <c r="E10" s="276">
        <v>1</v>
      </c>
      <c r="F10" s="276">
        <v>6</v>
      </c>
      <c r="G10" s="276">
        <v>1</v>
      </c>
      <c r="H10" s="276"/>
      <c r="I10" s="276"/>
      <c r="J10" s="276"/>
      <c r="K10" s="276"/>
      <c r="L10" s="276"/>
      <c r="M10" s="276"/>
      <c r="N10" s="276"/>
      <c r="O10" s="33">
        <v>9</v>
      </c>
      <c r="Q10" s="32" t="s">
        <v>103</v>
      </c>
      <c r="R10" s="276">
        <v>1</v>
      </c>
      <c r="S10" s="276"/>
      <c r="T10" s="276">
        <v>1</v>
      </c>
      <c r="U10" s="276">
        <v>1</v>
      </c>
      <c r="V10" s="276">
        <v>1</v>
      </c>
      <c r="W10" s="276"/>
      <c r="X10" s="276"/>
      <c r="Y10" s="276"/>
      <c r="Z10" s="276"/>
      <c r="AA10" s="276"/>
      <c r="AB10" s="276"/>
      <c r="AC10" s="276"/>
      <c r="AD10" s="276">
        <v>1</v>
      </c>
    </row>
    <row r="11" spans="1:30" x14ac:dyDescent="0.3">
      <c r="A11" s="32" t="s">
        <v>95</v>
      </c>
      <c r="B11" s="33">
        <v>510</v>
      </c>
      <c r="C11" s="276"/>
      <c r="D11" s="276"/>
      <c r="E11" s="276"/>
      <c r="F11" s="276">
        <v>3</v>
      </c>
      <c r="G11" s="276">
        <v>7</v>
      </c>
      <c r="H11" s="276">
        <v>1</v>
      </c>
      <c r="I11" s="276"/>
      <c r="J11" s="276"/>
      <c r="K11" s="276"/>
      <c r="L11" s="276"/>
      <c r="M11" s="276"/>
      <c r="N11" s="276"/>
      <c r="O11" s="33">
        <v>11</v>
      </c>
      <c r="Q11" s="32" t="s">
        <v>95</v>
      </c>
      <c r="R11" s="276"/>
      <c r="S11" s="276"/>
      <c r="T11" s="276"/>
      <c r="U11" s="276">
        <v>2</v>
      </c>
      <c r="V11" s="276">
        <v>1</v>
      </c>
      <c r="W11" s="276">
        <v>1</v>
      </c>
      <c r="X11" s="276"/>
      <c r="Y11" s="276"/>
      <c r="Z11" s="276"/>
      <c r="AA11" s="276"/>
      <c r="AB11" s="276"/>
      <c r="AC11" s="276"/>
      <c r="AD11" s="276">
        <v>2</v>
      </c>
    </row>
    <row r="12" spans="1:30" x14ac:dyDescent="0.3">
      <c r="A12" s="32" t="s">
        <v>98</v>
      </c>
      <c r="B12" s="33">
        <v>270</v>
      </c>
      <c r="C12" s="276"/>
      <c r="D12" s="276">
        <v>3</v>
      </c>
      <c r="E12" s="276"/>
      <c r="F12" s="276">
        <v>5</v>
      </c>
      <c r="G12" s="276">
        <v>15</v>
      </c>
      <c r="H12" s="276">
        <v>2</v>
      </c>
      <c r="I12" s="276"/>
      <c r="J12" s="276"/>
      <c r="K12" s="276"/>
      <c r="L12" s="276"/>
      <c r="M12" s="276"/>
      <c r="N12" s="276"/>
      <c r="O12" s="33">
        <v>25</v>
      </c>
      <c r="Q12" s="32" t="s">
        <v>98</v>
      </c>
      <c r="R12" s="276"/>
      <c r="S12" s="276">
        <v>2</v>
      </c>
      <c r="T12" s="276"/>
      <c r="U12" s="276">
        <v>3</v>
      </c>
      <c r="V12" s="276">
        <v>3</v>
      </c>
      <c r="W12" s="276">
        <v>1</v>
      </c>
      <c r="X12" s="276"/>
      <c r="Y12" s="276"/>
      <c r="Z12" s="276"/>
      <c r="AA12" s="276"/>
      <c r="AB12" s="276"/>
      <c r="AC12" s="276"/>
      <c r="AD12" s="276">
        <v>3</v>
      </c>
    </row>
    <row r="13" spans="1:30" x14ac:dyDescent="0.3">
      <c r="A13" s="32" t="s">
        <v>96</v>
      </c>
      <c r="B13" s="33">
        <v>1110</v>
      </c>
      <c r="C13" s="276">
        <v>3</v>
      </c>
      <c r="D13" s="276">
        <v>3</v>
      </c>
      <c r="E13" s="276">
        <v>10</v>
      </c>
      <c r="F13" s="276">
        <v>3</v>
      </c>
      <c r="G13" s="276">
        <v>20</v>
      </c>
      <c r="H13" s="276">
        <v>3</v>
      </c>
      <c r="I13" s="276"/>
      <c r="J13" s="276"/>
      <c r="K13" s="276"/>
      <c r="L13" s="276"/>
      <c r="M13" s="276"/>
      <c r="N13" s="276"/>
      <c r="O13" s="33">
        <v>42</v>
      </c>
      <c r="Q13" s="32" t="s">
        <v>96</v>
      </c>
      <c r="R13" s="276">
        <v>2</v>
      </c>
      <c r="S13" s="276">
        <v>2</v>
      </c>
      <c r="T13" s="276">
        <v>3</v>
      </c>
      <c r="U13" s="276">
        <v>3</v>
      </c>
      <c r="V13" s="276">
        <v>2</v>
      </c>
      <c r="W13" s="276">
        <v>1</v>
      </c>
      <c r="X13" s="276"/>
      <c r="Y13" s="276"/>
      <c r="Z13" s="276"/>
      <c r="AA13" s="276"/>
      <c r="AB13" s="276"/>
      <c r="AC13" s="276"/>
      <c r="AD13" s="276">
        <v>6</v>
      </c>
    </row>
    <row r="14" spans="1:30" x14ac:dyDescent="0.3">
      <c r="A14" s="32" t="s">
        <v>345</v>
      </c>
      <c r="B14" s="33">
        <v>570</v>
      </c>
      <c r="C14" s="276">
        <v>4</v>
      </c>
      <c r="D14" s="276">
        <v>2</v>
      </c>
      <c r="E14" s="276">
        <v>3</v>
      </c>
      <c r="F14" s="276">
        <v>10</v>
      </c>
      <c r="G14" s="276">
        <v>3</v>
      </c>
      <c r="H14" s="276"/>
      <c r="I14" s="276"/>
      <c r="J14" s="276"/>
      <c r="K14" s="276"/>
      <c r="L14" s="276"/>
      <c r="M14" s="276"/>
      <c r="N14" s="276"/>
      <c r="O14" s="33">
        <v>22</v>
      </c>
      <c r="Q14" s="32" t="s">
        <v>345</v>
      </c>
      <c r="R14" s="276">
        <v>2</v>
      </c>
      <c r="S14" s="276">
        <v>1</v>
      </c>
      <c r="T14" s="276">
        <v>3</v>
      </c>
      <c r="U14" s="276">
        <v>5</v>
      </c>
      <c r="V14" s="276">
        <v>1</v>
      </c>
      <c r="W14" s="276"/>
      <c r="X14" s="276"/>
      <c r="Y14" s="276"/>
      <c r="Z14" s="276"/>
      <c r="AA14" s="276"/>
      <c r="AB14" s="276"/>
      <c r="AC14" s="276"/>
      <c r="AD14" s="276">
        <v>5</v>
      </c>
    </row>
    <row r="15" spans="1:30" x14ac:dyDescent="0.3">
      <c r="A15" s="32" t="s">
        <v>449</v>
      </c>
      <c r="B15" s="33">
        <v>30</v>
      </c>
      <c r="C15" s="276"/>
      <c r="D15" s="276"/>
      <c r="E15" s="276"/>
      <c r="F15" s="276"/>
      <c r="G15" s="276"/>
      <c r="H15" s="276"/>
      <c r="I15" s="276"/>
      <c r="J15" s="276"/>
      <c r="K15" s="276"/>
      <c r="L15" s="276"/>
      <c r="M15" s="276"/>
      <c r="N15" s="276"/>
      <c r="O15" s="33"/>
      <c r="Q15" s="32" t="s">
        <v>449</v>
      </c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</row>
    <row r="16" spans="1:30" x14ac:dyDescent="0.3">
      <c r="A16" s="32" t="s">
        <v>455</v>
      </c>
      <c r="B16" s="33">
        <v>1380</v>
      </c>
      <c r="C16" s="276">
        <v>7</v>
      </c>
      <c r="D16" s="276">
        <v>31</v>
      </c>
      <c r="E16" s="276">
        <v>20</v>
      </c>
      <c r="F16" s="276">
        <v>24</v>
      </c>
      <c r="G16" s="276">
        <v>37</v>
      </c>
      <c r="H16" s="276">
        <v>2</v>
      </c>
      <c r="I16" s="276"/>
      <c r="J16" s="276"/>
      <c r="K16" s="276"/>
      <c r="L16" s="276"/>
      <c r="M16" s="276"/>
      <c r="N16" s="276"/>
      <c r="O16" s="33">
        <v>121</v>
      </c>
      <c r="Q16" s="32" t="s">
        <v>455</v>
      </c>
      <c r="R16" s="276">
        <v>3</v>
      </c>
      <c r="S16" s="276">
        <v>5</v>
      </c>
      <c r="T16" s="276">
        <v>7</v>
      </c>
      <c r="U16" s="276">
        <v>9</v>
      </c>
      <c r="V16" s="276">
        <v>9</v>
      </c>
      <c r="W16" s="276">
        <v>1</v>
      </c>
      <c r="X16" s="276"/>
      <c r="Y16" s="276"/>
      <c r="Z16" s="276"/>
      <c r="AA16" s="276"/>
      <c r="AB16" s="276"/>
      <c r="AC16" s="276"/>
      <c r="AD16" s="276">
        <v>12</v>
      </c>
    </row>
    <row r="17" spans="1:30" x14ac:dyDescent="0.3">
      <c r="A17" s="32" t="s">
        <v>457</v>
      </c>
      <c r="B17" s="33">
        <v>1710</v>
      </c>
      <c r="C17" s="276">
        <v>14</v>
      </c>
      <c r="D17" s="276">
        <v>49</v>
      </c>
      <c r="E17" s="276">
        <v>27</v>
      </c>
      <c r="F17" s="276">
        <v>46</v>
      </c>
      <c r="G17" s="276">
        <v>46</v>
      </c>
      <c r="H17" s="276">
        <v>14</v>
      </c>
      <c r="I17" s="276"/>
      <c r="J17" s="276"/>
      <c r="K17" s="276"/>
      <c r="L17" s="276"/>
      <c r="M17" s="276"/>
      <c r="N17" s="276"/>
      <c r="O17" s="33">
        <v>196</v>
      </c>
      <c r="Q17" s="32" t="s">
        <v>457</v>
      </c>
      <c r="R17" s="276">
        <v>2</v>
      </c>
      <c r="S17" s="276">
        <v>5</v>
      </c>
      <c r="T17" s="276">
        <v>10</v>
      </c>
      <c r="U17" s="276">
        <v>10</v>
      </c>
      <c r="V17" s="276">
        <v>12</v>
      </c>
      <c r="W17" s="276">
        <v>3</v>
      </c>
      <c r="X17" s="276"/>
      <c r="Y17" s="276"/>
      <c r="Z17" s="276"/>
      <c r="AA17" s="276"/>
      <c r="AB17" s="276"/>
      <c r="AC17" s="276"/>
      <c r="AD17" s="276">
        <v>18</v>
      </c>
    </row>
    <row r="18" spans="1:30" x14ac:dyDescent="0.3">
      <c r="A18" s="32" t="s">
        <v>283</v>
      </c>
      <c r="B18" s="33">
        <v>7470</v>
      </c>
      <c r="C18" s="276">
        <v>38</v>
      </c>
      <c r="D18" s="276">
        <v>99</v>
      </c>
      <c r="E18" s="276">
        <v>100</v>
      </c>
      <c r="F18" s="276">
        <v>128</v>
      </c>
      <c r="G18" s="276">
        <v>174</v>
      </c>
      <c r="H18" s="276">
        <v>26</v>
      </c>
      <c r="I18" s="276"/>
      <c r="J18" s="276"/>
      <c r="K18" s="276"/>
      <c r="L18" s="276"/>
      <c r="M18" s="276"/>
      <c r="N18" s="276"/>
      <c r="O18" s="33">
        <v>561</v>
      </c>
      <c r="Q18" s="32" t="s">
        <v>283</v>
      </c>
      <c r="R18" s="276">
        <v>16</v>
      </c>
      <c r="S18" s="276">
        <v>20</v>
      </c>
      <c r="T18" s="276">
        <v>33</v>
      </c>
      <c r="U18" s="276">
        <v>44</v>
      </c>
      <c r="V18" s="276">
        <v>40</v>
      </c>
      <c r="W18" s="276">
        <v>10</v>
      </c>
      <c r="X18" s="276"/>
      <c r="Y18" s="276"/>
      <c r="Z18" s="276"/>
      <c r="AA18" s="276"/>
      <c r="AB18" s="276"/>
      <c r="AC18" s="276"/>
      <c r="AD18" s="276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607E-7D39-444C-8BE6-6281D59FF0A4}">
  <dimension ref="A2:M19"/>
  <sheetViews>
    <sheetView workbookViewId="0">
      <selection activeCell="F4" sqref="F4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5.44140625" bestFit="1" customWidth="1"/>
    <col min="4" max="5" width="6.44140625" bestFit="1" customWidth="1"/>
    <col min="6" max="9" width="5.44140625" bestFit="1" customWidth="1"/>
    <col min="10" max="10" width="3.6640625" bestFit="1" customWidth="1"/>
    <col min="11" max="11" width="2" bestFit="1" customWidth="1"/>
    <col min="12" max="12" width="7.5546875" bestFit="1" customWidth="1"/>
    <col min="13" max="13" width="10.77734375" bestFit="1" customWidth="1"/>
  </cols>
  <sheetData>
    <row r="2" spans="1:13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3" x14ac:dyDescent="0.3">
      <c r="A3" s="31" t="s">
        <v>319</v>
      </c>
      <c r="B3" s="31" t="s">
        <v>326</v>
      </c>
    </row>
    <row r="4" spans="1:13" x14ac:dyDescent="0.3">
      <c r="A4" s="31" t="s">
        <v>289</v>
      </c>
      <c r="B4" t="s">
        <v>364</v>
      </c>
      <c r="C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 t="s">
        <v>371</v>
      </c>
      <c r="J4" t="s">
        <v>363</v>
      </c>
      <c r="K4">
        <v>0</v>
      </c>
      <c r="L4" t="s">
        <v>432</v>
      </c>
      <c r="M4" t="s">
        <v>283</v>
      </c>
    </row>
    <row r="5" spans="1:13" x14ac:dyDescent="0.3">
      <c r="A5" s="32" t="s">
        <v>99</v>
      </c>
      <c r="B5" s="276"/>
      <c r="C5" s="276"/>
      <c r="D5" s="276"/>
      <c r="E5" s="276"/>
      <c r="F5" s="276"/>
      <c r="G5" s="276"/>
      <c r="H5" s="276">
        <v>7</v>
      </c>
      <c r="I5" s="276"/>
      <c r="J5" s="276"/>
      <c r="K5" s="276"/>
      <c r="L5" s="276"/>
      <c r="M5" s="276">
        <v>7</v>
      </c>
    </row>
    <row r="6" spans="1:13" x14ac:dyDescent="0.3">
      <c r="A6" s="32" t="s">
        <v>97</v>
      </c>
      <c r="B6" s="276">
        <v>1</v>
      </c>
      <c r="C6" s="276"/>
      <c r="D6" s="276"/>
      <c r="E6" s="276"/>
      <c r="F6" s="276">
        <v>19</v>
      </c>
      <c r="G6" s="276"/>
      <c r="H6" s="276"/>
      <c r="I6" s="276"/>
      <c r="J6" s="276"/>
      <c r="K6" s="276"/>
      <c r="L6" s="276"/>
      <c r="M6" s="276">
        <v>20</v>
      </c>
    </row>
    <row r="7" spans="1:13" x14ac:dyDescent="0.3">
      <c r="A7" s="32" t="s">
        <v>93</v>
      </c>
      <c r="B7" s="276">
        <v>3</v>
      </c>
      <c r="C7" s="276">
        <v>18</v>
      </c>
      <c r="D7" s="276"/>
      <c r="E7" s="276"/>
      <c r="F7" s="276"/>
      <c r="G7" s="276"/>
      <c r="H7" s="276"/>
      <c r="I7" s="276"/>
      <c r="J7" s="276"/>
      <c r="K7" s="276"/>
      <c r="L7" s="276"/>
      <c r="M7" s="276">
        <v>21</v>
      </c>
    </row>
    <row r="8" spans="1:13" x14ac:dyDescent="0.3">
      <c r="A8" s="32" t="s">
        <v>101</v>
      </c>
      <c r="B8" s="276">
        <v>1</v>
      </c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>
        <v>1</v>
      </c>
    </row>
    <row r="9" spans="1:13" x14ac:dyDescent="0.3">
      <c r="A9" s="32" t="s">
        <v>102</v>
      </c>
      <c r="B9" s="276"/>
      <c r="C9" s="276"/>
      <c r="D9" s="276"/>
      <c r="E9" s="276"/>
      <c r="F9" s="276">
        <v>11</v>
      </c>
      <c r="G9" s="276">
        <v>20</v>
      </c>
      <c r="H9" s="276"/>
      <c r="I9" s="276">
        <v>23</v>
      </c>
      <c r="J9" s="276"/>
      <c r="K9" s="276"/>
      <c r="L9" s="276"/>
      <c r="M9" s="276">
        <v>54</v>
      </c>
    </row>
    <row r="10" spans="1:13" x14ac:dyDescent="0.3">
      <c r="A10" s="32" t="s">
        <v>100</v>
      </c>
      <c r="B10" s="276"/>
      <c r="C10" s="276"/>
      <c r="D10" s="276"/>
      <c r="E10" s="276"/>
      <c r="F10" s="276"/>
      <c r="G10" s="276">
        <v>1</v>
      </c>
      <c r="H10" s="276"/>
      <c r="I10" s="276">
        <v>31</v>
      </c>
      <c r="J10" s="276"/>
      <c r="K10" s="276"/>
      <c r="L10" s="276"/>
      <c r="M10" s="276">
        <v>32</v>
      </c>
    </row>
    <row r="11" spans="1:13" x14ac:dyDescent="0.3">
      <c r="A11" s="32" t="s">
        <v>103</v>
      </c>
      <c r="B11" s="276"/>
      <c r="C11" s="276">
        <v>9</v>
      </c>
      <c r="D11" s="276"/>
      <c r="E11" s="276"/>
      <c r="F11" s="276"/>
      <c r="G11" s="276"/>
      <c r="H11" s="276"/>
      <c r="I11" s="276"/>
      <c r="J11" s="276"/>
      <c r="K11" s="276"/>
      <c r="L11" s="276"/>
      <c r="M11" s="276">
        <v>9</v>
      </c>
    </row>
    <row r="12" spans="1:13" x14ac:dyDescent="0.3">
      <c r="A12" s="32" t="s">
        <v>95</v>
      </c>
      <c r="B12" s="276">
        <v>1</v>
      </c>
      <c r="C12" s="276"/>
      <c r="D12" s="276"/>
      <c r="E12" s="276"/>
      <c r="F12" s="276"/>
      <c r="G12" s="276">
        <v>10</v>
      </c>
      <c r="H12" s="276"/>
      <c r="I12" s="276"/>
      <c r="J12" s="276"/>
      <c r="K12" s="276"/>
      <c r="L12" s="276"/>
      <c r="M12" s="276">
        <v>11</v>
      </c>
    </row>
    <row r="13" spans="1:13" x14ac:dyDescent="0.3">
      <c r="A13" s="32" t="s">
        <v>98</v>
      </c>
      <c r="B13" s="276">
        <v>9</v>
      </c>
      <c r="C13" s="276">
        <v>10</v>
      </c>
      <c r="D13" s="276"/>
      <c r="E13" s="276"/>
      <c r="F13" s="276"/>
      <c r="G13" s="276">
        <v>6</v>
      </c>
      <c r="H13" s="276"/>
      <c r="I13" s="276"/>
      <c r="J13" s="276"/>
      <c r="K13" s="276"/>
      <c r="L13" s="276"/>
      <c r="M13" s="276">
        <v>25</v>
      </c>
    </row>
    <row r="14" spans="1:13" x14ac:dyDescent="0.3">
      <c r="A14" s="32" t="s">
        <v>96</v>
      </c>
      <c r="B14" s="276">
        <v>7</v>
      </c>
      <c r="C14" s="276">
        <v>7</v>
      </c>
      <c r="D14" s="276"/>
      <c r="E14" s="276"/>
      <c r="F14" s="276">
        <v>15</v>
      </c>
      <c r="G14" s="276"/>
      <c r="H14" s="276">
        <v>13</v>
      </c>
      <c r="I14" s="276"/>
      <c r="J14" s="276"/>
      <c r="K14" s="276"/>
      <c r="L14" s="276"/>
      <c r="M14" s="276">
        <v>42</v>
      </c>
    </row>
    <row r="15" spans="1:13" x14ac:dyDescent="0.3">
      <c r="A15" s="32" t="s">
        <v>345</v>
      </c>
      <c r="B15" s="276"/>
      <c r="C15" s="276"/>
      <c r="D15" s="276"/>
      <c r="E15" s="276"/>
      <c r="F15" s="276">
        <v>5</v>
      </c>
      <c r="G15" s="276">
        <v>2</v>
      </c>
      <c r="H15" s="276">
        <v>5</v>
      </c>
      <c r="I15" s="276">
        <v>10</v>
      </c>
      <c r="J15" s="276"/>
      <c r="K15" s="276"/>
      <c r="L15" s="276"/>
      <c r="M15" s="276">
        <v>22</v>
      </c>
    </row>
    <row r="16" spans="1:13" x14ac:dyDescent="0.3">
      <c r="A16" s="32" t="s">
        <v>449</v>
      </c>
      <c r="B16" s="276"/>
      <c r="C16" s="276"/>
      <c r="D16" s="276"/>
      <c r="E16" s="276"/>
      <c r="F16" s="276"/>
      <c r="G16" s="276"/>
      <c r="H16" s="276"/>
      <c r="I16" s="276"/>
      <c r="J16" s="276"/>
      <c r="K16" s="276"/>
      <c r="L16" s="276"/>
      <c r="M16" s="276"/>
    </row>
    <row r="17" spans="1:13" x14ac:dyDescent="0.3">
      <c r="A17" s="32" t="s">
        <v>455</v>
      </c>
      <c r="B17" s="276"/>
      <c r="C17" s="276"/>
      <c r="D17" s="276">
        <v>26</v>
      </c>
      <c r="E17" s="276"/>
      <c r="F17" s="276">
        <v>1</v>
      </c>
      <c r="G17" s="276">
        <v>34</v>
      </c>
      <c r="H17" s="276">
        <v>52</v>
      </c>
      <c r="I17" s="276"/>
      <c r="J17" s="276">
        <v>8</v>
      </c>
      <c r="K17" s="276"/>
      <c r="L17" s="276"/>
      <c r="M17" s="276">
        <v>121</v>
      </c>
    </row>
    <row r="18" spans="1:13" x14ac:dyDescent="0.3">
      <c r="A18" s="32" t="s">
        <v>457</v>
      </c>
      <c r="B18" s="276">
        <v>32</v>
      </c>
      <c r="C18" s="276">
        <v>9</v>
      </c>
      <c r="D18" s="276">
        <v>8</v>
      </c>
      <c r="E18" s="276">
        <v>36</v>
      </c>
      <c r="F18" s="276">
        <v>18</v>
      </c>
      <c r="G18" s="276">
        <v>89</v>
      </c>
      <c r="H18" s="276">
        <v>3</v>
      </c>
      <c r="I18" s="276">
        <v>1</v>
      </c>
      <c r="J18" s="276"/>
      <c r="K18" s="276"/>
      <c r="L18" s="276"/>
      <c r="M18" s="276">
        <v>196</v>
      </c>
    </row>
    <row r="19" spans="1:13" x14ac:dyDescent="0.3">
      <c r="A19" s="32" t="s">
        <v>283</v>
      </c>
      <c r="B19" s="276">
        <v>54</v>
      </c>
      <c r="C19" s="276">
        <v>53</v>
      </c>
      <c r="D19" s="276">
        <v>34</v>
      </c>
      <c r="E19" s="276">
        <v>36</v>
      </c>
      <c r="F19" s="276">
        <v>69</v>
      </c>
      <c r="G19" s="276">
        <v>162</v>
      </c>
      <c r="H19" s="276">
        <v>80</v>
      </c>
      <c r="I19" s="276">
        <v>65</v>
      </c>
      <c r="J19" s="276">
        <v>8</v>
      </c>
      <c r="K19" s="276"/>
      <c r="L19" s="276"/>
      <c r="M19" s="276">
        <v>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5F0D-88CC-4696-BACD-82F5818F91BA}">
  <dimension ref="A3:N8"/>
  <sheetViews>
    <sheetView workbookViewId="0">
      <selection activeCell="J13" sqref="J13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4" bestFit="1" customWidth="1"/>
    <col min="4" max="4" width="13.109375" bestFit="1" customWidth="1"/>
    <col min="5" max="5" width="12.33203125" bestFit="1" customWidth="1"/>
    <col min="6" max="6" width="13.5546875" bestFit="1" customWidth="1"/>
    <col min="7" max="7" width="13.33203125" bestFit="1" customWidth="1"/>
    <col min="8" max="8" width="13.109375" bestFit="1" customWidth="1"/>
    <col min="9" max="9" width="13.6640625" bestFit="1" customWidth="1"/>
    <col min="10" max="10" width="13.33203125" bestFit="1" customWidth="1"/>
    <col min="11" max="11" width="12.88671875" bestFit="1" customWidth="1"/>
    <col min="12" max="12" width="13.21875" bestFit="1" customWidth="1"/>
    <col min="13" max="13" width="13.6640625" bestFit="1" customWidth="1"/>
    <col min="14" max="14" width="15.5546875" bestFit="1" customWidth="1"/>
  </cols>
  <sheetData>
    <row r="3" spans="1:14" x14ac:dyDescent="0.3">
      <c r="A3" s="31" t="s">
        <v>289</v>
      </c>
      <c r="B3" t="s">
        <v>291</v>
      </c>
      <c r="C3" t="s">
        <v>292</v>
      </c>
      <c r="D3" t="s">
        <v>293</v>
      </c>
      <c r="E3" t="s">
        <v>294</v>
      </c>
      <c r="F3" t="s">
        <v>295</v>
      </c>
      <c r="G3" t="s">
        <v>296</v>
      </c>
      <c r="H3" t="s">
        <v>297</v>
      </c>
      <c r="I3" t="s">
        <v>298</v>
      </c>
      <c r="J3" t="s">
        <v>299</v>
      </c>
      <c r="K3" t="s">
        <v>300</v>
      </c>
      <c r="L3" t="s">
        <v>301</v>
      </c>
      <c r="M3" t="s">
        <v>302</v>
      </c>
      <c r="N3" t="s">
        <v>319</v>
      </c>
    </row>
    <row r="4" spans="1:14" x14ac:dyDescent="0.3">
      <c r="A4" s="32" t="s">
        <v>278</v>
      </c>
      <c r="B4" s="276">
        <v>9</v>
      </c>
      <c r="C4" s="276">
        <v>13</v>
      </c>
      <c r="D4" s="276">
        <v>29</v>
      </c>
      <c r="E4" s="276">
        <v>16</v>
      </c>
      <c r="F4" s="276">
        <v>43</v>
      </c>
      <c r="G4" s="276">
        <v>6</v>
      </c>
      <c r="H4" s="276"/>
      <c r="I4" s="276"/>
      <c r="J4" s="276"/>
      <c r="K4" s="276"/>
      <c r="L4" s="276"/>
      <c r="M4" s="276"/>
      <c r="N4" s="276">
        <v>116</v>
      </c>
    </row>
    <row r="5" spans="1:14" x14ac:dyDescent="0.3">
      <c r="A5" s="32" t="s">
        <v>276</v>
      </c>
      <c r="B5" s="276">
        <v>21</v>
      </c>
      <c r="C5" s="276">
        <v>80</v>
      </c>
      <c r="D5" s="276">
        <v>47</v>
      </c>
      <c r="E5" s="276">
        <v>73</v>
      </c>
      <c r="F5" s="276">
        <v>90</v>
      </c>
      <c r="G5" s="276">
        <v>17</v>
      </c>
      <c r="H5" s="276"/>
      <c r="I5" s="276"/>
      <c r="J5" s="276"/>
      <c r="K5" s="276"/>
      <c r="L5" s="276"/>
      <c r="M5" s="276"/>
      <c r="N5" s="276">
        <v>328</v>
      </c>
    </row>
    <row r="6" spans="1:14" x14ac:dyDescent="0.3">
      <c r="A6" s="32" t="s">
        <v>277</v>
      </c>
      <c r="B6" s="276">
        <v>8</v>
      </c>
      <c r="C6" s="276">
        <v>6</v>
      </c>
      <c r="D6" s="276">
        <v>24</v>
      </c>
      <c r="E6" s="276">
        <v>39</v>
      </c>
      <c r="F6" s="276">
        <v>41</v>
      </c>
      <c r="G6" s="276">
        <v>3</v>
      </c>
      <c r="H6" s="276"/>
      <c r="I6" s="276"/>
      <c r="J6" s="276"/>
      <c r="K6" s="276"/>
      <c r="L6" s="276"/>
      <c r="M6" s="276"/>
      <c r="N6" s="276">
        <v>117</v>
      </c>
    </row>
    <row r="7" spans="1:14" x14ac:dyDescent="0.3">
      <c r="A7" s="32" t="s">
        <v>450</v>
      </c>
      <c r="B7" s="276"/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</row>
    <row r="8" spans="1:14" x14ac:dyDescent="0.3">
      <c r="A8" s="32" t="s">
        <v>283</v>
      </c>
      <c r="B8" s="276">
        <v>38</v>
      </c>
      <c r="C8" s="276">
        <v>99</v>
      </c>
      <c r="D8" s="276">
        <v>100</v>
      </c>
      <c r="E8" s="276">
        <v>128</v>
      </c>
      <c r="F8" s="276">
        <v>174</v>
      </c>
      <c r="G8" s="276">
        <v>26</v>
      </c>
      <c r="H8" s="276"/>
      <c r="I8" s="276"/>
      <c r="J8" s="276"/>
      <c r="K8" s="276"/>
      <c r="L8" s="276"/>
      <c r="M8" s="276"/>
      <c r="N8" s="276">
        <v>561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CED8-FA5E-400F-B037-E6ED364F3C62}">
  <sheetPr codeName="Sheet3"/>
  <dimension ref="A1:X104"/>
  <sheetViews>
    <sheetView zoomScaleNormal="100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21.109375" style="2" bestFit="1" customWidth="1"/>
    <col min="2" max="2" width="7.77734375" style="2" bestFit="1" customWidth="1"/>
    <col min="3" max="3" width="8.88671875" style="2" bestFit="1" customWidth="1"/>
    <col min="4" max="4" width="16.88671875" style="2" bestFit="1" customWidth="1"/>
    <col min="5" max="5" width="25.5546875" style="2" bestFit="1" customWidth="1"/>
    <col min="6" max="6" width="11" style="11" bestFit="1" customWidth="1"/>
    <col min="7" max="7" width="8.33203125" style="6" bestFit="1" customWidth="1"/>
    <col min="8" max="8" width="12.44140625" style="6" bestFit="1" customWidth="1"/>
    <col min="9" max="9" width="6.77734375" bestFit="1" customWidth="1"/>
    <col min="10" max="10" width="6.77734375" customWidth="1"/>
    <col min="11" max="11" width="6.6640625" bestFit="1" customWidth="1"/>
    <col min="12" max="12" width="7.44140625" customWidth="1"/>
    <col min="13" max="13" width="6.5546875" bestFit="1" customWidth="1"/>
    <col min="14" max="14" width="6" bestFit="1" customWidth="1"/>
    <col min="15" max="15" width="7" bestFit="1" customWidth="1"/>
    <col min="16" max="16" width="6.77734375" bestFit="1" customWidth="1"/>
    <col min="17" max="17" width="6.5546875" bestFit="1" customWidth="1"/>
    <col min="18" max="18" width="7.109375" bestFit="1" customWidth="1"/>
    <col min="19" max="19" width="6.77734375" bestFit="1" customWidth="1"/>
    <col min="20" max="20" width="6.44140625" bestFit="1" customWidth="1"/>
    <col min="21" max="21" width="6.77734375" bestFit="1" customWidth="1"/>
    <col min="22" max="22" width="7.109375" bestFit="1" customWidth="1"/>
    <col min="23" max="23" width="11.21875" bestFit="1" customWidth="1"/>
    <col min="24" max="24" width="8" bestFit="1" customWidth="1"/>
  </cols>
  <sheetData>
    <row r="1" spans="1:24" x14ac:dyDescent="0.3">
      <c r="A1" s="13" t="s">
        <v>264</v>
      </c>
      <c r="B1" s="13" t="s">
        <v>271</v>
      </c>
      <c r="C1" s="13" t="s">
        <v>272</v>
      </c>
      <c r="D1" s="13" t="s">
        <v>263</v>
      </c>
      <c r="E1" s="13" t="s">
        <v>265</v>
      </c>
      <c r="F1" s="14" t="s">
        <v>266</v>
      </c>
      <c r="G1" s="1" t="s">
        <v>267</v>
      </c>
      <c r="H1" s="1" t="s">
        <v>374</v>
      </c>
      <c r="I1" s="15" t="s">
        <v>268</v>
      </c>
      <c r="J1" s="15" t="s">
        <v>280</v>
      </c>
      <c r="K1" s="15">
        <v>46113</v>
      </c>
      <c r="L1" s="15">
        <v>46143</v>
      </c>
      <c r="M1" s="15">
        <v>46174</v>
      </c>
      <c r="N1" s="15">
        <v>46204</v>
      </c>
      <c r="O1" s="15">
        <v>46235</v>
      </c>
      <c r="P1" s="15">
        <v>46266</v>
      </c>
      <c r="Q1" s="15">
        <v>46296</v>
      </c>
      <c r="R1" s="15">
        <v>46327</v>
      </c>
      <c r="S1" s="15">
        <v>46357</v>
      </c>
      <c r="T1" s="15">
        <v>46388</v>
      </c>
      <c r="U1" s="15">
        <v>46419</v>
      </c>
      <c r="V1" s="15">
        <v>46447</v>
      </c>
      <c r="W1" s="13" t="s">
        <v>284</v>
      </c>
      <c r="X1" s="15" t="s">
        <v>270</v>
      </c>
    </row>
    <row r="2" spans="1:24" x14ac:dyDescent="0.3">
      <c r="A2" s="4" t="str">
        <f>VLOOKUP(G2,Data!$A:$G,2,0)</f>
        <v>Under Office (W Medinipur)</v>
      </c>
      <c r="B2" s="4" t="str">
        <f>VLOOKUP(G2,Data!$A:$G,3,0)</f>
        <v>Active</v>
      </c>
      <c r="C2" s="4" t="str">
        <f>VLOOKUP(G2,Data!$A:$G,4,0)</f>
        <v>Hooghly</v>
      </c>
      <c r="D2" s="4" t="str">
        <f>VLOOKUP(G2,Data!$A:$G,5,0)</f>
        <v>Palaschabrighat</v>
      </c>
      <c r="E2" s="4" t="str">
        <f>VLOOKUP(G2,Data!$A:$G,6,0)</f>
        <v>Asima Bhunia</v>
      </c>
      <c r="F2" s="10" t="str">
        <f>VLOOKUP(G2,Data!$A:$G,7,0)</f>
        <v>2390311420</v>
      </c>
      <c r="G2" s="5">
        <v>22126</v>
      </c>
      <c r="H2" s="5" t="str">
        <f>VLOOKUP(G2,'FI txn'!$G:$X,18,0)</f>
        <v>&gt; 2000</v>
      </c>
      <c r="I2" s="7">
        <f>VLOOKUP(G2,'FI txn'!$G:$H,2,0)</f>
        <v>6</v>
      </c>
      <c r="J2" s="7">
        <f t="shared" ref="J2:J33" si="0">I2*15</f>
        <v>90</v>
      </c>
      <c r="K2" s="8"/>
      <c r="L2" s="8"/>
      <c r="M2" s="8">
        <v>6</v>
      </c>
      <c r="N2" s="8">
        <v>1</v>
      </c>
      <c r="O2" s="8">
        <v>16</v>
      </c>
      <c r="P2" s="8"/>
      <c r="Q2" s="8"/>
      <c r="R2" s="8"/>
      <c r="S2" s="8"/>
      <c r="T2" s="8"/>
      <c r="U2" s="8"/>
      <c r="V2" s="8"/>
      <c r="W2" s="8">
        <f t="shared" ref="W2:W33" si="1">SUM(K2:V2)</f>
        <v>23</v>
      </c>
      <c r="X2" s="9">
        <f t="shared" ref="X2:X33" si="2">W2/I2</f>
        <v>3.8333333333333335</v>
      </c>
    </row>
    <row r="3" spans="1:24" x14ac:dyDescent="0.3">
      <c r="A3" s="4" t="str">
        <f>VLOOKUP(G3,Data!$A:$G,2,0)</f>
        <v>Sunil Biswas</v>
      </c>
      <c r="B3" s="4" t="str">
        <f>VLOOKUP(G3,Data!$A:$G,3,0)</f>
        <v>Active</v>
      </c>
      <c r="C3" s="4" t="str">
        <f>VLOOKUP(G3,Data!$A:$G,4,0)</f>
        <v>Durgapur</v>
      </c>
      <c r="D3" s="4" t="str">
        <f>VLOOKUP(G3,Data!$A:$G,5,0)</f>
        <v>Santipur</v>
      </c>
      <c r="E3" s="4" t="str">
        <f>VLOOKUP(G3,Data!$A:$G,6,0)</f>
        <v>Sahabul Mandal</v>
      </c>
      <c r="F3" s="10" t="str">
        <f>VLOOKUP(G3,Data!$A:$G,7,0)</f>
        <v>2430315156</v>
      </c>
      <c r="G3" s="5">
        <v>27630</v>
      </c>
      <c r="H3" s="5" t="str">
        <f>VLOOKUP(G3,'FI txn'!$G:$X,18,0)</f>
        <v>&gt; 600</v>
      </c>
      <c r="I3" s="7">
        <f>VLOOKUP(G3,'FI txn'!$G:$H,2,0)</f>
        <v>6</v>
      </c>
      <c r="J3" s="7">
        <f t="shared" si="0"/>
        <v>90</v>
      </c>
      <c r="K3" s="8"/>
      <c r="L3" s="8"/>
      <c r="M3" s="8"/>
      <c r="N3" s="8"/>
      <c r="O3" s="8">
        <v>10</v>
      </c>
      <c r="P3" s="8">
        <v>3</v>
      </c>
      <c r="Q3" s="8"/>
      <c r="R3" s="8"/>
      <c r="S3" s="8"/>
      <c r="T3" s="8"/>
      <c r="U3" s="8"/>
      <c r="V3" s="8"/>
      <c r="W3" s="8">
        <f t="shared" si="1"/>
        <v>13</v>
      </c>
      <c r="X3" s="9">
        <f t="shared" si="2"/>
        <v>2.1666666666666665</v>
      </c>
    </row>
    <row r="4" spans="1:24" x14ac:dyDescent="0.3">
      <c r="A4" s="4" t="str">
        <f>VLOOKUP(G4,Data!$A:$G,2,0)</f>
        <v>Rajendra Kumar Bapari</v>
      </c>
      <c r="B4" s="4" t="str">
        <f>VLOOKUP(G4,Data!$A:$G,3,0)</f>
        <v>Active</v>
      </c>
      <c r="C4" s="4" t="str">
        <f>VLOOKUP(G4,Data!$A:$G,4,0)</f>
        <v>Durgapur</v>
      </c>
      <c r="D4" s="4" t="str">
        <f>VLOOKUP(G4,Data!$A:$G,5,0)</f>
        <v>Kushodanga</v>
      </c>
      <c r="E4" s="4" t="str">
        <f>VLOOKUP(G4,Data!$A:$G,6,0)</f>
        <v>Priti Das</v>
      </c>
      <c r="F4" s="10" t="str">
        <f>VLOOKUP(G4,Data!$A:$G,7,0)</f>
        <v>3390315408</v>
      </c>
      <c r="G4" s="5">
        <v>28176</v>
      </c>
      <c r="H4" s="5" t="str">
        <f>VLOOKUP(G4,'FI txn'!$G:$X,18,0)</f>
        <v>&gt; 900</v>
      </c>
      <c r="I4" s="7">
        <f>VLOOKUP(G4,'FI txn'!$G:$H,2,0)</f>
        <v>6</v>
      </c>
      <c r="J4" s="7">
        <f t="shared" si="0"/>
        <v>90</v>
      </c>
      <c r="K4" s="8">
        <v>2</v>
      </c>
      <c r="L4" s="8">
        <v>2</v>
      </c>
      <c r="M4" s="8">
        <v>3</v>
      </c>
      <c r="N4" s="8">
        <v>6</v>
      </c>
      <c r="O4" s="8">
        <v>8</v>
      </c>
      <c r="P4" s="8">
        <v>2</v>
      </c>
      <c r="Q4" s="8"/>
      <c r="R4" s="8"/>
      <c r="S4" s="8"/>
      <c r="T4" s="8"/>
      <c r="U4" s="8"/>
      <c r="V4" s="8"/>
      <c r="W4" s="8">
        <f t="shared" si="1"/>
        <v>23</v>
      </c>
      <c r="X4" s="9">
        <f t="shared" si="2"/>
        <v>3.8333333333333335</v>
      </c>
    </row>
    <row r="5" spans="1:24" x14ac:dyDescent="0.3">
      <c r="A5" s="4" t="str">
        <f>VLOOKUP(G5,Data!$A:$G,2,0)</f>
        <v>Under Office (W Medinipur)</v>
      </c>
      <c r="B5" s="4" t="str">
        <f>VLOOKUP(G5,Data!$A:$G,3,0)</f>
        <v>Active</v>
      </c>
      <c r="C5" s="4" t="str">
        <f>VLOOKUP(G5,Data!$A:$G,4,0)</f>
        <v>Hooghly</v>
      </c>
      <c r="D5" s="4" t="str">
        <f>VLOOKUP(G5,Data!$A:$G,5,0)</f>
        <v>Nayabasat</v>
      </c>
      <c r="E5" s="4" t="str">
        <f>VLOOKUP(G5,Data!$A:$G,6,0)</f>
        <v>Mousumi Chanda Dey</v>
      </c>
      <c r="F5" s="10" t="str">
        <f>VLOOKUP(G5,Data!$A:$G,7,0)</f>
        <v>2390315855</v>
      </c>
      <c r="G5" s="5">
        <v>29123</v>
      </c>
      <c r="H5" s="5" t="str">
        <f>VLOOKUP(G5,'FI txn'!$G:$X,18,0)</f>
        <v>&gt; 450</v>
      </c>
      <c r="I5" s="7">
        <f>VLOOKUP(G5,'FI txn'!$G:$H,2,0)</f>
        <v>6</v>
      </c>
      <c r="J5" s="7">
        <f t="shared" si="0"/>
        <v>90</v>
      </c>
      <c r="K5" s="8">
        <v>9</v>
      </c>
      <c r="L5" s="8">
        <v>21</v>
      </c>
      <c r="M5" s="8">
        <v>1</v>
      </c>
      <c r="N5" s="8">
        <v>27</v>
      </c>
      <c r="O5" s="8">
        <v>12</v>
      </c>
      <c r="P5" s="8">
        <v>12</v>
      </c>
      <c r="Q5" s="8"/>
      <c r="R5" s="8"/>
      <c r="S5" s="8"/>
      <c r="T5" s="8"/>
      <c r="U5" s="8"/>
      <c r="V5" s="8"/>
      <c r="W5" s="8">
        <f t="shared" si="1"/>
        <v>82</v>
      </c>
      <c r="X5" s="9">
        <f t="shared" si="2"/>
        <v>13.666666666666666</v>
      </c>
    </row>
    <row r="6" spans="1:24" x14ac:dyDescent="0.3">
      <c r="A6" s="4" t="str">
        <f>VLOOKUP(G6,Data!$A:$G,2,0)</f>
        <v>Shyamalesh Sarkar</v>
      </c>
      <c r="B6" s="4" t="str">
        <f>VLOOKUP(G6,Data!$A:$G,3,0)</f>
        <v>Active</v>
      </c>
      <c r="C6" s="4" t="str">
        <f>VLOOKUP(G6,Data!$A:$G,4,0)</f>
        <v>Siliguri</v>
      </c>
      <c r="D6" s="4" t="str">
        <f>VLOOKUP(G6,Data!$A:$G,5,0)</f>
        <v>Sagardighi Square</v>
      </c>
      <c r="E6" s="4" t="str">
        <f>VLOOKUP(G6,Data!$A:$G,6,0)</f>
        <v xml:space="preserve">Khurshid Alom </v>
      </c>
      <c r="F6" s="10" t="str">
        <f>VLOOKUP(G6,Data!$A:$G,7,0)</f>
        <v>2200311941</v>
      </c>
      <c r="G6" s="5">
        <v>22768</v>
      </c>
      <c r="H6" s="5" t="str">
        <f>VLOOKUP(G6,'FI txn'!$G:$X,18,0)</f>
        <v>&lt; 150</v>
      </c>
      <c r="I6" s="7">
        <f>VLOOKUP(G6,'FI txn'!$G:$H,2,0)</f>
        <v>6</v>
      </c>
      <c r="J6" s="7">
        <f t="shared" si="0"/>
        <v>90</v>
      </c>
      <c r="K6" s="8"/>
      <c r="L6" s="8"/>
      <c r="M6" s="8"/>
      <c r="N6" s="8">
        <v>1</v>
      </c>
      <c r="O6" s="8">
        <v>6</v>
      </c>
      <c r="P6" s="8">
        <v>2</v>
      </c>
      <c r="Q6" s="8"/>
      <c r="R6" s="8"/>
      <c r="S6" s="8"/>
      <c r="T6" s="8"/>
      <c r="U6" s="8"/>
      <c r="V6" s="8"/>
      <c r="W6" s="8">
        <f t="shared" si="1"/>
        <v>9</v>
      </c>
      <c r="X6" s="9">
        <f t="shared" si="2"/>
        <v>1.5</v>
      </c>
    </row>
    <row r="7" spans="1:24" x14ac:dyDescent="0.3">
      <c r="A7" s="4" t="str">
        <f>VLOOKUP(G7,Data!$A:$G,2,0)</f>
        <v>Rajendra Kumar Bapari</v>
      </c>
      <c r="B7" s="4" t="str">
        <f>VLOOKUP(G7,Data!$A:$G,3,0)</f>
        <v>Active</v>
      </c>
      <c r="C7" s="4" t="str">
        <f>VLOOKUP(G7,Data!$A:$G,4,0)</f>
        <v>Durgapur</v>
      </c>
      <c r="D7" s="4" t="str">
        <f>VLOOKUP(G7,Data!$A:$G,5,0)</f>
        <v>Patuli</v>
      </c>
      <c r="E7" s="4" t="str">
        <f>VLOOKUP(G7,Data!$A:$G,6,0)</f>
        <v>Satyajit Kar</v>
      </c>
      <c r="F7" s="10" t="str">
        <f>VLOOKUP(G7,Data!$A:$G,7,0)</f>
        <v>3390314928</v>
      </c>
      <c r="G7" s="5">
        <v>27154</v>
      </c>
      <c r="H7" s="5" t="str">
        <f>VLOOKUP(G7,'FI txn'!$G:$X,18,0)</f>
        <v>&gt; 450</v>
      </c>
      <c r="I7" s="7">
        <f>VLOOKUP(G7,'FI txn'!$G:$H,2,0)</f>
        <v>6</v>
      </c>
      <c r="J7" s="7">
        <f t="shared" si="0"/>
        <v>90</v>
      </c>
      <c r="K7" s="8">
        <v>2</v>
      </c>
      <c r="L7" s="8">
        <v>4</v>
      </c>
      <c r="M7" s="8">
        <v>7</v>
      </c>
      <c r="N7" s="8">
        <v>2</v>
      </c>
      <c r="O7" s="8">
        <v>4</v>
      </c>
      <c r="P7" s="8">
        <v>1</v>
      </c>
      <c r="Q7" s="8"/>
      <c r="R7" s="8"/>
      <c r="S7" s="8"/>
      <c r="T7" s="8"/>
      <c r="U7" s="8"/>
      <c r="V7" s="8"/>
      <c r="W7" s="8">
        <f t="shared" si="1"/>
        <v>20</v>
      </c>
      <c r="X7" s="9">
        <f t="shared" si="2"/>
        <v>3.3333333333333335</v>
      </c>
    </row>
    <row r="8" spans="1:24" x14ac:dyDescent="0.3">
      <c r="A8" s="4" t="str">
        <f>VLOOKUP(G8,Data!$A:$G,2,0)</f>
        <v>Souvik Maity</v>
      </c>
      <c r="B8" s="4" t="str">
        <f>VLOOKUP(G8,Data!$A:$G,3,0)</f>
        <v>Active</v>
      </c>
      <c r="C8" s="4" t="str">
        <f>VLOOKUP(G8,Data!$A:$G,4,0)</f>
        <v>Hooghly</v>
      </c>
      <c r="D8" s="4" t="str">
        <f>VLOOKUP(G8,Data!$A:$G,5,0)</f>
        <v>Jirat</v>
      </c>
      <c r="E8" s="4" t="str">
        <f>VLOOKUP(G8,Data!$A:$G,6,0)</f>
        <v>Sahadeb Chakraborty</v>
      </c>
      <c r="F8" s="10" t="str">
        <f>VLOOKUP(G8,Data!$A:$G,7,0)</f>
        <v>3390314204</v>
      </c>
      <c r="G8" s="5">
        <v>26084</v>
      </c>
      <c r="H8" s="5" t="str">
        <f>VLOOKUP(G8,'FI txn'!$G:$X,18,0)</f>
        <v>&gt; 600</v>
      </c>
      <c r="I8" s="7">
        <f>VLOOKUP(G8,'FI txn'!$G:$H,2,0)</f>
        <v>6</v>
      </c>
      <c r="J8" s="7">
        <f t="shared" si="0"/>
        <v>90</v>
      </c>
      <c r="K8" s="8">
        <v>3</v>
      </c>
      <c r="L8" s="8">
        <v>10</v>
      </c>
      <c r="M8" s="8">
        <v>10</v>
      </c>
      <c r="N8" s="8">
        <v>7</v>
      </c>
      <c r="O8" s="8">
        <v>5</v>
      </c>
      <c r="P8" s="8">
        <v>2</v>
      </c>
      <c r="Q8" s="8"/>
      <c r="R8" s="8"/>
      <c r="S8" s="8"/>
      <c r="T8" s="8"/>
      <c r="U8" s="8"/>
      <c r="V8" s="8"/>
      <c r="W8" s="8">
        <f t="shared" si="1"/>
        <v>37</v>
      </c>
      <c r="X8" s="9">
        <f t="shared" si="2"/>
        <v>6.166666666666667</v>
      </c>
    </row>
    <row r="9" spans="1:24" x14ac:dyDescent="0.3">
      <c r="A9" s="4" t="str">
        <f>VLOOKUP(G9,Data!$A:$G,2,0)</f>
        <v>Under Office (W Medinipur)</v>
      </c>
      <c r="B9" s="4" t="str">
        <f>VLOOKUP(G9,Data!$A:$G,3,0)</f>
        <v>Active</v>
      </c>
      <c r="C9" s="4" t="str">
        <f>VLOOKUP(G9,Data!$A:$G,4,0)</f>
        <v>Hooghly</v>
      </c>
      <c r="D9" s="4" t="str">
        <f>VLOOKUP(G9,Data!$A:$G,5,0)</f>
        <v>Binpur</v>
      </c>
      <c r="E9" s="4" t="str">
        <f>VLOOKUP(G9,Data!$A:$G,6,0)</f>
        <v>Debika Singha Patra</v>
      </c>
      <c r="F9" s="10" t="str">
        <f>VLOOKUP(G9,Data!$A:$G,7,0)</f>
        <v>2390311962</v>
      </c>
      <c r="G9" s="5">
        <v>22789</v>
      </c>
      <c r="H9" s="5" t="str">
        <f>VLOOKUP(G9,'FI txn'!$G:$X,18,0)</f>
        <v>&gt; 2000</v>
      </c>
      <c r="I9" s="7">
        <f>VLOOKUP(G9,'FI txn'!$G:$H,2,0)</f>
        <v>6</v>
      </c>
      <c r="J9" s="7">
        <f t="shared" si="0"/>
        <v>90</v>
      </c>
      <c r="K9" s="8"/>
      <c r="L9" s="8">
        <v>2</v>
      </c>
      <c r="M9" s="8">
        <v>5</v>
      </c>
      <c r="N9" s="8">
        <v>3</v>
      </c>
      <c r="O9" s="8">
        <v>2</v>
      </c>
      <c r="P9" s="8">
        <v>1</v>
      </c>
      <c r="Q9" s="8"/>
      <c r="R9" s="8"/>
      <c r="S9" s="8"/>
      <c r="T9" s="8"/>
      <c r="U9" s="8"/>
      <c r="V9" s="8"/>
      <c r="W9" s="8">
        <f t="shared" si="1"/>
        <v>13</v>
      </c>
      <c r="X9" s="9">
        <f t="shared" si="2"/>
        <v>2.1666666666666665</v>
      </c>
    </row>
    <row r="10" spans="1:24" x14ac:dyDescent="0.3">
      <c r="A10" s="4" t="str">
        <f>VLOOKUP(G10,Data!$A:$G,2,0)</f>
        <v>Rajiul Momin</v>
      </c>
      <c r="B10" s="4" t="str">
        <f>VLOOKUP(G10,Data!$A:$G,3,0)</f>
        <v>Active</v>
      </c>
      <c r="C10" s="4" t="str">
        <f>VLOOKUP(G10,Data!$A:$G,4,0)</f>
        <v>Siliguri</v>
      </c>
      <c r="D10" s="4" t="str">
        <f>VLOOKUP(G10,Data!$A:$G,5,0)</f>
        <v>Kaluari</v>
      </c>
      <c r="E10" s="4" t="str">
        <f>VLOOKUP(G10,Data!$A:$G,6,0)</f>
        <v>Masidur Rahaman</v>
      </c>
      <c r="F10" s="10" t="str">
        <f>VLOOKUP(G10,Data!$A:$G,7,0)</f>
        <v>2370310973</v>
      </c>
      <c r="G10" s="5">
        <v>21583</v>
      </c>
      <c r="H10" s="5" t="str">
        <f>VLOOKUP(G10,'FI txn'!$G:$X,18,0)</f>
        <v>&gt; 900</v>
      </c>
      <c r="I10" s="7">
        <f>VLOOKUP(G10,'FI txn'!$G:$H,2,0)</f>
        <v>6</v>
      </c>
      <c r="J10" s="7">
        <f t="shared" si="0"/>
        <v>90</v>
      </c>
      <c r="K10" s="8"/>
      <c r="L10" s="8"/>
      <c r="M10" s="8">
        <v>15</v>
      </c>
      <c r="N10" s="8">
        <v>5</v>
      </c>
      <c r="O10" s="8">
        <v>10</v>
      </c>
      <c r="P10" s="8">
        <v>1</v>
      </c>
      <c r="Q10" s="8"/>
      <c r="R10" s="8"/>
      <c r="S10" s="8"/>
      <c r="T10" s="8"/>
      <c r="U10" s="8"/>
      <c r="V10" s="8"/>
      <c r="W10" s="8">
        <f t="shared" si="1"/>
        <v>31</v>
      </c>
      <c r="X10" s="9">
        <f t="shared" si="2"/>
        <v>5.166666666666667</v>
      </c>
    </row>
    <row r="11" spans="1:24" x14ac:dyDescent="0.3">
      <c r="A11" s="4" t="str">
        <f>VLOOKUP(G11,Data!$A:$G,2,0)</f>
        <v>Under Office (W Medinipur)</v>
      </c>
      <c r="B11" s="4" t="str">
        <f>VLOOKUP(G11,Data!$A:$G,3,0)</f>
        <v>Active</v>
      </c>
      <c r="C11" s="4" t="str">
        <f>VLOOKUP(G11,Data!$A:$G,4,0)</f>
        <v>Hooghly</v>
      </c>
      <c r="D11" s="4" t="str">
        <f>VLOOKUP(G11,Data!$A:$G,5,0)</f>
        <v>Kankabati</v>
      </c>
      <c r="E11" s="4" t="str">
        <f>VLOOKUP(G11,Data!$A:$G,6,0)</f>
        <v>Mita Samanta</v>
      </c>
      <c r="F11" s="10" t="str">
        <f>VLOOKUP(G11,Data!$A:$G,7,0)</f>
        <v>2390311663</v>
      </c>
      <c r="G11" s="5">
        <v>22401</v>
      </c>
      <c r="H11" s="5" t="str">
        <f>VLOOKUP(G11,'FI txn'!$G:$X,18,0)</f>
        <v>&lt; 150</v>
      </c>
      <c r="I11" s="7">
        <f>VLOOKUP(G11,'FI txn'!$G:$H,2,0)</f>
        <v>6</v>
      </c>
      <c r="J11" s="7">
        <f t="shared" si="0"/>
        <v>90</v>
      </c>
      <c r="K11" s="8"/>
      <c r="L11" s="8">
        <v>22</v>
      </c>
      <c r="M11" s="8">
        <v>7</v>
      </c>
      <c r="N11" s="8"/>
      <c r="O11" s="8">
        <v>2</v>
      </c>
      <c r="P11" s="8"/>
      <c r="Q11" s="8"/>
      <c r="R11" s="8"/>
      <c r="S11" s="8"/>
      <c r="T11" s="8"/>
      <c r="U11" s="8"/>
      <c r="V11" s="8"/>
      <c r="W11" s="8">
        <f t="shared" si="1"/>
        <v>31</v>
      </c>
      <c r="X11" s="9">
        <f t="shared" si="2"/>
        <v>5.166666666666667</v>
      </c>
    </row>
    <row r="12" spans="1:24" x14ac:dyDescent="0.3">
      <c r="A12" s="4" t="str">
        <f>VLOOKUP(G12,Data!$A:$G,2,0)</f>
        <v>Under Office (W Medinipur)</v>
      </c>
      <c r="B12" s="4" t="str">
        <f>VLOOKUP(G12,Data!$A:$G,3,0)</f>
        <v>Active</v>
      </c>
      <c r="C12" s="4" t="str">
        <f>VLOOKUP(G12,Data!$A:$G,4,0)</f>
        <v>Hooghly</v>
      </c>
      <c r="D12" s="4" t="str">
        <f>VLOOKUP(G12,Data!$A:$G,5,0)</f>
        <v>Nayabasat</v>
      </c>
      <c r="E12" s="4" t="str">
        <f>VLOOKUP(G12,Data!$A:$G,6,0)</f>
        <v>Soumya Ghosh</v>
      </c>
      <c r="F12" s="10" t="str">
        <f>VLOOKUP(G12,Data!$A:$G,7,0)</f>
        <v>2390314387</v>
      </c>
      <c r="G12" s="5">
        <v>26403</v>
      </c>
      <c r="H12" s="5" t="str">
        <f>VLOOKUP(G12,'FI txn'!$G:$X,18,0)</f>
        <v>&gt; 150</v>
      </c>
      <c r="I12" s="7">
        <f>VLOOKUP(G12,'FI txn'!$G:$H,2,0)</f>
        <v>6</v>
      </c>
      <c r="J12" s="7">
        <f t="shared" si="0"/>
        <v>90</v>
      </c>
      <c r="K12" s="8"/>
      <c r="L12" s="8"/>
      <c r="M12" s="8"/>
      <c r="N12" s="8"/>
      <c r="O12" s="8">
        <v>2</v>
      </c>
      <c r="P12" s="8"/>
      <c r="Q12" s="8"/>
      <c r="R12" s="8"/>
      <c r="S12" s="8"/>
      <c r="T12" s="8"/>
      <c r="U12" s="8"/>
      <c r="V12" s="8"/>
      <c r="W12" s="8">
        <f t="shared" si="1"/>
        <v>2</v>
      </c>
      <c r="X12" s="9">
        <f t="shared" si="2"/>
        <v>0.33333333333333331</v>
      </c>
    </row>
    <row r="13" spans="1:24" x14ac:dyDescent="0.3">
      <c r="A13" s="4" t="str">
        <f>VLOOKUP(G13,Data!$A:$G,2,0)</f>
        <v>Under Office (W Medinipur)</v>
      </c>
      <c r="B13" s="4" t="str">
        <f>VLOOKUP(G13,Data!$A:$G,3,0)</f>
        <v>Active</v>
      </c>
      <c r="C13" s="4" t="str">
        <f>VLOOKUP(G13,Data!$A:$G,4,0)</f>
        <v>Hooghly</v>
      </c>
      <c r="D13" s="4" t="str">
        <f>VLOOKUP(G13,Data!$A:$G,5,0)</f>
        <v>Chandrakona</v>
      </c>
      <c r="E13" s="4" t="str">
        <f>VLOOKUP(G13,Data!$A:$G,6,0)</f>
        <v>Mani Dhara</v>
      </c>
      <c r="F13" s="10" t="str">
        <f>VLOOKUP(G13,Data!$A:$G,7,0)</f>
        <v>2390313180</v>
      </c>
      <c r="G13" s="5">
        <v>24494</v>
      </c>
      <c r="H13" s="5" t="str">
        <f>VLOOKUP(G13,'FI txn'!$G:$X,18,0)</f>
        <v>&gt; 300</v>
      </c>
      <c r="I13" s="7">
        <f>VLOOKUP(G13,'FI txn'!$G:$H,2,0)</f>
        <v>6</v>
      </c>
      <c r="J13" s="7">
        <f t="shared" si="0"/>
        <v>90</v>
      </c>
      <c r="K13" s="8"/>
      <c r="L13" s="8"/>
      <c r="M13" s="8"/>
      <c r="N13" s="8"/>
      <c r="O13" s="8">
        <v>2</v>
      </c>
      <c r="P13" s="8"/>
      <c r="Q13" s="8"/>
      <c r="R13" s="8"/>
      <c r="S13" s="8"/>
      <c r="T13" s="8"/>
      <c r="U13" s="8"/>
      <c r="V13" s="8"/>
      <c r="W13" s="8">
        <f t="shared" si="1"/>
        <v>2</v>
      </c>
      <c r="X13" s="9">
        <f t="shared" si="2"/>
        <v>0.33333333333333331</v>
      </c>
    </row>
    <row r="14" spans="1:24" x14ac:dyDescent="0.3">
      <c r="A14" s="4" t="str">
        <f>VLOOKUP(G14,Data!$A:$G,2,0)</f>
        <v>Santanu Bera</v>
      </c>
      <c r="B14" s="4" t="str">
        <f>VLOOKUP(G14,Data!$A:$G,3,0)</f>
        <v>Active</v>
      </c>
      <c r="C14" s="4" t="str">
        <f>VLOOKUP(G14,Data!$A:$G,4,0)</f>
        <v>Hooghly</v>
      </c>
      <c r="D14" s="4" t="str">
        <f>VLOOKUP(G14,Data!$A:$G,5,0)</f>
        <v>Panskura</v>
      </c>
      <c r="E14" s="4" t="str">
        <f>VLOOKUP(G14,Data!$A:$G,6,0)</f>
        <v>Kartik Maity</v>
      </c>
      <c r="F14" s="10" t="str">
        <f>VLOOKUP(G14,Data!$A:$G,7,0)</f>
        <v>2380311666</v>
      </c>
      <c r="G14" s="5">
        <v>22404</v>
      </c>
      <c r="H14" s="5" t="str">
        <f>VLOOKUP(G14,'FI txn'!$G:$X,18,0)</f>
        <v>&gt; 450</v>
      </c>
      <c r="I14" s="7">
        <f>VLOOKUP(G14,'FI txn'!$G:$H,2,0)</f>
        <v>6</v>
      </c>
      <c r="J14" s="7">
        <f t="shared" si="0"/>
        <v>90</v>
      </c>
      <c r="K14" s="8"/>
      <c r="L14" s="8"/>
      <c r="M14" s="8"/>
      <c r="N14" s="8">
        <v>2</v>
      </c>
      <c r="O14" s="8">
        <v>7</v>
      </c>
      <c r="P14" s="8">
        <v>1</v>
      </c>
      <c r="Q14" s="8"/>
      <c r="R14" s="8"/>
      <c r="S14" s="8"/>
      <c r="T14" s="8"/>
      <c r="U14" s="8"/>
      <c r="V14" s="8"/>
      <c r="W14" s="8">
        <f t="shared" si="1"/>
        <v>10</v>
      </c>
      <c r="X14" s="9">
        <f t="shared" si="2"/>
        <v>1.6666666666666667</v>
      </c>
    </row>
    <row r="15" spans="1:24" x14ac:dyDescent="0.3">
      <c r="A15" s="4" t="str">
        <f>VLOOKUP(G15,Data!$A:$G,2,0)</f>
        <v>Manindra Nath Barman</v>
      </c>
      <c r="B15" s="4" t="str">
        <f>VLOOKUP(G15,Data!$A:$G,3,0)</f>
        <v>Active</v>
      </c>
      <c r="C15" s="4" t="str">
        <f>VLOOKUP(G15,Data!$A:$G,4,0)</f>
        <v>Siliguri</v>
      </c>
      <c r="D15" s="4" t="str">
        <f>VLOOKUP(G15,Data!$A:$G,5,0)</f>
        <v>Damanpur</v>
      </c>
      <c r="E15" s="4" t="str">
        <f>VLOOKUP(G15,Data!$A:$G,6,0)</f>
        <v>Biplab Barman</v>
      </c>
      <c r="F15" s="10" t="str">
        <f>VLOOKUP(G15,Data!$A:$G,7,0)</f>
        <v>9490310566</v>
      </c>
      <c r="G15" s="5">
        <v>21091</v>
      </c>
      <c r="H15" s="5" t="str">
        <f>VLOOKUP(G15,'FI txn'!$G:$X,18,0)</f>
        <v>&gt; 150</v>
      </c>
      <c r="I15" s="7">
        <f>VLOOKUP(G15,'FI txn'!$G:$H,2,0)</f>
        <v>6</v>
      </c>
      <c r="J15" s="7">
        <f t="shared" si="0"/>
        <v>90</v>
      </c>
      <c r="K15" s="8">
        <v>1</v>
      </c>
      <c r="L15" s="8">
        <v>1</v>
      </c>
      <c r="M15" s="8">
        <v>2</v>
      </c>
      <c r="N15" s="8">
        <v>7</v>
      </c>
      <c r="O15" s="8">
        <v>4</v>
      </c>
      <c r="P15" s="8"/>
      <c r="Q15" s="8"/>
      <c r="R15" s="8"/>
      <c r="S15" s="8"/>
      <c r="T15" s="8"/>
      <c r="U15" s="8"/>
      <c r="V15" s="8"/>
      <c r="W15" s="8">
        <f t="shared" si="1"/>
        <v>15</v>
      </c>
      <c r="X15" s="9">
        <f t="shared" si="2"/>
        <v>2.5</v>
      </c>
    </row>
    <row r="16" spans="1:24" x14ac:dyDescent="0.3">
      <c r="A16" s="4" t="str">
        <f>VLOOKUP(G16,Data!$A:$G,2,0)</f>
        <v>Souvik Maity</v>
      </c>
      <c r="B16" s="4" t="str">
        <f>VLOOKUP(G16,Data!$A:$G,3,0)</f>
        <v>Active</v>
      </c>
      <c r="C16" s="4" t="str">
        <f>VLOOKUP(G16,Data!$A:$G,4,0)</f>
        <v>Hooghly</v>
      </c>
      <c r="D16" s="4" t="str">
        <f>VLOOKUP(G16,Data!$A:$G,5,0)</f>
        <v>Rajhati</v>
      </c>
      <c r="E16" s="4" t="str">
        <f>VLOOKUP(G16,Data!$A:$G,6,0)</f>
        <v>Arnnapurna Maji</v>
      </c>
      <c r="F16" s="10" t="str">
        <f>VLOOKUP(G16,Data!$A:$G,7,0)</f>
        <v>3390311610</v>
      </c>
      <c r="G16" s="5">
        <v>22346</v>
      </c>
      <c r="H16" s="5" t="str">
        <f>VLOOKUP(G16,'FI txn'!$G:$X,18,0)</f>
        <v>&gt; 1500</v>
      </c>
      <c r="I16" s="7">
        <f>VLOOKUP(G16,'FI txn'!$G:$H,2,0)</f>
        <v>6</v>
      </c>
      <c r="J16" s="7">
        <f t="shared" si="0"/>
        <v>90</v>
      </c>
      <c r="K16" s="8">
        <v>3</v>
      </c>
      <c r="L16" s="8">
        <v>15</v>
      </c>
      <c r="M16" s="8">
        <v>1</v>
      </c>
      <c r="N16" s="8">
        <v>2</v>
      </c>
      <c r="O16" s="8">
        <v>5</v>
      </c>
      <c r="P16" s="8"/>
      <c r="Q16" s="8"/>
      <c r="R16" s="8"/>
      <c r="S16" s="8"/>
      <c r="T16" s="8"/>
      <c r="U16" s="8"/>
      <c r="V16" s="8"/>
      <c r="W16" s="8">
        <f t="shared" si="1"/>
        <v>26</v>
      </c>
      <c r="X16" s="9">
        <f t="shared" si="2"/>
        <v>4.333333333333333</v>
      </c>
    </row>
    <row r="17" spans="1:24" x14ac:dyDescent="0.3">
      <c r="A17" s="4" t="str">
        <f>VLOOKUP(G17,Data!$A:$G,2,0)</f>
        <v>Rajendra Kumar Bapari</v>
      </c>
      <c r="B17" s="4" t="str">
        <f>VLOOKUP(G17,Data!$A:$G,3,0)</f>
        <v>Active</v>
      </c>
      <c r="C17" s="4" t="str">
        <f>VLOOKUP(G17,Data!$A:$G,4,0)</f>
        <v>Durgapur</v>
      </c>
      <c r="D17" s="4" t="str">
        <f>VLOOKUP(G17,Data!$A:$G,5,0)</f>
        <v>Kushodanga</v>
      </c>
      <c r="E17" s="4" t="str">
        <f>VLOOKUP(G17,Data!$A:$G,6,0)</f>
        <v>Rumpa Pal Mondal</v>
      </c>
      <c r="F17" s="10" t="str">
        <f>VLOOKUP(G17,Data!$A:$G,7,0)</f>
        <v>3390315402</v>
      </c>
      <c r="G17" s="5">
        <v>28170</v>
      </c>
      <c r="H17" s="5" t="str">
        <f>VLOOKUP(G17,'FI txn'!$G:$X,18,0)</f>
        <v>&gt; 300</v>
      </c>
      <c r="I17" s="7">
        <f>VLOOKUP(G17,'FI txn'!$G:$H,2,0)</f>
        <v>6</v>
      </c>
      <c r="J17" s="7">
        <f t="shared" si="0"/>
        <v>90</v>
      </c>
      <c r="K17" s="8"/>
      <c r="L17" s="8"/>
      <c r="M17" s="8">
        <v>3</v>
      </c>
      <c r="N17" s="8">
        <v>2</v>
      </c>
      <c r="O17" s="8">
        <v>6</v>
      </c>
      <c r="P17" s="8"/>
      <c r="Q17" s="8"/>
      <c r="R17" s="8"/>
      <c r="S17" s="8"/>
      <c r="T17" s="8"/>
      <c r="U17" s="8"/>
      <c r="V17" s="8"/>
      <c r="W17" s="8">
        <f t="shared" si="1"/>
        <v>11</v>
      </c>
      <c r="X17" s="9">
        <f t="shared" si="2"/>
        <v>1.8333333333333333</v>
      </c>
    </row>
    <row r="18" spans="1:24" x14ac:dyDescent="0.3">
      <c r="A18" s="4" t="str">
        <f>VLOOKUP(G18,Data!$A:$G,2,0)</f>
        <v>Shyamalesh Sarkar</v>
      </c>
      <c r="B18" s="4" t="str">
        <f>VLOOKUP(G18,Data!$A:$G,3,0)</f>
        <v>Active</v>
      </c>
      <c r="C18" s="4" t="str">
        <f>VLOOKUP(G18,Data!$A:$G,4,0)</f>
        <v>Siliguri</v>
      </c>
      <c r="D18" s="4" t="str">
        <f>VLOOKUP(G18,Data!$A:$G,5,0)</f>
        <v>Sagardighi Square</v>
      </c>
      <c r="E18" s="4" t="str">
        <f>VLOOKUP(G18,Data!$A:$G,6,0)</f>
        <v>Rajani Roy</v>
      </c>
      <c r="F18" s="10" t="str">
        <f>VLOOKUP(G18,Data!$A:$G,7,0)</f>
        <v>2200310076</v>
      </c>
      <c r="G18" s="5">
        <v>20502</v>
      </c>
      <c r="H18" s="5" t="str">
        <f>VLOOKUP(G18,'FI txn'!$G:$X,18,0)</f>
        <v>&gt; 150</v>
      </c>
      <c r="I18" s="7">
        <f>VLOOKUP(G18,'FI txn'!$G:$H,2,0)</f>
        <v>6</v>
      </c>
      <c r="J18" s="7">
        <f t="shared" si="0"/>
        <v>90</v>
      </c>
      <c r="K18" s="8"/>
      <c r="L18" s="8">
        <v>1</v>
      </c>
      <c r="M18" s="8"/>
      <c r="N18" s="8">
        <v>3</v>
      </c>
      <c r="O18" s="8">
        <v>6</v>
      </c>
      <c r="P18" s="8"/>
      <c r="Q18" s="8"/>
      <c r="R18" s="8"/>
      <c r="S18" s="8"/>
      <c r="T18" s="8"/>
      <c r="U18" s="8"/>
      <c r="V18" s="8"/>
      <c r="W18" s="8">
        <f t="shared" si="1"/>
        <v>10</v>
      </c>
      <c r="X18" s="9">
        <f t="shared" si="2"/>
        <v>1.6666666666666667</v>
      </c>
    </row>
    <row r="19" spans="1:24" x14ac:dyDescent="0.3">
      <c r="A19" s="4" t="str">
        <f>VLOOKUP(G19,Data!$A:$G,2,0)</f>
        <v>Sanjoy Paul</v>
      </c>
      <c r="B19" s="4" t="str">
        <f>VLOOKUP(G19,Data!$A:$G,3,0)</f>
        <v>Active</v>
      </c>
      <c r="C19" s="4" t="str">
        <f>VLOOKUP(G19,Data!$A:$G,4,0)</f>
        <v>Siliguri</v>
      </c>
      <c r="D19" s="4" t="str">
        <f>VLOOKUP(G19,Data!$A:$G,5,0)</f>
        <v>Raiganj</v>
      </c>
      <c r="E19" s="4" t="str">
        <f>VLOOKUP(G19,Data!$A:$G,6,0)</f>
        <v>Joydev Das</v>
      </c>
      <c r="F19" s="10" t="str">
        <f>VLOOKUP(G19,Data!$A:$G,7,0)</f>
        <v>2560315042</v>
      </c>
      <c r="G19" s="5">
        <v>27372</v>
      </c>
      <c r="H19" s="5" t="str">
        <f>VLOOKUP(G19,'FI txn'!$G:$X,18,0)</f>
        <v>&gt; 150</v>
      </c>
      <c r="I19" s="7">
        <f>VLOOKUP(G19,'FI txn'!$G:$H,2,0)</f>
        <v>6</v>
      </c>
      <c r="J19" s="7">
        <f t="shared" si="0"/>
        <v>90</v>
      </c>
      <c r="K19" s="8">
        <v>1</v>
      </c>
      <c r="L19" s="8"/>
      <c r="M19" s="8">
        <v>1</v>
      </c>
      <c r="N19" s="8">
        <v>6</v>
      </c>
      <c r="O19" s="8">
        <v>1</v>
      </c>
      <c r="P19" s="8"/>
      <c r="Q19" s="8"/>
      <c r="R19" s="8"/>
      <c r="S19" s="8"/>
      <c r="T19" s="8"/>
      <c r="U19" s="8"/>
      <c r="V19" s="8"/>
      <c r="W19" s="8">
        <f t="shared" si="1"/>
        <v>9</v>
      </c>
      <c r="X19" s="9">
        <f t="shared" si="2"/>
        <v>1.5</v>
      </c>
    </row>
    <row r="20" spans="1:24" x14ac:dyDescent="0.3">
      <c r="A20" s="4" t="str">
        <f>VLOOKUP(G20,Data!$A:$G,2,0)</f>
        <v>Sunil Biswas</v>
      </c>
      <c r="B20" s="4" t="str">
        <f>VLOOKUP(G20,Data!$A:$G,3,0)</f>
        <v>Active</v>
      </c>
      <c r="C20" s="4" t="str">
        <f>VLOOKUP(G20,Data!$A:$G,4,0)</f>
        <v>Durgapur</v>
      </c>
      <c r="D20" s="4" t="str">
        <f>VLOOKUP(G20,Data!$A:$G,5,0)</f>
        <v>Hridaypur</v>
      </c>
      <c r="E20" s="4" t="str">
        <f>VLOOKUP(G20,Data!$A:$G,6,0)</f>
        <v xml:space="preserve">Injamul Rahaman </v>
      </c>
      <c r="F20" s="10" t="str">
        <f>VLOOKUP(G20,Data!$A:$G,7,0)</f>
        <v>2430314512</v>
      </c>
      <c r="G20" s="5">
        <v>26588</v>
      </c>
      <c r="H20" s="5" t="str">
        <f>VLOOKUP(G20,'FI txn'!$G:$X,18,0)</f>
        <v>&gt; 300</v>
      </c>
      <c r="I20" s="7">
        <f>VLOOKUP(G20,'FI txn'!$G:$H,2,0)</f>
        <v>6</v>
      </c>
      <c r="J20" s="7">
        <f t="shared" si="0"/>
        <v>90</v>
      </c>
      <c r="K20" s="8">
        <v>1</v>
      </c>
      <c r="L20" s="8"/>
      <c r="M20" s="8">
        <v>1</v>
      </c>
      <c r="N20" s="8">
        <v>1</v>
      </c>
      <c r="O20" s="8">
        <v>10</v>
      </c>
      <c r="P20" s="8"/>
      <c r="Q20" s="8"/>
      <c r="R20" s="8"/>
      <c r="S20" s="8"/>
      <c r="T20" s="8"/>
      <c r="U20" s="8"/>
      <c r="V20" s="8"/>
      <c r="W20" s="8">
        <f t="shared" si="1"/>
        <v>13</v>
      </c>
      <c r="X20" s="9">
        <f t="shared" si="2"/>
        <v>2.1666666666666665</v>
      </c>
    </row>
    <row r="21" spans="1:24" x14ac:dyDescent="0.3">
      <c r="A21" s="4" t="str">
        <f>VLOOKUP(G21,Data!$A:$G,2,0)</f>
        <v>Under Office (Birbhum)</v>
      </c>
      <c r="B21" s="4" t="str">
        <f>VLOOKUP(G21,Data!$A:$G,3,0)</f>
        <v>Active</v>
      </c>
      <c r="C21" s="4" t="str">
        <f>VLOOKUP(G21,Data!$A:$G,4,0)</f>
        <v>Siliguri</v>
      </c>
      <c r="D21" s="4" t="str">
        <f>VLOOKUP(G21,Data!$A:$G,5,0)</f>
        <v>Paikar</v>
      </c>
      <c r="E21" s="4" t="str">
        <f>VLOOKUP(G21,Data!$A:$G,6,0)</f>
        <v>Saheb Sk</v>
      </c>
      <c r="F21" s="10" t="str">
        <f>VLOOKUP(G21,Data!$A:$G,7,0)</f>
        <v>0140311324</v>
      </c>
      <c r="G21" s="5">
        <v>21999</v>
      </c>
      <c r="H21" s="5" t="str">
        <f>VLOOKUP(G21,'FI txn'!$G:$X,18,0)</f>
        <v>&gt; 900</v>
      </c>
      <c r="I21" s="7">
        <f>VLOOKUP(G21,'FI txn'!$G:$H,2,0)</f>
        <v>6</v>
      </c>
      <c r="J21" s="7">
        <f t="shared" si="0"/>
        <v>90</v>
      </c>
      <c r="K21" s="8">
        <v>1</v>
      </c>
      <c r="L21" s="8"/>
      <c r="M21" s="8">
        <v>1</v>
      </c>
      <c r="N21" s="8">
        <v>3</v>
      </c>
      <c r="O21" s="8">
        <v>3</v>
      </c>
      <c r="P21" s="8"/>
      <c r="Q21" s="8"/>
      <c r="R21" s="8"/>
      <c r="S21" s="8"/>
      <c r="T21" s="8"/>
      <c r="U21" s="8"/>
      <c r="V21" s="8"/>
      <c r="W21" s="8">
        <f t="shared" si="1"/>
        <v>8</v>
      </c>
      <c r="X21" s="9">
        <f t="shared" si="2"/>
        <v>1.3333333333333333</v>
      </c>
    </row>
    <row r="22" spans="1:24" x14ac:dyDescent="0.3">
      <c r="A22" s="4" t="str">
        <f>VLOOKUP(G22,Data!$A:$G,2,0)</f>
        <v>Chandi Charan Mahato</v>
      </c>
      <c r="B22" s="4" t="str">
        <f>VLOOKUP(G22,Data!$A:$G,3,0)</f>
        <v>Active</v>
      </c>
      <c r="C22" s="4" t="str">
        <f>VLOOKUP(G22,Data!$A:$G,4,0)</f>
        <v>Durgapur</v>
      </c>
      <c r="D22" s="4" t="str">
        <f>VLOOKUP(G22,Data!$A:$G,5,0)</f>
        <v>Jhantipahari</v>
      </c>
      <c r="E22" s="4" t="str">
        <f>VLOOKUP(G22,Data!$A:$G,6,0)</f>
        <v>Asish Kumar Mandal</v>
      </c>
      <c r="F22" s="10" t="str">
        <f>VLOOKUP(G22,Data!$A:$G,7,0)</f>
        <v>2160314962</v>
      </c>
      <c r="G22" s="5">
        <v>27220</v>
      </c>
      <c r="H22" s="5" t="str">
        <f>VLOOKUP(G22,'FI txn'!$G:$X,18,0)</f>
        <v>&gt; 300</v>
      </c>
      <c r="I22" s="7">
        <f>VLOOKUP(G22,'FI txn'!$G:$H,2,0)</f>
        <v>6</v>
      </c>
      <c r="J22" s="7">
        <f t="shared" si="0"/>
        <v>90</v>
      </c>
      <c r="K22" s="8"/>
      <c r="L22" s="8">
        <v>3</v>
      </c>
      <c r="M22" s="8">
        <v>4</v>
      </c>
      <c r="N22" s="8">
        <v>1</v>
      </c>
      <c r="O22" s="8">
        <v>2</v>
      </c>
      <c r="P22" s="8"/>
      <c r="Q22" s="8"/>
      <c r="R22" s="8"/>
      <c r="S22" s="8"/>
      <c r="T22" s="8"/>
      <c r="U22" s="8"/>
      <c r="V22" s="8"/>
      <c r="W22" s="8">
        <f t="shared" si="1"/>
        <v>10</v>
      </c>
      <c r="X22" s="9">
        <f t="shared" si="2"/>
        <v>1.6666666666666667</v>
      </c>
    </row>
    <row r="23" spans="1:24" x14ac:dyDescent="0.3">
      <c r="A23" s="4" t="str">
        <f>VLOOKUP(G23,Data!$A:$G,2,0)</f>
        <v>Avi Sk</v>
      </c>
      <c r="B23" s="4" t="str">
        <f>VLOOKUP(G23,Data!$A:$G,3,0)</f>
        <v>Active</v>
      </c>
      <c r="C23" s="4" t="str">
        <f>VLOOKUP(G23,Data!$A:$G,4,0)</f>
        <v>Siliguri</v>
      </c>
      <c r="D23" s="4" t="str">
        <f>VLOOKUP(G23,Data!$A:$G,5,0)</f>
        <v>Talgachi</v>
      </c>
      <c r="E23" s="4" t="str">
        <f>VLOOKUP(G23,Data!$A:$G,6,0)</f>
        <v>Giridhari Sarkar</v>
      </c>
      <c r="F23" s="10" t="str">
        <f>VLOOKUP(G23,Data!$A:$G,7,0)</f>
        <v>2410310083</v>
      </c>
      <c r="G23" s="5">
        <v>20509</v>
      </c>
      <c r="H23" s="5" t="str">
        <f>VLOOKUP(G23,'FI txn'!$G:$X,18,0)</f>
        <v>&gt; 600</v>
      </c>
      <c r="I23" s="7">
        <f>VLOOKUP(G23,'FI txn'!$G:$H,2,0)</f>
        <v>6</v>
      </c>
      <c r="J23" s="7">
        <f t="shared" si="0"/>
        <v>90</v>
      </c>
      <c r="K23" s="8">
        <v>1</v>
      </c>
      <c r="L23" s="8"/>
      <c r="M23" s="8">
        <v>2</v>
      </c>
      <c r="N23" s="8">
        <v>3</v>
      </c>
      <c r="O23" s="8">
        <v>1</v>
      </c>
      <c r="P23" s="8"/>
      <c r="Q23" s="8"/>
      <c r="R23" s="8"/>
      <c r="S23" s="8"/>
      <c r="T23" s="8"/>
      <c r="U23" s="8"/>
      <c r="V23" s="8"/>
      <c r="W23" s="8">
        <f t="shared" si="1"/>
        <v>7</v>
      </c>
      <c r="X23" s="9">
        <f t="shared" si="2"/>
        <v>1.1666666666666667</v>
      </c>
    </row>
    <row r="24" spans="1:24" x14ac:dyDescent="0.3">
      <c r="A24" s="4" t="str">
        <f>VLOOKUP(G24,Data!$A:$G,2,0)</f>
        <v>Sunil Biswas</v>
      </c>
      <c r="B24" s="4" t="str">
        <f>VLOOKUP(G24,Data!$A:$G,3,0)</f>
        <v>Inactive</v>
      </c>
      <c r="C24" s="4" t="str">
        <f>VLOOKUP(G24,Data!$A:$G,4,0)</f>
        <v>Durgapur</v>
      </c>
      <c r="D24" s="4" t="str">
        <f>VLOOKUP(G24,Data!$A:$G,5,0)</f>
        <v>Santipur</v>
      </c>
      <c r="E24" s="4" t="str">
        <f>VLOOKUP(G24,Data!$A:$G,6,0)</f>
        <v>Dipanwita Das</v>
      </c>
      <c r="F24" s="10" t="str">
        <f>VLOOKUP(G24,Data!$A:$G,7,0)</f>
        <v>2430315569</v>
      </c>
      <c r="G24" s="5">
        <v>28483</v>
      </c>
      <c r="H24" s="5" t="str">
        <f>VLOOKUP(G24,'FI txn'!$G:$X,18,0)</f>
        <v>&lt; 150</v>
      </c>
      <c r="I24" s="7">
        <f>VLOOKUP(G24,'FI txn'!$G:$H,2,0)</f>
        <v>5</v>
      </c>
      <c r="J24" s="7">
        <f t="shared" si="0"/>
        <v>75</v>
      </c>
      <c r="K24" s="8"/>
      <c r="L24" s="8"/>
      <c r="M24" s="8">
        <v>6</v>
      </c>
      <c r="N24" s="8">
        <v>1</v>
      </c>
      <c r="O24" s="8"/>
      <c r="P24" s="8"/>
      <c r="Q24" s="8"/>
      <c r="R24" s="8"/>
      <c r="S24" s="8"/>
      <c r="T24" s="8"/>
      <c r="U24" s="8"/>
      <c r="V24" s="8"/>
      <c r="W24" s="8">
        <f t="shared" si="1"/>
        <v>7</v>
      </c>
      <c r="X24" s="9">
        <f t="shared" si="2"/>
        <v>1.4</v>
      </c>
    </row>
    <row r="25" spans="1:24" x14ac:dyDescent="0.3">
      <c r="A25" s="4" t="str">
        <f>VLOOKUP(G25,Data!$A:$G,2,0)</f>
        <v>Shyamalesh Sarkar</v>
      </c>
      <c r="B25" s="4" t="str">
        <f>VLOOKUP(G25,Data!$A:$G,3,0)</f>
        <v>Active</v>
      </c>
      <c r="C25" s="4" t="str">
        <f>VLOOKUP(G25,Data!$A:$G,4,0)</f>
        <v>Siliguri</v>
      </c>
      <c r="D25" s="4" t="str">
        <f>VLOOKUP(G25,Data!$A:$G,5,0)</f>
        <v>Sagardighi Square</v>
      </c>
      <c r="E25" s="4" t="str">
        <f>VLOOKUP(G25,Data!$A:$G,6,0)</f>
        <v>Ajit Modak</v>
      </c>
      <c r="F25" s="10" t="str">
        <f>VLOOKUP(G25,Data!$A:$G,7,0)</f>
        <v>2200309916</v>
      </c>
      <c r="G25" s="5">
        <v>20322</v>
      </c>
      <c r="H25" s="5" t="str">
        <f>VLOOKUP(G25,'FI txn'!$G:$X,18,0)</f>
        <v>&gt; 450</v>
      </c>
      <c r="I25" s="7">
        <f>VLOOKUP(G25,'FI txn'!$G:$H,2,0)</f>
        <v>6</v>
      </c>
      <c r="J25" s="7">
        <f t="shared" si="0"/>
        <v>90</v>
      </c>
      <c r="K25" s="8"/>
      <c r="L25" s="8">
        <v>2</v>
      </c>
      <c r="M25" s="8"/>
      <c r="N25" s="8">
        <v>1</v>
      </c>
      <c r="O25" s="8">
        <v>3</v>
      </c>
      <c r="P25" s="8"/>
      <c r="Q25" s="8"/>
      <c r="R25" s="8"/>
      <c r="S25" s="8"/>
      <c r="T25" s="8"/>
      <c r="U25" s="8"/>
      <c r="V25" s="8"/>
      <c r="W25" s="8">
        <f t="shared" si="1"/>
        <v>6</v>
      </c>
      <c r="X25" s="9">
        <f t="shared" si="2"/>
        <v>1</v>
      </c>
    </row>
    <row r="26" spans="1:24" x14ac:dyDescent="0.3">
      <c r="A26" s="4" t="str">
        <f>VLOOKUP(G26,Data!$A:$G,2,0)</f>
        <v>Under Office (W Medinipur)</v>
      </c>
      <c r="B26" s="4" t="str">
        <f>VLOOKUP(G26,Data!$A:$G,3,0)</f>
        <v>Active</v>
      </c>
      <c r="C26" s="4" t="str">
        <f>VLOOKUP(G26,Data!$A:$G,4,0)</f>
        <v>Hooghly</v>
      </c>
      <c r="D26" s="4" t="str">
        <f>VLOOKUP(G26,Data!$A:$G,5,0)</f>
        <v>Guiadaha</v>
      </c>
      <c r="E26" s="4" t="str">
        <f>VLOOKUP(G26,Data!$A:$G,6,0)</f>
        <v>Munmun Chakraborty</v>
      </c>
      <c r="F26" s="10" t="str">
        <f>VLOOKUP(G26,Data!$A:$G,7,0)</f>
        <v>2390312218</v>
      </c>
      <c r="G26" s="5">
        <v>23142</v>
      </c>
      <c r="H26" s="5" t="str">
        <f>VLOOKUP(G26,'FI txn'!$G:$X,18,0)</f>
        <v>&gt; 450</v>
      </c>
      <c r="I26" s="7">
        <f>VLOOKUP(G26,'FI txn'!$G:$H,2,0)</f>
        <v>6</v>
      </c>
      <c r="J26" s="7">
        <f t="shared" si="0"/>
        <v>90</v>
      </c>
      <c r="K26" s="8">
        <v>5</v>
      </c>
      <c r="L26" s="8"/>
      <c r="M26" s="8"/>
      <c r="N26" s="8"/>
      <c r="O26" s="8">
        <v>1</v>
      </c>
      <c r="P26" s="8"/>
      <c r="Q26" s="8"/>
      <c r="R26" s="8"/>
      <c r="S26" s="8"/>
      <c r="T26" s="8"/>
      <c r="U26" s="8"/>
      <c r="V26" s="8"/>
      <c r="W26" s="8">
        <f t="shared" si="1"/>
        <v>6</v>
      </c>
      <c r="X26" s="9">
        <f t="shared" si="2"/>
        <v>1</v>
      </c>
    </row>
    <row r="27" spans="1:24" x14ac:dyDescent="0.3">
      <c r="A27" s="4" t="str">
        <f>VLOOKUP(G27,Data!$A:$G,2,0)</f>
        <v>Under Office (W Medinipur)</v>
      </c>
      <c r="B27" s="4" t="str">
        <f>VLOOKUP(G27,Data!$A:$G,3,0)</f>
        <v>Active</v>
      </c>
      <c r="C27" s="4" t="str">
        <f>VLOOKUP(G27,Data!$A:$G,4,0)</f>
        <v>Hooghly</v>
      </c>
      <c r="D27" s="4" t="str">
        <f>VLOOKUP(G27,Data!$A:$G,5,0)</f>
        <v>Jara</v>
      </c>
      <c r="E27" s="4" t="str">
        <f>VLOOKUP(G27,Data!$A:$G,6,0)</f>
        <v>Priyanka Biswas</v>
      </c>
      <c r="F27" s="10" t="str">
        <f>VLOOKUP(G27,Data!$A:$G,7,0)</f>
        <v>2390311424</v>
      </c>
      <c r="G27" s="5">
        <v>22130</v>
      </c>
      <c r="H27" s="5" t="str">
        <f>VLOOKUP(G27,'FI txn'!$G:$X,18,0)</f>
        <v>&gt; 300</v>
      </c>
      <c r="I27" s="7">
        <f>VLOOKUP(G27,'FI txn'!$G:$H,2,0)</f>
        <v>6</v>
      </c>
      <c r="J27" s="7">
        <f t="shared" si="0"/>
        <v>90</v>
      </c>
      <c r="K27" s="8"/>
      <c r="L27" s="8"/>
      <c r="M27" s="8"/>
      <c r="N27" s="8">
        <v>2</v>
      </c>
      <c r="O27" s="8">
        <v>1</v>
      </c>
      <c r="P27" s="8"/>
      <c r="Q27" s="8"/>
      <c r="R27" s="8"/>
      <c r="S27" s="8"/>
      <c r="T27" s="8"/>
      <c r="U27" s="8"/>
      <c r="V27" s="8"/>
      <c r="W27" s="8">
        <f t="shared" si="1"/>
        <v>3</v>
      </c>
      <c r="X27" s="9">
        <f t="shared" si="2"/>
        <v>0.5</v>
      </c>
    </row>
    <row r="28" spans="1:24" x14ac:dyDescent="0.3">
      <c r="A28" s="4" t="str">
        <f>VLOOKUP(G28,Data!$A:$G,2,0)</f>
        <v>Chandi Charan Mahato</v>
      </c>
      <c r="B28" s="4" t="str">
        <f>VLOOKUP(G28,Data!$A:$G,3,0)</f>
        <v>Active</v>
      </c>
      <c r="C28" s="4" t="str">
        <f>VLOOKUP(G28,Data!$A:$G,4,0)</f>
        <v>Durgapur</v>
      </c>
      <c r="D28" s="4" t="str">
        <f>VLOOKUP(G28,Data!$A:$G,5,0)</f>
        <v>Anara</v>
      </c>
      <c r="E28" s="4" t="str">
        <f>VLOOKUP(G28,Data!$A:$G,6,0)</f>
        <v>Biswajit Majee</v>
      </c>
      <c r="F28" s="10" t="str">
        <f>VLOOKUP(G28,Data!$A:$G,7,0)</f>
        <v>2460314961</v>
      </c>
      <c r="G28" s="5">
        <v>27219</v>
      </c>
      <c r="H28" s="5" t="str">
        <f>VLOOKUP(G28,'FI txn'!$G:$X,18,0)</f>
        <v>&gt; 300</v>
      </c>
      <c r="I28" s="7">
        <f>VLOOKUP(G28,'FI txn'!$G:$H,2,0)</f>
        <v>6</v>
      </c>
      <c r="J28" s="7">
        <f t="shared" si="0"/>
        <v>90</v>
      </c>
      <c r="K28" s="8"/>
      <c r="L28" s="8"/>
      <c r="M28" s="8">
        <v>2</v>
      </c>
      <c r="N28" s="8">
        <v>1</v>
      </c>
      <c r="O28" s="8">
        <v>3</v>
      </c>
      <c r="P28" s="8"/>
      <c r="Q28" s="8"/>
      <c r="R28" s="8"/>
      <c r="S28" s="8"/>
      <c r="T28" s="8"/>
      <c r="U28" s="8"/>
      <c r="V28" s="8"/>
      <c r="W28" s="8">
        <f t="shared" si="1"/>
        <v>6</v>
      </c>
      <c r="X28" s="9">
        <f t="shared" si="2"/>
        <v>1</v>
      </c>
    </row>
    <row r="29" spans="1:24" x14ac:dyDescent="0.3">
      <c r="A29" s="4" t="str">
        <f>VLOOKUP(G29,Data!$A:$G,2,0)</f>
        <v>Under Office (Birbhum)</v>
      </c>
      <c r="B29" s="4" t="str">
        <f>VLOOKUP(G29,Data!$A:$G,3,0)</f>
        <v>Active</v>
      </c>
      <c r="C29" s="4" t="str">
        <f>VLOOKUP(G29,Data!$A:$G,4,0)</f>
        <v>Siliguri</v>
      </c>
      <c r="D29" s="4" t="str">
        <f>VLOOKUP(G29,Data!$A:$G,5,0)</f>
        <v>Parsundi</v>
      </c>
      <c r="E29" s="4" t="str">
        <f>VLOOKUP(G29,Data!$A:$G,6,0)</f>
        <v>Parimal Das</v>
      </c>
      <c r="F29" s="10" t="str">
        <f>VLOOKUP(G29,Data!$A:$G,7,0)</f>
        <v>0140311628</v>
      </c>
      <c r="G29" s="5">
        <v>22365</v>
      </c>
      <c r="H29" s="5" t="str">
        <f>VLOOKUP(G29,'FI txn'!$G:$X,18,0)</f>
        <v>&gt; 600</v>
      </c>
      <c r="I29" s="7">
        <f>VLOOKUP(G29,'FI txn'!$G:$H,2,0)</f>
        <v>6</v>
      </c>
      <c r="J29" s="7">
        <f t="shared" si="0"/>
        <v>90</v>
      </c>
      <c r="K29" s="8"/>
      <c r="L29" s="8">
        <v>2</v>
      </c>
      <c r="M29" s="8">
        <v>1</v>
      </c>
      <c r="N29" s="8">
        <v>2</v>
      </c>
      <c r="O29" s="8"/>
      <c r="P29" s="8"/>
      <c r="Q29" s="8"/>
      <c r="R29" s="8"/>
      <c r="S29" s="8"/>
      <c r="T29" s="8"/>
      <c r="U29" s="8"/>
      <c r="V29" s="8"/>
      <c r="W29" s="8">
        <f t="shared" si="1"/>
        <v>5</v>
      </c>
      <c r="X29" s="9">
        <f t="shared" si="2"/>
        <v>0.83333333333333337</v>
      </c>
    </row>
    <row r="30" spans="1:24" x14ac:dyDescent="0.3">
      <c r="A30" s="4" t="str">
        <f>VLOOKUP(G30,Data!$A:$G,2,0)</f>
        <v>Under Office (Birbhum)</v>
      </c>
      <c r="B30" s="4" t="str">
        <f>VLOOKUP(G30,Data!$A:$G,3,0)</f>
        <v>Active</v>
      </c>
      <c r="C30" s="4" t="str">
        <f>VLOOKUP(G30,Data!$A:$G,4,0)</f>
        <v>Siliguri</v>
      </c>
      <c r="D30" s="4" t="str">
        <f>VLOOKUP(G30,Data!$A:$G,5,0)</f>
        <v>Kapista</v>
      </c>
      <c r="E30" s="4" t="str">
        <f>VLOOKUP(G30,Data!$A:$G,6,0)</f>
        <v>Swarup Karmakar</v>
      </c>
      <c r="F30" s="10" t="str">
        <f>VLOOKUP(G30,Data!$A:$G,7,0)</f>
        <v>0140311629</v>
      </c>
      <c r="G30" s="5">
        <v>22366</v>
      </c>
      <c r="H30" s="5" t="str">
        <f>VLOOKUP(G30,'FI txn'!$G:$X,18,0)</f>
        <v>&gt; 300</v>
      </c>
      <c r="I30" s="7">
        <f>VLOOKUP(G30,'FI txn'!$G:$H,2,0)</f>
        <v>6</v>
      </c>
      <c r="J30" s="7">
        <f t="shared" si="0"/>
        <v>90</v>
      </c>
      <c r="K30" s="8">
        <v>3</v>
      </c>
      <c r="L30" s="8"/>
      <c r="M30" s="8">
        <v>1</v>
      </c>
      <c r="N30" s="8">
        <v>1</v>
      </c>
      <c r="O30" s="8"/>
      <c r="P30" s="8"/>
      <c r="Q30" s="8"/>
      <c r="R30" s="8"/>
      <c r="S30" s="8"/>
      <c r="T30" s="8"/>
      <c r="U30" s="8"/>
      <c r="V30" s="8"/>
      <c r="W30" s="8">
        <f t="shared" si="1"/>
        <v>5</v>
      </c>
      <c r="X30" s="9">
        <f t="shared" si="2"/>
        <v>0.83333333333333337</v>
      </c>
    </row>
    <row r="31" spans="1:24" x14ac:dyDescent="0.3">
      <c r="A31" s="4" t="str">
        <f>VLOOKUP(G31,Data!$A:$G,2,0)</f>
        <v>Souvik Maity</v>
      </c>
      <c r="B31" s="4" t="str">
        <f>VLOOKUP(G31,Data!$A:$G,3,0)</f>
        <v>Active</v>
      </c>
      <c r="C31" s="4" t="str">
        <f>VLOOKUP(G31,Data!$A:$G,4,0)</f>
        <v>Hooghly</v>
      </c>
      <c r="D31" s="4" t="str">
        <f>VLOOKUP(G31,Data!$A:$G,5,0)</f>
        <v>Kamarpara</v>
      </c>
      <c r="E31" s="4" t="str">
        <f>VLOOKUP(G31,Data!$A:$G,6,0)</f>
        <v>Md Mustakim</v>
      </c>
      <c r="F31" s="10" t="str">
        <f>VLOOKUP(G31,Data!$A:$G,7,0)</f>
        <v>3390312441</v>
      </c>
      <c r="G31" s="5">
        <v>23433</v>
      </c>
      <c r="H31" s="5" t="str">
        <f>VLOOKUP(G31,'FI txn'!$G:$X,18,0)</f>
        <v>&gt; 300</v>
      </c>
      <c r="I31" s="7">
        <f>VLOOKUP(G31,'FI txn'!$G:$H,2,0)</f>
        <v>6</v>
      </c>
      <c r="J31" s="7">
        <f t="shared" si="0"/>
        <v>90</v>
      </c>
      <c r="K31" s="8"/>
      <c r="L31" s="8"/>
      <c r="M31" s="8"/>
      <c r="N31" s="8"/>
      <c r="O31" s="8">
        <v>1</v>
      </c>
      <c r="P31" s="8"/>
      <c r="Q31" s="8"/>
      <c r="R31" s="8"/>
      <c r="S31" s="8"/>
      <c r="T31" s="8"/>
      <c r="U31" s="8"/>
      <c r="V31" s="8"/>
      <c r="W31" s="8">
        <f t="shared" si="1"/>
        <v>1</v>
      </c>
      <c r="X31" s="9">
        <f t="shared" si="2"/>
        <v>0.16666666666666666</v>
      </c>
    </row>
    <row r="32" spans="1:24" x14ac:dyDescent="0.3">
      <c r="A32" s="4" t="str">
        <f>VLOOKUP(G32,Data!$A:$G,2,0)</f>
        <v>Under Office (W Medinipur)</v>
      </c>
      <c r="B32" s="4" t="str">
        <f>VLOOKUP(G32,Data!$A:$G,3,0)</f>
        <v>Active</v>
      </c>
      <c r="C32" s="4" t="str">
        <f>VLOOKUP(G32,Data!$A:$G,4,0)</f>
        <v>Hooghly</v>
      </c>
      <c r="D32" s="4" t="str">
        <f>VLOOKUP(G32,Data!$A:$G,5,0)</f>
        <v>Bhairabpur</v>
      </c>
      <c r="E32" s="4" t="str">
        <f>VLOOKUP(G32,Data!$A:$G,6,0)</f>
        <v>Srabani Chatterjee</v>
      </c>
      <c r="F32" s="10" t="str">
        <f>VLOOKUP(G32,Data!$A:$G,7,0)</f>
        <v>2390312437</v>
      </c>
      <c r="G32" s="5">
        <v>23429</v>
      </c>
      <c r="H32" s="5" t="str">
        <f>VLOOKUP(G32,'FI txn'!$G:$X,18,0)</f>
        <v>&gt; 600</v>
      </c>
      <c r="I32" s="7">
        <f>VLOOKUP(G32,'FI txn'!$G:$H,2,0)</f>
        <v>6</v>
      </c>
      <c r="J32" s="7">
        <f t="shared" si="0"/>
        <v>90</v>
      </c>
      <c r="K32" s="8"/>
      <c r="L32" s="8"/>
      <c r="M32" s="8"/>
      <c r="N32" s="8"/>
      <c r="O32" s="8">
        <v>2</v>
      </c>
      <c r="P32" s="8">
        <v>1</v>
      </c>
      <c r="Q32" s="8"/>
      <c r="R32" s="8"/>
      <c r="S32" s="8"/>
      <c r="T32" s="8"/>
      <c r="U32" s="8"/>
      <c r="V32" s="8"/>
      <c r="W32" s="8">
        <f t="shared" si="1"/>
        <v>3</v>
      </c>
      <c r="X32" s="9">
        <f t="shared" si="2"/>
        <v>0.5</v>
      </c>
    </row>
    <row r="33" spans="1:24" x14ac:dyDescent="0.3">
      <c r="A33" s="4" t="str">
        <f>VLOOKUP(G33,Data!$A:$G,2,0)</f>
        <v>Souvik Maity</v>
      </c>
      <c r="B33" s="4" t="str">
        <f>VLOOKUP(G33,Data!$A:$G,3,0)</f>
        <v>Active</v>
      </c>
      <c r="C33" s="4" t="str">
        <f>VLOOKUP(G33,Data!$A:$G,4,0)</f>
        <v>Hooghly</v>
      </c>
      <c r="D33" s="4" t="str">
        <f>VLOOKUP(G33,Data!$A:$G,5,0)</f>
        <v>Rajhati</v>
      </c>
      <c r="E33" s="4" t="str">
        <f>VLOOKUP(G33,Data!$A:$G,6,0)</f>
        <v>Santanu Ghosh</v>
      </c>
      <c r="F33" s="10" t="str">
        <f>VLOOKUP(G33,Data!$A:$G,7,0)</f>
        <v>3390314383</v>
      </c>
      <c r="G33" s="5">
        <v>26399</v>
      </c>
      <c r="H33" s="5" t="str">
        <f>VLOOKUP(G33,'FI txn'!$G:$X,18,0)</f>
        <v>&gt; 600</v>
      </c>
      <c r="I33" s="7">
        <f>VLOOKUP(G33,'FI txn'!$G:$H,2,0)</f>
        <v>6</v>
      </c>
      <c r="J33" s="7">
        <f t="shared" si="0"/>
        <v>90</v>
      </c>
      <c r="K33" s="8">
        <v>1</v>
      </c>
      <c r="L33" s="8">
        <v>3</v>
      </c>
      <c r="M33" s="8">
        <v>3</v>
      </c>
      <c r="N33" s="8">
        <v>5</v>
      </c>
      <c r="O33" s="8">
        <v>3</v>
      </c>
      <c r="P33" s="8"/>
      <c r="Q33" s="8"/>
      <c r="R33" s="8"/>
      <c r="S33" s="8"/>
      <c r="T33" s="8"/>
      <c r="U33" s="8"/>
      <c r="V33" s="8"/>
      <c r="W33" s="8">
        <f t="shared" si="1"/>
        <v>15</v>
      </c>
      <c r="X33" s="9">
        <f t="shared" si="2"/>
        <v>2.5</v>
      </c>
    </row>
    <row r="34" spans="1:24" x14ac:dyDescent="0.3">
      <c r="A34" s="4" t="str">
        <f>VLOOKUP(G34,Data!$A:$G,2,0)</f>
        <v>Sunil Biswas</v>
      </c>
      <c r="B34" s="4" t="str">
        <f>VLOOKUP(G34,Data!$A:$G,3,0)</f>
        <v>Active</v>
      </c>
      <c r="C34" s="4" t="str">
        <f>VLOOKUP(G34,Data!$A:$G,4,0)</f>
        <v>Durgapur</v>
      </c>
      <c r="D34" s="4" t="str">
        <f>VLOOKUP(G34,Data!$A:$G,5,0)</f>
        <v>Hidaypur</v>
      </c>
      <c r="E34" s="4" t="str">
        <f>VLOOKUP(G34,Data!$A:$G,6,0)</f>
        <v>Akramul Shaikh</v>
      </c>
      <c r="F34" s="10" t="str">
        <f>VLOOKUP(G34,Data!$A:$G,7,0)</f>
        <v>2430315571</v>
      </c>
      <c r="G34" s="5">
        <v>28485</v>
      </c>
      <c r="H34" s="5" t="str">
        <f>VLOOKUP(G34,'FI txn'!$G:$X,18,0)</f>
        <v>&gt; 150</v>
      </c>
      <c r="I34" s="7">
        <f>VLOOKUP(G34,'FI txn'!$G:$H,2,0)</f>
        <v>6</v>
      </c>
      <c r="J34" s="7">
        <f t="shared" ref="J34:J65" si="3">I34*15</f>
        <v>90</v>
      </c>
      <c r="K34" s="8"/>
      <c r="L34" s="8"/>
      <c r="M34" s="8">
        <v>3</v>
      </c>
      <c r="N34" s="8">
        <v>1</v>
      </c>
      <c r="O34" s="8"/>
      <c r="P34" s="8"/>
      <c r="Q34" s="8"/>
      <c r="R34" s="8"/>
      <c r="S34" s="8"/>
      <c r="T34" s="8"/>
      <c r="U34" s="8"/>
      <c r="V34" s="8"/>
      <c r="W34" s="8">
        <f t="shared" ref="W34:W65" si="4">SUM(K34:V34)</f>
        <v>4</v>
      </c>
      <c r="X34" s="9">
        <f t="shared" ref="X34:X65" si="5">W34/I34</f>
        <v>0.66666666666666663</v>
      </c>
    </row>
    <row r="35" spans="1:24" x14ac:dyDescent="0.3">
      <c r="A35" s="4" t="str">
        <f>VLOOKUP(G35,Data!$A:$G,2,0)</f>
        <v>Under Office (W Medinipur)</v>
      </c>
      <c r="B35" s="4" t="str">
        <f>VLOOKUP(G35,Data!$A:$G,3,0)</f>
        <v>Active</v>
      </c>
      <c r="C35" s="4" t="str">
        <f>VLOOKUP(G35,Data!$A:$G,4,0)</f>
        <v>Hooghly</v>
      </c>
      <c r="D35" s="4" t="str">
        <f>VLOOKUP(G35,Data!$A:$G,5,0)</f>
        <v>Jhargram</v>
      </c>
      <c r="E35" s="4" t="str">
        <f>VLOOKUP(G35,Data!$A:$G,6,0)</f>
        <v>Sk Imran</v>
      </c>
      <c r="F35" s="10" t="str">
        <f>VLOOKUP(G35,Data!$A:$G,7,0)</f>
        <v>2390311695</v>
      </c>
      <c r="G35" s="5">
        <v>22452</v>
      </c>
      <c r="H35" s="5" t="str">
        <f>VLOOKUP(G35,'FI txn'!$G:$X,18,0)</f>
        <v>&gt; 150</v>
      </c>
      <c r="I35" s="7">
        <f>VLOOKUP(G35,'FI txn'!$G:$H,2,0)</f>
        <v>6</v>
      </c>
      <c r="J35" s="7">
        <f t="shared" si="3"/>
        <v>90</v>
      </c>
      <c r="K35" s="8"/>
      <c r="L35" s="8"/>
      <c r="M35" s="8">
        <v>2</v>
      </c>
      <c r="N35" s="8">
        <v>4</v>
      </c>
      <c r="O35" s="8"/>
      <c r="P35" s="8"/>
      <c r="Q35" s="8"/>
      <c r="R35" s="8"/>
      <c r="S35" s="8"/>
      <c r="T35" s="8"/>
      <c r="U35" s="8"/>
      <c r="V35" s="8"/>
      <c r="W35" s="8">
        <f t="shared" si="4"/>
        <v>6</v>
      </c>
      <c r="X35" s="9">
        <f t="shared" si="5"/>
        <v>1</v>
      </c>
    </row>
    <row r="36" spans="1:24" x14ac:dyDescent="0.3">
      <c r="A36" s="4" t="str">
        <f>VLOOKUP(G36,Data!$A:$G,2,0)</f>
        <v>Under Office (W Medinipur)</v>
      </c>
      <c r="B36" s="4" t="str">
        <f>VLOOKUP(G36,Data!$A:$G,3,0)</f>
        <v>Active</v>
      </c>
      <c r="C36" s="4" t="str">
        <f>VLOOKUP(G36,Data!$A:$G,4,0)</f>
        <v>Hooghly</v>
      </c>
      <c r="D36" s="4" t="str">
        <f>VLOOKUP(G36,Data!$A:$G,5,0)</f>
        <v>Ramjibanpur</v>
      </c>
      <c r="E36" s="4" t="str">
        <f>VLOOKUP(G36,Data!$A:$G,6,0)</f>
        <v>Abhijit Modak</v>
      </c>
      <c r="F36" s="10" t="str">
        <f>VLOOKUP(G36,Data!$A:$G,7,0)</f>
        <v>3390311425</v>
      </c>
      <c r="G36" s="5">
        <v>22131</v>
      </c>
      <c r="H36" s="5" t="str">
        <f>VLOOKUP(G36,'FI txn'!$G:$X,18,0)</f>
        <v>&gt; 1500</v>
      </c>
      <c r="I36" s="7">
        <f>VLOOKUP(G36,'FI txn'!$G:$H,2,0)</f>
        <v>6</v>
      </c>
      <c r="J36" s="7">
        <f t="shared" si="3"/>
        <v>90</v>
      </c>
      <c r="K36" s="8"/>
      <c r="L36" s="8">
        <v>2</v>
      </c>
      <c r="M36" s="8">
        <v>2</v>
      </c>
      <c r="N36" s="8">
        <v>1</v>
      </c>
      <c r="O36" s="8">
        <v>3</v>
      </c>
      <c r="P36" s="8"/>
      <c r="Q36" s="8"/>
      <c r="R36" s="8"/>
      <c r="S36" s="8"/>
      <c r="T36" s="8"/>
      <c r="U36" s="8"/>
      <c r="V36" s="8"/>
      <c r="W36" s="8">
        <f t="shared" si="4"/>
        <v>8</v>
      </c>
      <c r="X36" s="9">
        <f t="shared" si="5"/>
        <v>1.3333333333333333</v>
      </c>
    </row>
    <row r="37" spans="1:24" x14ac:dyDescent="0.3">
      <c r="A37" s="4" t="str">
        <f>VLOOKUP(G37,Data!$A:$G,2,0)</f>
        <v>Souvik Maity</v>
      </c>
      <c r="B37" s="4" t="str">
        <f>VLOOKUP(G37,Data!$A:$G,3,0)</f>
        <v>Active</v>
      </c>
      <c r="C37" s="4" t="str">
        <f>VLOOKUP(G37,Data!$A:$G,4,0)</f>
        <v>Hooghly</v>
      </c>
      <c r="D37" s="4" t="str">
        <f>VLOOKUP(G37,Data!$A:$G,5,0)</f>
        <v>Khanakul</v>
      </c>
      <c r="E37" s="4" t="str">
        <f>VLOOKUP(G37,Data!$A:$G,6,0)</f>
        <v>Sahanaj Parvin</v>
      </c>
      <c r="F37" s="10" t="str">
        <f>VLOOKUP(G37,Data!$A:$G,7,0)</f>
        <v>3390312801</v>
      </c>
      <c r="G37" s="5">
        <v>23969</v>
      </c>
      <c r="H37" s="5" t="str">
        <f>VLOOKUP(G37,'FI txn'!$G:$X,18,0)</f>
        <v>&gt; 450</v>
      </c>
      <c r="I37" s="7">
        <f>VLOOKUP(G37,'FI txn'!$G:$H,2,0)</f>
        <v>6</v>
      </c>
      <c r="J37" s="7">
        <f t="shared" si="3"/>
        <v>90</v>
      </c>
      <c r="K37" s="8"/>
      <c r="L37" s="8">
        <v>2</v>
      </c>
      <c r="M37" s="8">
        <v>1</v>
      </c>
      <c r="N37" s="8">
        <v>2</v>
      </c>
      <c r="O37" s="8">
        <v>4</v>
      </c>
      <c r="P37" s="8"/>
      <c r="Q37" s="8"/>
      <c r="R37" s="8"/>
      <c r="S37" s="8"/>
      <c r="T37" s="8"/>
      <c r="U37" s="8"/>
      <c r="V37" s="8"/>
      <c r="W37" s="8">
        <f t="shared" si="4"/>
        <v>9</v>
      </c>
      <c r="X37" s="9">
        <f t="shared" si="5"/>
        <v>1.5</v>
      </c>
    </row>
    <row r="38" spans="1:24" x14ac:dyDescent="0.3">
      <c r="A38" s="4" t="str">
        <f>VLOOKUP(G38,Data!$A:$G,2,0)</f>
        <v>Manindra Nath Barman</v>
      </c>
      <c r="B38" s="4" t="str">
        <f>VLOOKUP(G38,Data!$A:$G,3,0)</f>
        <v>Active</v>
      </c>
      <c r="C38" s="4" t="str">
        <f>VLOOKUP(G38,Data!$A:$G,4,0)</f>
        <v>Siliguri</v>
      </c>
      <c r="D38" s="4" t="str">
        <f>VLOOKUP(G38,Data!$A:$G,5,0)</f>
        <v>Barobisha</v>
      </c>
      <c r="E38" s="4" t="str">
        <f>VLOOKUP(G38,Data!$A:$G,6,0)</f>
        <v>Md Akimuzzaman</v>
      </c>
      <c r="F38" s="10" t="str">
        <f>VLOOKUP(G38,Data!$A:$G,7,0)</f>
        <v>2310315481</v>
      </c>
      <c r="G38" s="5">
        <v>28270</v>
      </c>
      <c r="H38" s="5" t="str">
        <f>VLOOKUP(G38,'FI txn'!$G:$X,18,0)</f>
        <v>&gt; 150</v>
      </c>
      <c r="I38" s="7">
        <f>VLOOKUP(G38,'FI txn'!$G:$H,2,0)</f>
        <v>6</v>
      </c>
      <c r="J38" s="7">
        <f t="shared" si="3"/>
        <v>90</v>
      </c>
      <c r="K38" s="8"/>
      <c r="L38" s="8"/>
      <c r="M38" s="8"/>
      <c r="N38" s="8">
        <v>2</v>
      </c>
      <c r="O38" s="8">
        <v>1</v>
      </c>
      <c r="P38" s="8"/>
      <c r="Q38" s="8"/>
      <c r="R38" s="8"/>
      <c r="S38" s="8"/>
      <c r="T38" s="8"/>
      <c r="U38" s="8"/>
      <c r="V38" s="8"/>
      <c r="W38" s="8">
        <f t="shared" si="4"/>
        <v>3</v>
      </c>
      <c r="X38" s="9">
        <f t="shared" si="5"/>
        <v>0.5</v>
      </c>
    </row>
    <row r="39" spans="1:24" x14ac:dyDescent="0.3">
      <c r="A39" s="4" t="str">
        <f>VLOOKUP(G39,Data!$A:$G,2,0)</f>
        <v>Sunil Biswas</v>
      </c>
      <c r="B39" s="4" t="str">
        <f>VLOOKUP(G39,Data!$A:$G,3,0)</f>
        <v>Active</v>
      </c>
      <c r="C39" s="4" t="str">
        <f>VLOOKUP(G39,Data!$A:$G,4,0)</f>
        <v>Durgapur</v>
      </c>
      <c r="D39" s="4" t="str">
        <f>VLOOKUP(G39,Data!$A:$G,5,0)</f>
        <v>Badkulla</v>
      </c>
      <c r="E39" s="4" t="str">
        <f>VLOOKUP(G39,Data!$A:$G,6,0)</f>
        <v>Swapan Kumar Biswas</v>
      </c>
      <c r="F39" s="10" t="str">
        <f>VLOOKUP(G39,Data!$A:$G,7,0)</f>
        <v>2430315186</v>
      </c>
      <c r="G39" s="5">
        <v>27732</v>
      </c>
      <c r="H39" s="5" t="str">
        <f>VLOOKUP(G39,'FI txn'!$G:$X,18,0)</f>
        <v>&gt; 150</v>
      </c>
      <c r="I39" s="7">
        <f>VLOOKUP(G39,'FI txn'!$G:$H,2,0)</f>
        <v>6</v>
      </c>
      <c r="J39" s="7">
        <f t="shared" si="3"/>
        <v>90</v>
      </c>
      <c r="K39" s="8">
        <v>2</v>
      </c>
      <c r="L39" s="8">
        <v>1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>
        <f t="shared" si="4"/>
        <v>3</v>
      </c>
      <c r="X39" s="9">
        <f t="shared" si="5"/>
        <v>0.5</v>
      </c>
    </row>
    <row r="40" spans="1:24" x14ac:dyDescent="0.3">
      <c r="A40" s="4" t="str">
        <f>VLOOKUP(G40,Data!$A:$G,2,0)</f>
        <v>Chandi Charan Mahato</v>
      </c>
      <c r="B40" s="4" t="str">
        <f>VLOOKUP(G40,Data!$A:$G,3,0)</f>
        <v>Active</v>
      </c>
      <c r="C40" s="4" t="str">
        <f>VLOOKUP(G40,Data!$A:$G,4,0)</f>
        <v>Durgapur</v>
      </c>
      <c r="D40" s="4" t="str">
        <f>VLOOKUP(G40,Data!$A:$G,5,0)</f>
        <v>Patrasayer</v>
      </c>
      <c r="E40" s="4" t="str">
        <f>VLOOKUP(G40,Data!$A:$G,6,0)</f>
        <v>Satish Ankure</v>
      </c>
      <c r="F40" s="10" t="str">
        <f>VLOOKUP(G40,Data!$A:$G,7,0)</f>
        <v>2160314679</v>
      </c>
      <c r="G40" s="5">
        <v>26810</v>
      </c>
      <c r="H40" s="5" t="str">
        <f>VLOOKUP(G40,'FI txn'!$G:$X,18,0)</f>
        <v>&gt; 300</v>
      </c>
      <c r="I40" s="7">
        <f>VLOOKUP(G40,'FI txn'!$G:$H,2,0)</f>
        <v>6</v>
      </c>
      <c r="J40" s="7">
        <f t="shared" si="3"/>
        <v>90</v>
      </c>
      <c r="K40" s="8">
        <v>2</v>
      </c>
      <c r="L40" s="8"/>
      <c r="M40" s="8"/>
      <c r="N40" s="8">
        <v>1</v>
      </c>
      <c r="O40" s="8"/>
      <c r="P40" s="8"/>
      <c r="Q40" s="8"/>
      <c r="R40" s="8"/>
      <c r="S40" s="8"/>
      <c r="T40" s="8"/>
      <c r="U40" s="8"/>
      <c r="V40" s="8"/>
      <c r="W40" s="8">
        <f t="shared" si="4"/>
        <v>3</v>
      </c>
      <c r="X40" s="9">
        <f t="shared" si="5"/>
        <v>0.5</v>
      </c>
    </row>
    <row r="41" spans="1:24" x14ac:dyDescent="0.3">
      <c r="A41" s="4" t="str">
        <f>VLOOKUP(G41,Data!$A:$G,2,0)</f>
        <v>Souvik Maity</v>
      </c>
      <c r="B41" s="4" t="str">
        <f>VLOOKUP(G41,Data!$A:$G,3,0)</f>
        <v>Active</v>
      </c>
      <c r="C41" s="4" t="str">
        <f>VLOOKUP(G41,Data!$A:$G,4,0)</f>
        <v>Hooghly</v>
      </c>
      <c r="D41" s="4" t="str">
        <f>VLOOKUP(G41,Data!$A:$G,5,0)</f>
        <v>Dhanyaghori</v>
      </c>
      <c r="E41" s="4" t="str">
        <f>VLOOKUP(G41,Data!$A:$G,6,0)</f>
        <v>Pratik Chakraborty</v>
      </c>
      <c r="F41" s="10" t="str">
        <f>VLOOKUP(G41,Data!$A:$G,7,0)</f>
        <v>3390311946</v>
      </c>
      <c r="G41" s="5">
        <v>22773</v>
      </c>
      <c r="H41" s="5" t="str">
        <f>VLOOKUP(G41,'FI txn'!$G:$X,18,0)</f>
        <v>&gt; 450</v>
      </c>
      <c r="I41" s="7">
        <f>VLOOKUP(G41,'FI txn'!$G:$H,2,0)</f>
        <v>6</v>
      </c>
      <c r="J41" s="7">
        <f t="shared" si="3"/>
        <v>90</v>
      </c>
      <c r="K41" s="8"/>
      <c r="L41" s="8"/>
      <c r="M41" s="8">
        <v>2</v>
      </c>
      <c r="N41" s="8">
        <v>3</v>
      </c>
      <c r="O41" s="8">
        <v>10</v>
      </c>
      <c r="P41" s="8"/>
      <c r="Q41" s="8"/>
      <c r="R41" s="8"/>
      <c r="S41" s="8"/>
      <c r="T41" s="8"/>
      <c r="U41" s="8"/>
      <c r="V41" s="8"/>
      <c r="W41" s="8">
        <f t="shared" si="4"/>
        <v>15</v>
      </c>
      <c r="X41" s="9">
        <f t="shared" si="5"/>
        <v>2.5</v>
      </c>
    </row>
    <row r="42" spans="1:24" x14ac:dyDescent="0.3">
      <c r="A42" s="4" t="str">
        <f>VLOOKUP(G42,Data!$A:$G,2,0)</f>
        <v>Manindra Nath Barman</v>
      </c>
      <c r="B42" s="4" t="str">
        <f>VLOOKUP(G42,Data!$A:$G,3,0)</f>
        <v>Inactive</v>
      </c>
      <c r="C42" s="4" t="str">
        <f>VLOOKUP(G42,Data!$A:$G,4,0)</f>
        <v>Siliguri</v>
      </c>
      <c r="D42" s="4" t="str">
        <f>VLOOKUP(G42,Data!$A:$G,5,0)</f>
        <v>Buxa Forest Craja</v>
      </c>
      <c r="E42" s="4" t="str">
        <f>VLOOKUP(G42,Data!$A:$G,6,0)</f>
        <v>Pankaj Tiwari</v>
      </c>
      <c r="F42" s="10" t="str">
        <f>VLOOKUP(G42,Data!$A:$G,7,0)</f>
        <v>9490310077</v>
      </c>
      <c r="G42" s="12">
        <v>20503</v>
      </c>
      <c r="H42" s="5" t="str">
        <f>VLOOKUP(G42,'FI txn'!$G:$X,18,0)</f>
        <v>&lt; 150</v>
      </c>
      <c r="I42" s="7">
        <f>VLOOKUP(G42,'FI txn'!$G:$H,2,0)</f>
        <v>4</v>
      </c>
      <c r="J42" s="7">
        <f t="shared" si="3"/>
        <v>60</v>
      </c>
      <c r="K42" s="8"/>
      <c r="L42" s="8"/>
      <c r="M42" s="8"/>
      <c r="N42" s="8"/>
      <c r="O42" s="8">
        <v>2</v>
      </c>
      <c r="P42" s="8"/>
      <c r="Q42" s="8"/>
      <c r="R42" s="8"/>
      <c r="S42" s="8"/>
      <c r="T42" s="8"/>
      <c r="U42" s="8"/>
      <c r="V42" s="8"/>
      <c r="W42" s="8">
        <f t="shared" si="4"/>
        <v>2</v>
      </c>
      <c r="X42" s="9">
        <f t="shared" si="5"/>
        <v>0.5</v>
      </c>
    </row>
    <row r="43" spans="1:24" x14ac:dyDescent="0.3">
      <c r="A43" s="4" t="str">
        <f>VLOOKUP(G43,Data!$A:$G,2,0)</f>
        <v>Under Office (Birbhum)</v>
      </c>
      <c r="B43" s="4" t="str">
        <f>VLOOKUP(G43,Data!$A:$G,3,0)</f>
        <v>Active</v>
      </c>
      <c r="C43" s="4" t="str">
        <f>VLOOKUP(G43,Data!$A:$G,4,0)</f>
        <v>Siliguri</v>
      </c>
      <c r="D43" s="4" t="str">
        <f>VLOOKUP(G43,Data!$A:$G,5,0)</f>
        <v>Jajigram</v>
      </c>
      <c r="E43" s="4" t="str">
        <f>VLOOKUP(G43,Data!$A:$G,6,0)</f>
        <v>Mosaraf Sk</v>
      </c>
      <c r="F43" s="10" t="str">
        <f>VLOOKUP(G43,Data!$A:$G,7,0)</f>
        <v>0140311323</v>
      </c>
      <c r="G43" s="5">
        <v>21998</v>
      </c>
      <c r="H43" s="5" t="str">
        <f>VLOOKUP(G43,'FI txn'!$G:$X,18,0)</f>
        <v>&gt; 900</v>
      </c>
      <c r="I43" s="7">
        <f>VLOOKUP(G43,'FI txn'!$G:$H,2,0)</f>
        <v>6</v>
      </c>
      <c r="J43" s="7">
        <f t="shared" si="3"/>
        <v>90</v>
      </c>
      <c r="K43" s="8"/>
      <c r="L43" s="8"/>
      <c r="M43" s="8"/>
      <c r="N43" s="8">
        <v>2</v>
      </c>
      <c r="O43" s="8"/>
      <c r="P43" s="8"/>
      <c r="Q43" s="8"/>
      <c r="R43" s="8"/>
      <c r="S43" s="8"/>
      <c r="T43" s="8"/>
      <c r="U43" s="8"/>
      <c r="V43" s="8"/>
      <c r="W43" s="8">
        <f t="shared" si="4"/>
        <v>2</v>
      </c>
      <c r="X43" s="9">
        <f t="shared" si="5"/>
        <v>0.33333333333333331</v>
      </c>
    </row>
    <row r="44" spans="1:24" x14ac:dyDescent="0.3">
      <c r="A44" s="4" t="str">
        <f>VLOOKUP(G44,Data!$A:$G,2,0)</f>
        <v>Under Office (W Medinipur)</v>
      </c>
      <c r="B44" s="4" t="str">
        <f>VLOOKUP(G44,Data!$A:$G,3,0)</f>
        <v>Active</v>
      </c>
      <c r="C44" s="4" t="str">
        <f>VLOOKUP(G44,Data!$A:$G,4,0)</f>
        <v>Hooghly</v>
      </c>
      <c r="D44" s="4" t="str">
        <f>VLOOKUP(G44,Data!$A:$G,5,0)</f>
        <v>Ramjibanpur</v>
      </c>
      <c r="E44" s="4" t="str">
        <f>VLOOKUP(G44,Data!$A:$G,6,0)</f>
        <v xml:space="preserve">Mahadeb Das </v>
      </c>
      <c r="F44" s="10" t="str">
        <f>VLOOKUP(G44,Data!$A:$G,7,0)</f>
        <v>3390315155</v>
      </c>
      <c r="G44" s="5">
        <v>27629</v>
      </c>
      <c r="H44" s="5" t="str">
        <f>VLOOKUP(G44,'FI txn'!$G:$X,18,0)</f>
        <v>&gt; 300</v>
      </c>
      <c r="I44" s="7">
        <f>VLOOKUP(G44,'FI txn'!$G:$H,2,0)</f>
        <v>6</v>
      </c>
      <c r="J44" s="7">
        <f t="shared" si="3"/>
        <v>90</v>
      </c>
      <c r="K44" s="8"/>
      <c r="L44" s="8">
        <v>2</v>
      </c>
      <c r="M44" s="8"/>
      <c r="N44" s="8">
        <v>2</v>
      </c>
      <c r="O44" s="8">
        <v>1</v>
      </c>
      <c r="P44" s="8"/>
      <c r="Q44" s="8"/>
      <c r="R44" s="8"/>
      <c r="S44" s="8"/>
      <c r="T44" s="8"/>
      <c r="U44" s="8"/>
      <c r="V44" s="8"/>
      <c r="W44" s="8">
        <f t="shared" si="4"/>
        <v>5</v>
      </c>
      <c r="X44" s="9">
        <f t="shared" si="5"/>
        <v>0.83333333333333337</v>
      </c>
    </row>
    <row r="45" spans="1:24" x14ac:dyDescent="0.3">
      <c r="A45" s="4" t="str">
        <f>VLOOKUP(G45,Data!$A:$G,2,0)</f>
        <v>Under Office (W Medinipur)</v>
      </c>
      <c r="B45" s="4" t="str">
        <f>VLOOKUP(G45,Data!$A:$G,3,0)</f>
        <v>Active</v>
      </c>
      <c r="C45" s="4" t="str">
        <f>VLOOKUP(G45,Data!$A:$G,4,0)</f>
        <v>Hooghly</v>
      </c>
      <c r="D45" s="4" t="str">
        <f>VLOOKUP(G45,Data!$A:$G,5,0)</f>
        <v>Kharar</v>
      </c>
      <c r="E45" s="4" t="str">
        <f>VLOOKUP(G45,Data!$A:$G,6,0)</f>
        <v>Pinki Ghosh</v>
      </c>
      <c r="F45" s="10" t="str">
        <f>VLOOKUP(G45,Data!$A:$G,7,0)</f>
        <v>2390311944</v>
      </c>
      <c r="G45" s="5">
        <v>29368</v>
      </c>
      <c r="H45" s="5" t="str">
        <f>VLOOKUP(G45,'FI txn'!$G:$X,18,0)</f>
        <v>&gt; 300</v>
      </c>
      <c r="I45" s="7">
        <f>VLOOKUP(G45,'FI txn'!$G:$H,2,0)</f>
        <v>6</v>
      </c>
      <c r="J45" s="7">
        <f t="shared" si="3"/>
        <v>90</v>
      </c>
      <c r="K45" s="8"/>
      <c r="L45" s="8"/>
      <c r="M45" s="8"/>
      <c r="N45" s="8">
        <v>4</v>
      </c>
      <c r="O45" s="8"/>
      <c r="P45" s="8"/>
      <c r="Q45" s="8"/>
      <c r="R45" s="8"/>
      <c r="S45" s="8"/>
      <c r="T45" s="8"/>
      <c r="U45" s="8"/>
      <c r="V45" s="8"/>
      <c r="W45" s="8">
        <f t="shared" si="4"/>
        <v>4</v>
      </c>
      <c r="X45" s="9">
        <f t="shared" si="5"/>
        <v>0.66666666666666663</v>
      </c>
    </row>
    <row r="46" spans="1:24" x14ac:dyDescent="0.3">
      <c r="A46" s="4" t="str">
        <f>VLOOKUP(G46,Data!$A:$G,2,0)</f>
        <v>Souvik Maity</v>
      </c>
      <c r="B46" s="4" t="str">
        <f>VLOOKUP(G46,Data!$A:$G,3,0)</f>
        <v>Active</v>
      </c>
      <c r="C46" s="4" t="str">
        <f>VLOOKUP(G46,Data!$A:$G,4,0)</f>
        <v>Hooghly</v>
      </c>
      <c r="D46" s="4" t="str">
        <f>VLOOKUP(G46,Data!$A:$G,5,0)</f>
        <v>Kalipur</v>
      </c>
      <c r="E46" s="4" t="str">
        <f>VLOOKUP(G46,Data!$A:$G,6,0)</f>
        <v>Satyajit Chattopadhyay</v>
      </c>
      <c r="F46" s="10" t="str">
        <f>VLOOKUP(G46,Data!$A:$G,7,0)</f>
        <v>3390311422</v>
      </c>
      <c r="G46" s="5">
        <v>22128</v>
      </c>
      <c r="H46" s="5" t="str">
        <f>VLOOKUP(G46,'FI txn'!$G:$X,18,0)</f>
        <v>&gt; 450</v>
      </c>
      <c r="I46" s="7">
        <f>VLOOKUP(G46,'FI txn'!$G:$H,2,0)</f>
        <v>6</v>
      </c>
      <c r="J46" s="7">
        <f t="shared" si="3"/>
        <v>90</v>
      </c>
      <c r="K46" s="8"/>
      <c r="L46" s="8"/>
      <c r="M46" s="8">
        <v>1</v>
      </c>
      <c r="N46" s="8">
        <v>1</v>
      </c>
      <c r="O46" s="8">
        <v>1</v>
      </c>
      <c r="P46" s="8"/>
      <c r="Q46" s="8"/>
      <c r="R46" s="8"/>
      <c r="S46" s="8"/>
      <c r="T46" s="8"/>
      <c r="U46" s="8"/>
      <c r="V46" s="8"/>
      <c r="W46" s="8">
        <f t="shared" si="4"/>
        <v>3</v>
      </c>
      <c r="X46" s="9">
        <f t="shared" si="5"/>
        <v>0.5</v>
      </c>
    </row>
    <row r="47" spans="1:24" x14ac:dyDescent="0.3">
      <c r="A47" s="4" t="str">
        <f>VLOOKUP(G47,Data!$A:$G,2,0)</f>
        <v>Sunil Biswas</v>
      </c>
      <c r="B47" s="4" t="str">
        <f>VLOOKUP(G47,Data!$A:$G,3,0)</f>
        <v>Active</v>
      </c>
      <c r="C47" s="4" t="str">
        <f>VLOOKUP(G47,Data!$A:$G,4,0)</f>
        <v>Durgapur</v>
      </c>
      <c r="D47" s="4" t="str">
        <f>VLOOKUP(G47,Data!$A:$G,5,0)</f>
        <v>Haringhata</v>
      </c>
      <c r="E47" s="4" t="str">
        <f>VLOOKUP(G47,Data!$A:$G,6,0)</f>
        <v>Eyakub Mondal</v>
      </c>
      <c r="F47" s="10" t="str">
        <f>VLOOKUP(G47,Data!$A:$G,7,0)</f>
        <v>2430315345</v>
      </c>
      <c r="G47" s="5">
        <v>28085</v>
      </c>
      <c r="H47" s="5" t="str">
        <f>VLOOKUP(G47,'FI txn'!$G:$X,18,0)</f>
        <v>&gt; 300</v>
      </c>
      <c r="I47" s="7">
        <f>VLOOKUP(G47,'FI txn'!$G:$H,2,0)</f>
        <v>6</v>
      </c>
      <c r="J47" s="7">
        <f t="shared" si="3"/>
        <v>90</v>
      </c>
      <c r="K47" s="8"/>
      <c r="L47" s="8">
        <v>2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>
        <f t="shared" si="4"/>
        <v>2</v>
      </c>
      <c r="X47" s="9">
        <f t="shared" si="5"/>
        <v>0.33333333333333331</v>
      </c>
    </row>
    <row r="48" spans="1:24" x14ac:dyDescent="0.3">
      <c r="A48" s="4" t="str">
        <f>VLOOKUP(G48,Data!$A:$G,2,0)</f>
        <v>Under Office (Birbhum)</v>
      </c>
      <c r="B48" s="4" t="str">
        <f>VLOOKUP(G48,Data!$A:$G,3,0)</f>
        <v>Active</v>
      </c>
      <c r="C48" s="4" t="str">
        <f>VLOOKUP(G48,Data!$A:$G,4,0)</f>
        <v>Siliguri</v>
      </c>
      <c r="D48" s="4" t="str">
        <f>VLOOKUP(G48,Data!$A:$G,5,0)</f>
        <v>Mangaldihi</v>
      </c>
      <c r="E48" s="4" t="str">
        <f>VLOOKUP(G48,Data!$A:$G,6,0)</f>
        <v>Ruma Bagdi</v>
      </c>
      <c r="F48" s="10" t="str">
        <f>VLOOKUP(G48,Data!$A:$G,7,0)</f>
        <v>0140311670</v>
      </c>
      <c r="G48" s="5">
        <v>27028</v>
      </c>
      <c r="H48" s="5" t="str">
        <f>VLOOKUP(G48,'FI txn'!$G:$X,18,0)</f>
        <v>&gt; 450</v>
      </c>
      <c r="I48" s="7">
        <f>VLOOKUP(G48,'FI txn'!$G:$H,2,0)</f>
        <v>6</v>
      </c>
      <c r="J48" s="7">
        <f t="shared" si="3"/>
        <v>90</v>
      </c>
      <c r="K48" s="8"/>
      <c r="L48" s="8"/>
      <c r="M48" s="8"/>
      <c r="N48" s="8">
        <v>2</v>
      </c>
      <c r="O48" s="8"/>
      <c r="P48" s="8"/>
      <c r="Q48" s="8"/>
      <c r="R48" s="8"/>
      <c r="S48" s="8"/>
      <c r="T48" s="8"/>
      <c r="U48" s="8"/>
      <c r="V48" s="8"/>
      <c r="W48" s="8">
        <f t="shared" si="4"/>
        <v>2</v>
      </c>
      <c r="X48" s="9">
        <f t="shared" si="5"/>
        <v>0.33333333333333331</v>
      </c>
    </row>
    <row r="49" spans="1:24" x14ac:dyDescent="0.3">
      <c r="A49" s="4" t="str">
        <f>VLOOKUP(G49,Data!$A:$G,2,0)</f>
        <v>Under Office (W Medinipur)</v>
      </c>
      <c r="B49" s="4" t="str">
        <f>VLOOKUP(G49,Data!$A:$G,3,0)</f>
        <v>Active</v>
      </c>
      <c r="C49" s="4" t="str">
        <f>VLOOKUP(G49,Data!$A:$G,4,0)</f>
        <v>Hooghly</v>
      </c>
      <c r="D49" s="4" t="str">
        <f>VLOOKUP(G49,Data!$A:$G,5,0)</f>
        <v>Chandrakona</v>
      </c>
      <c r="E49" s="4" t="str">
        <f>VLOOKUP(G49,Data!$A:$G,6,0)</f>
        <v>Ananya Maity Bag</v>
      </c>
      <c r="F49" s="10" t="str">
        <f>VLOOKUP(G49,Data!$A:$G,7,0)</f>
        <v>2390313181</v>
      </c>
      <c r="G49" s="5">
        <v>24495</v>
      </c>
      <c r="H49" s="5" t="str">
        <f>VLOOKUP(G49,'FI txn'!$G:$X,18,0)</f>
        <v>&gt; 300</v>
      </c>
      <c r="I49" s="7">
        <f>VLOOKUP(G49,'FI txn'!$G:$H,2,0)</f>
        <v>6</v>
      </c>
      <c r="J49" s="7">
        <f t="shared" si="3"/>
        <v>90</v>
      </c>
      <c r="K49" s="8"/>
      <c r="L49" s="8"/>
      <c r="M49" s="8">
        <v>1</v>
      </c>
      <c r="N49" s="8">
        <v>1</v>
      </c>
      <c r="O49" s="8">
        <v>2</v>
      </c>
      <c r="P49" s="8"/>
      <c r="Q49" s="8"/>
      <c r="R49" s="8"/>
      <c r="S49" s="8"/>
      <c r="T49" s="8"/>
      <c r="U49" s="8"/>
      <c r="V49" s="8"/>
      <c r="W49" s="8">
        <f t="shared" si="4"/>
        <v>4</v>
      </c>
      <c r="X49" s="9">
        <f t="shared" si="5"/>
        <v>0.66666666666666663</v>
      </c>
    </row>
    <row r="50" spans="1:24" x14ac:dyDescent="0.3">
      <c r="A50" s="4" t="str">
        <f>VLOOKUP(G50,Data!$A:$G,2,0)</f>
        <v>Souvik Maity</v>
      </c>
      <c r="B50" s="4" t="str">
        <f>VLOOKUP(G50,Data!$A:$G,3,0)</f>
        <v>Active</v>
      </c>
      <c r="C50" s="4" t="str">
        <f>VLOOKUP(G50,Data!$A:$G,4,0)</f>
        <v>Hooghly</v>
      </c>
      <c r="D50" s="4" t="str">
        <f>VLOOKUP(G50,Data!$A:$G,5,0)</f>
        <v>Kamarpara</v>
      </c>
      <c r="E50" s="4" t="str">
        <f>VLOOKUP(G50,Data!$A:$G,6,0)</f>
        <v>Mithu Ghosh</v>
      </c>
      <c r="F50" s="10" t="str">
        <f>VLOOKUP(G50,Data!$A:$G,7,0)</f>
        <v>3390312440</v>
      </c>
      <c r="G50" s="5">
        <v>23432</v>
      </c>
      <c r="H50" s="5" t="str">
        <f>VLOOKUP(G50,'FI txn'!$G:$X,18,0)</f>
        <v>&gt; 450</v>
      </c>
      <c r="I50" s="7">
        <f>VLOOKUP(G50,'FI txn'!$G:$H,2,0)</f>
        <v>6</v>
      </c>
      <c r="J50" s="7">
        <f t="shared" si="3"/>
        <v>90</v>
      </c>
      <c r="K50" s="8"/>
      <c r="L50" s="8"/>
      <c r="M50" s="8">
        <v>2</v>
      </c>
      <c r="N50" s="8"/>
      <c r="O50" s="8"/>
      <c r="P50" s="8"/>
      <c r="Q50" s="8"/>
      <c r="R50" s="8"/>
      <c r="S50" s="8"/>
      <c r="T50" s="8"/>
      <c r="U50" s="8"/>
      <c r="V50" s="8"/>
      <c r="W50" s="8">
        <f t="shared" si="4"/>
        <v>2</v>
      </c>
      <c r="X50" s="9">
        <f t="shared" si="5"/>
        <v>0.33333333333333331</v>
      </c>
    </row>
    <row r="51" spans="1:24" x14ac:dyDescent="0.3">
      <c r="A51" s="4" t="str">
        <f>VLOOKUP(G51,Data!$A:$G,2,0)</f>
        <v>Pijush Singha</v>
      </c>
      <c r="B51" s="4" t="str">
        <f>VLOOKUP(G51,Data!$A:$G,3,0)</f>
        <v>Active</v>
      </c>
      <c r="C51" s="4" t="str">
        <f>VLOOKUP(G51,Data!$A:$G,4,0)</f>
        <v>Siliguri</v>
      </c>
      <c r="D51" s="4" t="str">
        <f>VLOOKUP(G51,Data!$A:$G,5,0)</f>
        <v>Dhuliyan</v>
      </c>
      <c r="E51" s="4" t="str">
        <f>VLOOKUP(G51,Data!$A:$G,6,0)</f>
        <v>Md Asraful Hoque</v>
      </c>
      <c r="F51" s="10" t="str">
        <f>VLOOKUP(G51,Data!$A:$G,7,0)</f>
        <v>2410313985</v>
      </c>
      <c r="G51" s="5">
        <v>25557</v>
      </c>
      <c r="H51" s="5" t="str">
        <f>VLOOKUP(G51,'FI txn'!$G:$X,18,0)</f>
        <v>&lt; 150</v>
      </c>
      <c r="I51" s="7">
        <f>VLOOKUP(G51,'FI txn'!$G:$H,2,0)</f>
        <v>6</v>
      </c>
      <c r="J51" s="7">
        <f t="shared" si="3"/>
        <v>90</v>
      </c>
      <c r="K51" s="8"/>
      <c r="L51" s="8"/>
      <c r="M51" s="8"/>
      <c r="N51" s="8">
        <v>1</v>
      </c>
      <c r="O51" s="8"/>
      <c r="P51" s="8"/>
      <c r="Q51" s="8"/>
      <c r="R51" s="8"/>
      <c r="S51" s="8"/>
      <c r="T51" s="8"/>
      <c r="U51" s="8"/>
      <c r="V51" s="8"/>
      <c r="W51" s="8">
        <f t="shared" si="4"/>
        <v>1</v>
      </c>
      <c r="X51" s="9">
        <f t="shared" si="5"/>
        <v>0.16666666666666666</v>
      </c>
    </row>
    <row r="52" spans="1:24" x14ac:dyDescent="0.3">
      <c r="A52" s="4" t="str">
        <f>VLOOKUP(G52,Data!$A:$G,2,0)</f>
        <v>Souvik Maity</v>
      </c>
      <c r="B52" s="4" t="str">
        <f>VLOOKUP(G52,Data!$A:$G,3,0)</f>
        <v>Inactive</v>
      </c>
      <c r="C52" s="4" t="str">
        <f>VLOOKUP(G52,Data!$A:$G,4,0)</f>
        <v>Hooghly</v>
      </c>
      <c r="D52" s="4" t="str">
        <f>VLOOKUP(G52,Data!$A:$G,5,0)</f>
        <v>Batanal</v>
      </c>
      <c r="E52" s="4" t="str">
        <f>VLOOKUP(G52,Data!$A:$G,6,0)</f>
        <v>Chaitali Shit Malik</v>
      </c>
      <c r="F52" s="10" t="str">
        <f>VLOOKUP(G52,Data!$A:$G,7,0)</f>
        <v>3390311948</v>
      </c>
      <c r="G52" s="12">
        <v>22775</v>
      </c>
      <c r="H52" s="5" t="str">
        <f>VLOOKUP(G52,'FI txn'!$G:$X,18,0)</f>
        <v>Nill</v>
      </c>
      <c r="I52" s="7">
        <f>VLOOKUP(G52,'FI txn'!$G:$H,2,0)</f>
        <v>1</v>
      </c>
      <c r="J52" s="7">
        <f t="shared" si="3"/>
        <v>15</v>
      </c>
      <c r="K52" s="8"/>
      <c r="L52" s="8"/>
      <c r="M52" s="8"/>
      <c r="N52" s="8">
        <v>2</v>
      </c>
      <c r="O52" s="8">
        <v>6</v>
      </c>
      <c r="P52" s="8"/>
      <c r="Q52" s="8"/>
      <c r="R52" s="8"/>
      <c r="S52" s="8"/>
      <c r="T52" s="8"/>
      <c r="U52" s="8"/>
      <c r="V52" s="8"/>
      <c r="W52" s="8">
        <f t="shared" si="4"/>
        <v>8</v>
      </c>
      <c r="X52" s="9">
        <f t="shared" si="5"/>
        <v>8</v>
      </c>
    </row>
    <row r="53" spans="1:24" x14ac:dyDescent="0.3">
      <c r="A53" s="4" t="str">
        <f>VLOOKUP(G53,Data!$A:$G,2,0)</f>
        <v>Santanu Bera</v>
      </c>
      <c r="B53" s="4" t="str">
        <f>VLOOKUP(G53,Data!$A:$G,3,0)</f>
        <v>Active</v>
      </c>
      <c r="C53" s="4" t="str">
        <f>VLOOKUP(G53,Data!$A:$G,4,0)</f>
        <v>Hooghly</v>
      </c>
      <c r="D53" s="4" t="str">
        <f>VLOOKUP(G53,Data!$A:$G,5,0)</f>
        <v>Contai</v>
      </c>
      <c r="E53" s="4" t="str">
        <f>VLOOKUP(G53,Data!$A:$G,6,0)</f>
        <v>Subhankar Sahoo</v>
      </c>
      <c r="F53" s="10" t="str">
        <f>VLOOKUP(G53,Data!$A:$G,7,0)</f>
        <v>2380314983</v>
      </c>
      <c r="G53" s="5">
        <v>27249</v>
      </c>
      <c r="H53" s="5" t="str">
        <f>VLOOKUP(G53,'FI txn'!$G:$X,18,0)</f>
        <v>&lt; 150</v>
      </c>
      <c r="I53" s="7">
        <f>VLOOKUP(G53,'FI txn'!$G:$H,2,0)</f>
        <v>6</v>
      </c>
      <c r="J53" s="7">
        <f t="shared" si="3"/>
        <v>90</v>
      </c>
      <c r="K53" s="8"/>
      <c r="L53" s="8"/>
      <c r="M53" s="8"/>
      <c r="N53" s="8">
        <v>1</v>
      </c>
      <c r="O53" s="8"/>
      <c r="P53" s="8"/>
      <c r="Q53" s="8"/>
      <c r="R53" s="8"/>
      <c r="S53" s="8"/>
      <c r="T53" s="8"/>
      <c r="U53" s="8"/>
      <c r="V53" s="8"/>
      <c r="W53" s="8">
        <f t="shared" si="4"/>
        <v>1</v>
      </c>
      <c r="X53" s="9">
        <f t="shared" si="5"/>
        <v>0.16666666666666666</v>
      </c>
    </row>
    <row r="54" spans="1:24" x14ac:dyDescent="0.3">
      <c r="A54" s="4" t="str">
        <f>VLOOKUP(G54,Data!$A:$G,2,0)</f>
        <v>Under Office (W Medinipur)</v>
      </c>
      <c r="B54" s="4" t="str">
        <f>VLOOKUP(G54,Data!$A:$G,3,0)</f>
        <v>Active</v>
      </c>
      <c r="C54" s="4" t="str">
        <f>VLOOKUP(G54,Data!$A:$G,4,0)</f>
        <v>Hooghly</v>
      </c>
      <c r="D54" s="4" t="str">
        <f>VLOOKUP(G54,Data!$A:$G,5,0)</f>
        <v>Ghatal</v>
      </c>
      <c r="E54" s="4" t="str">
        <f>VLOOKUP(G54,Data!$A:$G,6,0)</f>
        <v>Chandan Satik</v>
      </c>
      <c r="F54" s="10" t="str">
        <f>VLOOKUP(G54,Data!$A:$G,7,0)</f>
        <v>2390311662</v>
      </c>
      <c r="G54" s="5">
        <v>22400</v>
      </c>
      <c r="H54" s="5" t="str">
        <f>VLOOKUP(G54,'FI txn'!$G:$X,18,0)</f>
        <v>&lt; 150</v>
      </c>
      <c r="I54" s="7">
        <f>VLOOKUP(G54,'FI txn'!$G:$H,2,0)</f>
        <v>6</v>
      </c>
      <c r="J54" s="7">
        <f t="shared" si="3"/>
        <v>90</v>
      </c>
      <c r="K54" s="8"/>
      <c r="L54" s="8"/>
      <c r="M54" s="8"/>
      <c r="N54" s="8">
        <v>1</v>
      </c>
      <c r="O54" s="8"/>
      <c r="P54" s="8"/>
      <c r="Q54" s="8"/>
      <c r="R54" s="8"/>
      <c r="S54" s="8"/>
      <c r="T54" s="8"/>
      <c r="U54" s="8"/>
      <c r="V54" s="8"/>
      <c r="W54" s="8">
        <f t="shared" si="4"/>
        <v>1</v>
      </c>
      <c r="X54" s="9">
        <f t="shared" si="5"/>
        <v>0.16666666666666666</v>
      </c>
    </row>
    <row r="55" spans="1:24" x14ac:dyDescent="0.3">
      <c r="A55" s="4" t="str">
        <f>VLOOKUP(G55,Data!$A:$G,2,0)</f>
        <v>Under Office (W Medinipur)</v>
      </c>
      <c r="B55" s="4" t="str">
        <f>VLOOKUP(G55,Data!$A:$G,3,0)</f>
        <v>Active</v>
      </c>
      <c r="C55" s="4" t="str">
        <f>VLOOKUP(G55,Data!$A:$G,4,0)</f>
        <v>Hooghly</v>
      </c>
      <c r="D55" s="4" t="str">
        <f>VLOOKUP(G55,Data!$A:$G,5,0)</f>
        <v>Khirpai</v>
      </c>
      <c r="E55" s="4" t="str">
        <f>VLOOKUP(G55,Data!$A:$G,6,0)</f>
        <v>Sk Abbas Ali</v>
      </c>
      <c r="F55" s="10" t="str">
        <f>VLOOKUP(G55,Data!$A:$G,7,0)</f>
        <v>2390311378</v>
      </c>
      <c r="G55" s="5">
        <v>22073</v>
      </c>
      <c r="H55" s="5" t="str">
        <f>VLOOKUP(G55,'FI txn'!$G:$X,18,0)</f>
        <v>&gt; 900</v>
      </c>
      <c r="I55" s="7">
        <f>VLOOKUP(G55,'FI txn'!$G:$H,2,0)</f>
        <v>6</v>
      </c>
      <c r="J55" s="7">
        <f t="shared" si="3"/>
        <v>90</v>
      </c>
      <c r="K55" s="8"/>
      <c r="L55" s="8"/>
      <c r="M55" s="8">
        <v>1</v>
      </c>
      <c r="N55" s="8"/>
      <c r="O55" s="8"/>
      <c r="P55" s="8"/>
      <c r="Q55" s="8"/>
      <c r="R55" s="8"/>
      <c r="S55" s="8"/>
      <c r="T55" s="8"/>
      <c r="U55" s="8"/>
      <c r="V55" s="8"/>
      <c r="W55" s="8">
        <f t="shared" si="4"/>
        <v>1</v>
      </c>
      <c r="X55" s="9">
        <f t="shared" si="5"/>
        <v>0.16666666666666666</v>
      </c>
    </row>
    <row r="56" spans="1:24" x14ac:dyDescent="0.3">
      <c r="A56" s="4" t="str">
        <f>VLOOKUP(G56,Data!$A:$G,2,0)</f>
        <v>Rajiul Momin</v>
      </c>
      <c r="B56" s="4" t="str">
        <f>VLOOKUP(G56,Data!$A:$G,3,0)</f>
        <v>Active</v>
      </c>
      <c r="C56" s="4" t="str">
        <f>VLOOKUP(G56,Data!$A:$G,4,0)</f>
        <v>Siliguri</v>
      </c>
      <c r="D56" s="4" t="str">
        <f>VLOOKUP(G56,Data!$A:$G,5,0)</f>
        <v>Inyathpur</v>
      </c>
      <c r="E56" s="4" t="str">
        <f>VLOOKUP(G56,Data!$A:$G,6,0)</f>
        <v>Tumpa Poddar</v>
      </c>
      <c r="F56" s="10" t="str">
        <f>VLOOKUP(G56,Data!$A:$G,7,0)</f>
        <v>2370312246</v>
      </c>
      <c r="G56" s="5">
        <v>23178</v>
      </c>
      <c r="H56" s="5" t="str">
        <f>VLOOKUP(G56,'FI txn'!$G:$X,18,0)</f>
        <v>&gt; 450</v>
      </c>
      <c r="I56" s="7">
        <f>VLOOKUP(G56,'FI txn'!$G:$H,2,0)</f>
        <v>6</v>
      </c>
      <c r="J56" s="7">
        <f t="shared" si="3"/>
        <v>90</v>
      </c>
      <c r="K56" s="8"/>
      <c r="L56" s="8"/>
      <c r="M56" s="8">
        <v>1</v>
      </c>
      <c r="N56" s="8"/>
      <c r="O56" s="8"/>
      <c r="P56" s="8"/>
      <c r="Q56" s="8"/>
      <c r="R56" s="8"/>
      <c r="S56" s="8"/>
      <c r="T56" s="8"/>
      <c r="U56" s="8"/>
      <c r="V56" s="8"/>
      <c r="W56" s="8">
        <f t="shared" si="4"/>
        <v>1</v>
      </c>
      <c r="X56" s="9">
        <f t="shared" si="5"/>
        <v>0.16666666666666666</v>
      </c>
    </row>
    <row r="57" spans="1:24" x14ac:dyDescent="0.3">
      <c r="A57" s="4" t="str">
        <f>VLOOKUP(G57,Data!$A:$G,2,0)</f>
        <v>Under Office (W Medinipur)</v>
      </c>
      <c r="B57" s="4" t="str">
        <f>VLOOKUP(G57,Data!$A:$G,3,0)</f>
        <v>Active</v>
      </c>
      <c r="C57" s="4" t="str">
        <f>VLOOKUP(G57,Data!$A:$G,4,0)</f>
        <v>Hooghly</v>
      </c>
      <c r="D57" s="4" t="str">
        <f>VLOOKUP(G57,Data!$A:$G,5,0)</f>
        <v>Banka</v>
      </c>
      <c r="E57" s="4" t="str">
        <f>VLOOKUP(G57,Data!$A:$G,6,0)</f>
        <v>Shampa Mandal</v>
      </c>
      <c r="F57" s="10" t="str">
        <f>VLOOKUP(G57,Data!$A:$G,7,0)</f>
        <v>2390312439</v>
      </c>
      <c r="G57" s="5">
        <v>23431</v>
      </c>
      <c r="H57" s="5" t="str">
        <f>VLOOKUP(G57,'FI txn'!$G:$X,18,0)</f>
        <v>&gt; 150</v>
      </c>
      <c r="I57" s="7">
        <f>VLOOKUP(G57,'FI txn'!$G:$H,2,0)</f>
        <v>6</v>
      </c>
      <c r="J57" s="7">
        <f t="shared" si="3"/>
        <v>90</v>
      </c>
      <c r="K57" s="8"/>
      <c r="L57" s="8"/>
      <c r="M57" s="8">
        <v>1</v>
      </c>
      <c r="N57" s="8"/>
      <c r="O57" s="8"/>
      <c r="P57" s="8"/>
      <c r="Q57" s="8"/>
      <c r="R57" s="8"/>
      <c r="S57" s="8"/>
      <c r="T57" s="8"/>
      <c r="U57" s="8"/>
      <c r="V57" s="8"/>
      <c r="W57" s="8">
        <f t="shared" si="4"/>
        <v>1</v>
      </c>
      <c r="X57" s="9">
        <f t="shared" si="5"/>
        <v>0.16666666666666666</v>
      </c>
    </row>
    <row r="58" spans="1:24" x14ac:dyDescent="0.3">
      <c r="A58" s="4" t="str">
        <f>VLOOKUP(G58,Data!$A:$G,2,0)</f>
        <v>Under Office (W Medinipur)</v>
      </c>
      <c r="B58" s="4" t="str">
        <f>VLOOKUP(G58,Data!$A:$G,3,0)</f>
        <v>Active</v>
      </c>
      <c r="C58" s="4" t="str">
        <f>VLOOKUP(G58,Data!$A:$G,4,0)</f>
        <v>Hooghly</v>
      </c>
      <c r="D58" s="4" t="str">
        <f>VLOOKUP(G58,Data!$A:$G,5,0)</f>
        <v>Khirpai</v>
      </c>
      <c r="E58" s="4" t="str">
        <f>VLOOKUP(G58,Data!$A:$G,6,0)</f>
        <v>Reshma Khatun</v>
      </c>
      <c r="F58" s="10" t="str">
        <f>VLOOKUP(G58,Data!$A:$G,7,0)</f>
        <v>2390314453</v>
      </c>
      <c r="G58" s="5">
        <v>26501</v>
      </c>
      <c r="H58" s="5" t="str">
        <f>VLOOKUP(G58,'FI txn'!$G:$X,18,0)</f>
        <v>&gt; 450</v>
      </c>
      <c r="I58" s="7">
        <f>VLOOKUP(G58,'FI txn'!$G:$H,2,0)</f>
        <v>6</v>
      </c>
      <c r="J58" s="7">
        <f t="shared" si="3"/>
        <v>90</v>
      </c>
      <c r="K58" s="8"/>
      <c r="L58" s="8"/>
      <c r="M58" s="8">
        <v>1</v>
      </c>
      <c r="N58" s="8"/>
      <c r="O58" s="8"/>
      <c r="P58" s="8"/>
      <c r="Q58" s="8"/>
      <c r="R58" s="8"/>
      <c r="S58" s="8"/>
      <c r="T58" s="8"/>
      <c r="U58" s="8"/>
      <c r="V58" s="8"/>
      <c r="W58" s="8">
        <f t="shared" si="4"/>
        <v>1</v>
      </c>
      <c r="X58" s="9">
        <f t="shared" si="5"/>
        <v>0.16666666666666666</v>
      </c>
    </row>
    <row r="59" spans="1:24" x14ac:dyDescent="0.3">
      <c r="A59" s="4" t="str">
        <f>VLOOKUP(G59,Data!$A:$G,2,0)</f>
        <v>Chandi Charan Mahato</v>
      </c>
      <c r="B59" s="4" t="str">
        <f>VLOOKUP(G59,Data!$A:$G,3,0)</f>
        <v>Inactive</v>
      </c>
      <c r="C59" s="4" t="str">
        <f>VLOOKUP(G59,Data!$A:$G,4,0)</f>
        <v>Durgapur</v>
      </c>
      <c r="D59" s="4" t="str">
        <f>VLOOKUP(G59,Data!$A:$G,5,0)</f>
        <v>Patrasayer</v>
      </c>
      <c r="E59" s="4" t="str">
        <f>VLOOKUP(G59,Data!$A:$G,6,0)</f>
        <v>Bula Karmakar</v>
      </c>
      <c r="F59" s="10" t="str">
        <f>VLOOKUP(G59,Data!$A:$G,7,0)</f>
        <v>2160315824</v>
      </c>
      <c r="G59" s="5">
        <v>29069</v>
      </c>
      <c r="H59" s="5" t="str">
        <f>VLOOKUP(G59,'FI txn'!$G:$X,18,0)</f>
        <v>&lt; 150</v>
      </c>
      <c r="I59" s="7">
        <f>VLOOKUP(G59,'FI txn'!$G:$H,2,0)</f>
        <v>5</v>
      </c>
      <c r="J59" s="7">
        <f t="shared" si="3"/>
        <v>75</v>
      </c>
      <c r="K59" s="8"/>
      <c r="L59" s="8">
        <v>1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>
        <f t="shared" si="4"/>
        <v>1</v>
      </c>
      <c r="X59" s="9">
        <f t="shared" si="5"/>
        <v>0.2</v>
      </c>
    </row>
    <row r="60" spans="1:24" x14ac:dyDescent="0.3">
      <c r="A60" s="4" t="str">
        <f>VLOOKUP(G60,Data!$A:$G,2,0)</f>
        <v>Manindra Nath Barman</v>
      </c>
      <c r="B60" s="4" t="str">
        <f>VLOOKUP(G60,Data!$A:$G,3,0)</f>
        <v>Active</v>
      </c>
      <c r="C60" s="4" t="str">
        <f>VLOOKUP(G60,Data!$A:$G,4,0)</f>
        <v>Siliguri</v>
      </c>
      <c r="D60" s="4" t="str">
        <f>VLOOKUP(G60,Data!$A:$G,5,0)</f>
        <v>Barobisha</v>
      </c>
      <c r="E60" s="4" t="str">
        <f>VLOOKUP(G60,Data!$A:$G,6,0)</f>
        <v>Sankar Arya</v>
      </c>
      <c r="F60" s="10" t="str">
        <f>VLOOKUP(G60,Data!$A:$G,7,0)</f>
        <v>2200315639</v>
      </c>
      <c r="G60" s="5">
        <v>28692</v>
      </c>
      <c r="H60" s="5" t="str">
        <f>VLOOKUP(G60,'FI txn'!$G:$X,18,0)</f>
        <v>&lt; 150</v>
      </c>
      <c r="I60" s="7">
        <f>VLOOKUP(G60,'FI txn'!$G:$H,2,0)</f>
        <v>6</v>
      </c>
      <c r="J60" s="7">
        <f t="shared" si="3"/>
        <v>90</v>
      </c>
      <c r="K60" s="8">
        <v>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>
        <f t="shared" si="4"/>
        <v>1</v>
      </c>
      <c r="X60" s="9">
        <f t="shared" si="5"/>
        <v>0.16666666666666666</v>
      </c>
    </row>
    <row r="61" spans="1:24" x14ac:dyDescent="0.3">
      <c r="A61" s="4" t="str">
        <f>VLOOKUP(G61,Data!$A:$G,2,0)</f>
        <v>Souvik Maity</v>
      </c>
      <c r="B61" s="4" t="str">
        <f>VLOOKUP(G61,Data!$A:$G,3,0)</f>
        <v>Active</v>
      </c>
      <c r="C61" s="4" t="str">
        <f>VLOOKUP(G61,Data!$A:$G,4,0)</f>
        <v>Hooghly</v>
      </c>
      <c r="D61" s="4" t="str">
        <f>VLOOKUP(G61,Data!$A:$G,5,0)</f>
        <v>Haripal</v>
      </c>
      <c r="E61" s="4" t="str">
        <f>VLOOKUP(G61,Data!$A:$G,6,0)</f>
        <v>Sk Nasim Ali</v>
      </c>
      <c r="F61" s="10" t="str">
        <f>VLOOKUP(G61,Data!$A:$G,7,0)</f>
        <v>3390312613</v>
      </c>
      <c r="G61" s="5">
        <v>23669</v>
      </c>
      <c r="H61" s="5" t="str">
        <f>VLOOKUP(G61,'FI txn'!$G:$X,18,0)</f>
        <v>&gt; 450</v>
      </c>
      <c r="I61" s="7">
        <f>VLOOKUP(G61,'FI txn'!$G:$H,2,0)</f>
        <v>6</v>
      </c>
      <c r="J61" s="7">
        <f t="shared" si="3"/>
        <v>90</v>
      </c>
      <c r="K61" s="8"/>
      <c r="L61" s="8">
        <v>1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>
        <f t="shared" si="4"/>
        <v>1</v>
      </c>
      <c r="X61" s="9">
        <f t="shared" si="5"/>
        <v>0.16666666666666666</v>
      </c>
    </row>
    <row r="62" spans="1:24" x14ac:dyDescent="0.3">
      <c r="A62" s="4" t="str">
        <f>VLOOKUP(G62,Data!$A:$G,2,0)</f>
        <v>Souvik Maity</v>
      </c>
      <c r="B62" s="4" t="str">
        <f>VLOOKUP(G62,Data!$A:$G,3,0)</f>
        <v>Active</v>
      </c>
      <c r="C62" s="4" t="str">
        <f>VLOOKUP(G62,Data!$A:$G,4,0)</f>
        <v>Hooghly</v>
      </c>
      <c r="D62" s="4" t="str">
        <f>VLOOKUP(G62,Data!$A:$G,5,0)</f>
        <v>Khanakul</v>
      </c>
      <c r="E62" s="4" t="str">
        <f>VLOOKUP(G62,Data!$A:$G,6,0)</f>
        <v>Susobhan Patra</v>
      </c>
      <c r="F62" s="10" t="str">
        <f>VLOOKUP(G62,Data!$A:$G,7,0)</f>
        <v>3390312968</v>
      </c>
      <c r="G62" s="5">
        <v>24153</v>
      </c>
      <c r="H62" s="5" t="str">
        <f>VLOOKUP(G62,'FI txn'!$G:$X,18,0)</f>
        <v>&gt; 450</v>
      </c>
      <c r="I62" s="7">
        <f>VLOOKUP(G62,'FI txn'!$G:$H,2,0)</f>
        <v>6</v>
      </c>
      <c r="J62" s="7">
        <f t="shared" si="3"/>
        <v>90</v>
      </c>
      <c r="K62" s="8"/>
      <c r="L62" s="8"/>
      <c r="M62" s="8"/>
      <c r="N62" s="8">
        <v>1</v>
      </c>
      <c r="O62" s="8">
        <v>2</v>
      </c>
      <c r="P62" s="8"/>
      <c r="Q62" s="8"/>
      <c r="R62" s="8"/>
      <c r="S62" s="8"/>
      <c r="T62" s="8"/>
      <c r="U62" s="8"/>
      <c r="V62" s="8"/>
      <c r="W62" s="8">
        <f t="shared" si="4"/>
        <v>3</v>
      </c>
      <c r="X62" s="9">
        <f t="shared" si="5"/>
        <v>0.5</v>
      </c>
    </row>
    <row r="63" spans="1:24" x14ac:dyDescent="0.3">
      <c r="A63" s="4" t="str">
        <f>VLOOKUP(G63,Data!$A:$G,2,0)</f>
        <v>Souvik Maity</v>
      </c>
      <c r="B63" s="4" t="str">
        <f>VLOOKUP(G63,Data!$A:$G,3,0)</f>
        <v>Active</v>
      </c>
      <c r="C63" s="4" t="str">
        <f>VLOOKUP(G63,Data!$A:$G,4,0)</f>
        <v>Hooghly</v>
      </c>
      <c r="D63" s="4" t="str">
        <f>VLOOKUP(G63,Data!$A:$G,5,0)</f>
        <v>Rajbalhat</v>
      </c>
      <c r="E63" s="4" t="str">
        <f>VLOOKUP(G63,Data!$A:$G,6,0)</f>
        <v>Dibyendu Bhowmick</v>
      </c>
      <c r="F63" s="10" t="str">
        <f>VLOOKUP(G63,Data!$A:$G,7,0)</f>
        <v>3390314186</v>
      </c>
      <c r="G63" s="5">
        <v>26015</v>
      </c>
      <c r="H63" s="5" t="str">
        <f>VLOOKUP(G63,'FI txn'!$G:$X,18,0)</f>
        <v>&gt; 450</v>
      </c>
      <c r="I63" s="7">
        <f>VLOOKUP(G63,'FI txn'!$G:$H,2,0)</f>
        <v>6</v>
      </c>
      <c r="J63" s="7">
        <f t="shared" si="3"/>
        <v>90</v>
      </c>
      <c r="K63" s="8"/>
      <c r="L63" s="8"/>
      <c r="M63" s="8"/>
      <c r="N63" s="8">
        <v>1</v>
      </c>
      <c r="O63" s="8"/>
      <c r="P63" s="8"/>
      <c r="Q63" s="8"/>
      <c r="R63" s="8"/>
      <c r="S63" s="8"/>
      <c r="T63" s="8"/>
      <c r="U63" s="8"/>
      <c r="V63" s="8"/>
      <c r="W63" s="8">
        <f t="shared" si="4"/>
        <v>1</v>
      </c>
      <c r="X63" s="9">
        <f t="shared" si="5"/>
        <v>0.16666666666666666</v>
      </c>
    </row>
    <row r="64" spans="1:24" x14ac:dyDescent="0.3">
      <c r="A64" s="4" t="str">
        <f>VLOOKUP(G64,Data!$A:$G,2,0)</f>
        <v>Souvik Maity</v>
      </c>
      <c r="B64" s="4" t="str">
        <f>VLOOKUP(G64,Data!$A:$G,3,0)</f>
        <v>Active</v>
      </c>
      <c r="C64" s="4" t="str">
        <f>VLOOKUP(G64,Data!$A:$G,4,0)</f>
        <v>Hooghly</v>
      </c>
      <c r="D64" s="4" t="str">
        <f>VLOOKUP(G64,Data!$A:$G,5,0)</f>
        <v>Mayapur</v>
      </c>
      <c r="E64" s="4" t="str">
        <f>VLOOKUP(G64,Data!$A:$G,6,0)</f>
        <v>Ruma Rana</v>
      </c>
      <c r="F64" s="10" t="str">
        <f>VLOOKUP(G64,Data!$A:$G,7,0)</f>
        <v>8410316172</v>
      </c>
      <c r="G64" s="5">
        <v>29749</v>
      </c>
      <c r="H64" s="5" t="str">
        <f>VLOOKUP(G64,'FI txn'!$G:$X,18,0)</f>
        <v>&lt; 150</v>
      </c>
      <c r="I64" s="7">
        <f>VLOOKUP(G64,'FI txn'!$G:$H,2,0)</f>
        <v>1</v>
      </c>
      <c r="J64" s="7">
        <f t="shared" si="3"/>
        <v>15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>
        <f t="shared" si="5"/>
        <v>0</v>
      </c>
    </row>
    <row r="65" spans="1:24" x14ac:dyDescent="0.3">
      <c r="A65" s="4" t="str">
        <f>VLOOKUP(G65,Data!$A:$G,2,0)</f>
        <v>Mousumi Sarkar</v>
      </c>
      <c r="B65" s="4" t="str">
        <f>VLOOKUP(G65,Data!$A:$G,3,0)</f>
        <v>Active</v>
      </c>
      <c r="C65" s="4" t="str">
        <f>VLOOKUP(G65,Data!$A:$G,4,0)</f>
        <v>Saltlake</v>
      </c>
      <c r="D65" s="4" t="str">
        <f>VLOOKUP(G65,Data!$A:$G,5,0)</f>
        <v>Hingalganj</v>
      </c>
      <c r="E65" s="4" t="str">
        <f>VLOOKUP(G65,Data!$A:$G,6,0)</f>
        <v>Khairulla Mistri</v>
      </c>
      <c r="F65" s="10" t="str">
        <f>VLOOKUP(G65,Data!$A:$G,7,0)</f>
        <v>8410316210</v>
      </c>
      <c r="G65" s="5">
        <v>29799</v>
      </c>
      <c r="H65" s="5" t="str">
        <f>VLOOKUP(G65,'FI txn'!$G:$X,18,0)</f>
        <v>&lt; 150</v>
      </c>
      <c r="I65" s="7">
        <f>VLOOKUP(G65,'FI txn'!$G:$H,2,0)</f>
        <v>2</v>
      </c>
      <c r="J65" s="7">
        <f t="shared" si="3"/>
        <v>30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9">
        <f t="shared" si="5"/>
        <v>0</v>
      </c>
    </row>
    <row r="66" spans="1:24" x14ac:dyDescent="0.3">
      <c r="A66" s="4" t="str">
        <f>VLOOKUP(G66,Data!$A:$G,2,0)</f>
        <v>Manindra Nath Barman</v>
      </c>
      <c r="B66" s="4" t="str">
        <f>VLOOKUP(G66,Data!$A:$G,3,0)</f>
        <v>Active</v>
      </c>
      <c r="C66" s="4" t="str">
        <f>VLOOKUP(G66,Data!$A:$G,4,0)</f>
        <v>Siliguri</v>
      </c>
      <c r="D66" s="4" t="str">
        <f>VLOOKUP(G66,Data!$A:$G,5,0)</f>
        <v>Ethelbari</v>
      </c>
      <c r="E66" s="4" t="str">
        <f>VLOOKUP(G66,Data!$A:$G,6,0)</f>
        <v>Tarif Baxla</v>
      </c>
      <c r="F66" s="10" t="str">
        <f>VLOOKUP(G66,Data!$A:$G,7,0)</f>
        <v>8410316211</v>
      </c>
      <c r="G66" s="5">
        <v>29798</v>
      </c>
      <c r="H66" s="5" t="str">
        <f>VLOOKUP(G66,'FI txn'!$G:$X,18,0)</f>
        <v>&lt; 150</v>
      </c>
      <c r="I66" s="7">
        <f>VLOOKUP(G66,'FI txn'!$G:$H,2,0)</f>
        <v>2</v>
      </c>
      <c r="J66" s="7">
        <f t="shared" ref="J66:J97" si="6">I66*15</f>
        <v>30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>
        <f t="shared" ref="X66:X97" si="7">W66/I66</f>
        <v>0</v>
      </c>
    </row>
    <row r="67" spans="1:24" x14ac:dyDescent="0.3">
      <c r="A67" s="4" t="str">
        <f>VLOOKUP(G67,Data!$A:$G,2,0)</f>
        <v>Manindra Nath Barman</v>
      </c>
      <c r="B67" s="4" t="str">
        <f>VLOOKUP(G67,Data!$A:$G,3,0)</f>
        <v>Inactive</v>
      </c>
      <c r="C67" s="4" t="str">
        <f>VLOOKUP(G67,Data!$A:$G,4,0)</f>
        <v>Siliguri</v>
      </c>
      <c r="D67" s="4" t="str">
        <f>VLOOKUP(G67,Data!$A:$G,5,0)</f>
        <v>Barobisha</v>
      </c>
      <c r="E67" s="4" t="str">
        <f>VLOOKUP(G67,Data!$A:$G,6,0)</f>
        <v>Virendra Narayan Nag</v>
      </c>
      <c r="F67" s="10" t="str">
        <f>VLOOKUP(G67,Data!$A:$G,7,0)</f>
        <v>8967601707</v>
      </c>
      <c r="G67" s="5">
        <v>29526</v>
      </c>
      <c r="H67" s="5" t="str">
        <f>VLOOKUP(G67,'FI txn'!$G:$X,18,0)</f>
        <v>&lt; 150</v>
      </c>
      <c r="I67" s="7">
        <f>VLOOKUP(G67,'FI txn'!$G:$H,2,0)</f>
        <v>3</v>
      </c>
      <c r="J67" s="7">
        <f t="shared" si="6"/>
        <v>45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9"/>
    </row>
    <row r="68" spans="1:24" x14ac:dyDescent="0.3">
      <c r="A68" s="4" t="str">
        <f>VLOOKUP(G68,Data!$A:$G,2,0)</f>
        <v>Sunil Biswas</v>
      </c>
      <c r="B68" s="4" t="str">
        <f>VLOOKUP(G68,Data!$A:$G,3,0)</f>
        <v>Active</v>
      </c>
      <c r="C68" s="4" t="str">
        <f>VLOOKUP(G68,Data!$A:$G,4,0)</f>
        <v>Durgapur</v>
      </c>
      <c r="D68" s="4" t="str">
        <f>VLOOKUP(G68,Data!$A:$G,5,0)</f>
        <v>Hridaypur</v>
      </c>
      <c r="E68" s="4" t="str">
        <f>VLOOKUP(G68,Data!$A:$G,6,0)</f>
        <v>Suman Ghosh</v>
      </c>
      <c r="F68" s="10" t="str">
        <f>VLOOKUP(G68,Data!$A:$G,7,0)</f>
        <v>8116659114</v>
      </c>
      <c r="G68" s="5">
        <v>29525</v>
      </c>
      <c r="H68" s="5" t="str">
        <f>VLOOKUP(G68,'FI txn'!$G:$X,18,0)</f>
        <v>&lt; 150</v>
      </c>
      <c r="I68" s="7">
        <f>VLOOKUP(G68,'FI txn'!$G:$H,2,0)</f>
        <v>4</v>
      </c>
      <c r="J68" s="7">
        <f t="shared" si="6"/>
        <v>60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/>
    </row>
    <row r="69" spans="1:24" x14ac:dyDescent="0.3">
      <c r="A69" s="4" t="str">
        <f>VLOOKUP(G69,Data!$A:$G,2,0)</f>
        <v>Manindra Nath Barman</v>
      </c>
      <c r="B69" s="4" t="str">
        <f>VLOOKUP(G69,Data!$A:$G,3,0)</f>
        <v>Inactive</v>
      </c>
      <c r="C69" s="4" t="str">
        <f>VLOOKUP(G69,Data!$A:$G,4,0)</f>
        <v>Siliguri</v>
      </c>
      <c r="D69" s="4" t="str">
        <f>VLOOKUP(G69,Data!$A:$G,5,0)</f>
        <v>Buxa Forest Craja</v>
      </c>
      <c r="E69" s="4" t="str">
        <f>VLOOKUP(G69,Data!$A:$G,6,0)</f>
        <v xml:space="preserve">Md Khalique Ansari </v>
      </c>
      <c r="F69" s="10" t="str">
        <f>VLOOKUP(G69,Data!$A:$G,7,0)</f>
        <v>9490315684</v>
      </c>
      <c r="G69" s="5">
        <v>28825</v>
      </c>
      <c r="H69" s="5" t="str">
        <f>VLOOKUP(G69,'FI txn'!$G:$X,18,0)</f>
        <v>&lt; 150</v>
      </c>
      <c r="I69" s="7">
        <f>VLOOKUP(G69,'FI txn'!$G:$H,2,0)</f>
        <v>5</v>
      </c>
      <c r="J69" s="7">
        <f t="shared" si="6"/>
        <v>75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9">
        <f t="shared" ref="X69:X89" si="8">W69/I69</f>
        <v>0</v>
      </c>
    </row>
    <row r="70" spans="1:24" x14ac:dyDescent="0.3">
      <c r="A70" s="4" t="str">
        <f>VLOOKUP(G70,Data!$A:$G,2,0)</f>
        <v>Sunil Biswas</v>
      </c>
      <c r="B70" s="4" t="str">
        <f>VLOOKUP(G70,Data!$A:$G,3,0)</f>
        <v>Active</v>
      </c>
      <c r="C70" s="4" t="str">
        <f>VLOOKUP(G70,Data!$A:$G,4,0)</f>
        <v>Durgapur</v>
      </c>
      <c r="D70" s="4" t="str">
        <f>VLOOKUP(G70,Data!$A:$G,5,0)</f>
        <v>Ranaghat</v>
      </c>
      <c r="E70" s="4" t="str">
        <f>VLOOKUP(G70,Data!$A:$G,6,0)</f>
        <v>Kishore Bhakta</v>
      </c>
      <c r="F70" s="10" t="str">
        <f>VLOOKUP(G70,Data!$A:$G,7,0)</f>
        <v>2430315568</v>
      </c>
      <c r="G70" s="5">
        <v>28482</v>
      </c>
      <c r="H70" s="5" t="str">
        <f>VLOOKUP(G70,'FI txn'!$G:$X,18,0)</f>
        <v>&lt; 150</v>
      </c>
      <c r="I70" s="7">
        <f>VLOOKUP(G70,'FI txn'!$G:$H,2,0)</f>
        <v>6</v>
      </c>
      <c r="J70" s="7">
        <f t="shared" si="6"/>
        <v>90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>
        <f t="shared" si="8"/>
        <v>0</v>
      </c>
    </row>
    <row r="71" spans="1:24" x14ac:dyDescent="0.3">
      <c r="A71" s="4" t="str">
        <f>VLOOKUP(G71,Data!$A:$G,2,0)</f>
        <v>Sunil Biswas</v>
      </c>
      <c r="B71" s="4" t="str">
        <f>VLOOKUP(G71,Data!$A:$G,3,0)</f>
        <v>Active</v>
      </c>
      <c r="C71" s="4" t="str">
        <f>VLOOKUP(G71,Data!$A:$G,4,0)</f>
        <v>Durgapur</v>
      </c>
      <c r="D71" s="4" t="str">
        <f>VLOOKUP(G71,Data!$A:$G,5,0)</f>
        <v>Ranaghat</v>
      </c>
      <c r="E71" s="4" t="str">
        <f>VLOOKUP(G71,Data!$A:$G,6,0)</f>
        <v>Sagari Ghosh</v>
      </c>
      <c r="F71" s="10" t="str">
        <f>VLOOKUP(G71,Data!$A:$G,7,0)</f>
        <v>2430314519</v>
      </c>
      <c r="G71" s="5">
        <v>26595</v>
      </c>
      <c r="H71" s="5" t="str">
        <f>VLOOKUP(G71,'FI txn'!$G:$X,18,0)</f>
        <v>&gt; 300</v>
      </c>
      <c r="I71" s="7">
        <f>VLOOKUP(G71,'FI txn'!$G:$H,2,0)</f>
        <v>6</v>
      </c>
      <c r="J71" s="7">
        <f t="shared" si="6"/>
        <v>90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9">
        <f t="shared" si="8"/>
        <v>0</v>
      </c>
    </row>
    <row r="72" spans="1:24" x14ac:dyDescent="0.3">
      <c r="A72" s="4" t="str">
        <f>VLOOKUP(G72,Data!$A:$G,2,0)</f>
        <v>Souvik Maity</v>
      </c>
      <c r="B72" s="4" t="str">
        <f>VLOOKUP(G72,Data!$A:$G,3,0)</f>
        <v>Active</v>
      </c>
      <c r="C72" s="4" t="str">
        <f>VLOOKUP(G72,Data!$A:$G,4,0)</f>
        <v>Hooghly</v>
      </c>
      <c r="D72" s="4" t="str">
        <f>VLOOKUP(G72,Data!$A:$G,5,0)</f>
        <v>Polba</v>
      </c>
      <c r="E72" s="4" t="str">
        <f>VLOOKUP(G72,Data!$A:$G,6,0)</f>
        <v>Arindam Sadhukhan</v>
      </c>
      <c r="F72" s="10" t="str">
        <f>VLOOKUP(G72,Data!$A:$G,7,0)</f>
        <v>3390315433</v>
      </c>
      <c r="G72" s="5">
        <v>28201</v>
      </c>
      <c r="H72" s="5" t="str">
        <f>VLOOKUP(G72,'FI txn'!$G:$X,18,0)</f>
        <v>&gt; 150</v>
      </c>
      <c r="I72" s="7">
        <f>VLOOKUP(G72,'FI txn'!$G:$H,2,0)</f>
        <v>6</v>
      </c>
      <c r="J72" s="7">
        <f t="shared" si="6"/>
        <v>90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>
        <f t="shared" si="8"/>
        <v>0</v>
      </c>
    </row>
    <row r="73" spans="1:24" x14ac:dyDescent="0.3">
      <c r="A73" s="4" t="str">
        <f>VLOOKUP(G73,Data!$A:$G,2,0)</f>
        <v>Souvik Maity</v>
      </c>
      <c r="B73" s="4" t="str">
        <f>VLOOKUP(G73,Data!$A:$G,3,0)</f>
        <v>Active</v>
      </c>
      <c r="C73" s="4" t="str">
        <f>VLOOKUP(G73,Data!$A:$G,4,0)</f>
        <v>Hooghly</v>
      </c>
      <c r="D73" s="4" t="str">
        <f>VLOOKUP(G73,Data!$A:$G,5,0)</f>
        <v>Sahapur</v>
      </c>
      <c r="E73" s="4" t="str">
        <f>VLOOKUP(G73,Data!$A:$G,6,0)</f>
        <v>Bishal Maity</v>
      </c>
      <c r="F73" s="10" t="str">
        <f>VLOOKUP(G73,Data!$A:$G,7,0)</f>
        <v>3390312548</v>
      </c>
      <c r="G73" s="5">
        <v>23565</v>
      </c>
      <c r="H73" s="5" t="str">
        <f>VLOOKUP(G73,'FI txn'!$G:$X,18,0)</f>
        <v>&gt; 150</v>
      </c>
      <c r="I73" s="7">
        <f>VLOOKUP(G73,'FI txn'!$G:$H,2,0)</f>
        <v>6</v>
      </c>
      <c r="J73" s="7">
        <f t="shared" si="6"/>
        <v>90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9">
        <f t="shared" si="8"/>
        <v>0</v>
      </c>
    </row>
    <row r="74" spans="1:24" x14ac:dyDescent="0.3">
      <c r="A74" s="4" t="str">
        <f>VLOOKUP(G74,Data!$A:$G,2,0)</f>
        <v>Under Office (W Medinipur)</v>
      </c>
      <c r="B74" s="4" t="str">
        <f>VLOOKUP(G74,Data!$A:$G,3,0)</f>
        <v>Active</v>
      </c>
      <c r="C74" s="4" t="str">
        <f>VLOOKUP(G74,Data!$A:$G,4,0)</f>
        <v>Hooghly</v>
      </c>
      <c r="D74" s="4" t="str">
        <f>VLOOKUP(G74,Data!$A:$G,5,0)</f>
        <v>Banka</v>
      </c>
      <c r="E74" s="4" t="str">
        <f>VLOOKUP(G74,Data!$A:$G,6,0)</f>
        <v>Subhajit Chanda</v>
      </c>
      <c r="F74" s="10" t="str">
        <f>VLOOKUP(G74,Data!$A:$G,7,0)</f>
        <v>2390312543</v>
      </c>
      <c r="G74" s="5">
        <v>23560</v>
      </c>
      <c r="H74" s="5" t="str">
        <f>VLOOKUP(G74,'FI txn'!$G:$X,18,0)</f>
        <v>&gt; 300</v>
      </c>
      <c r="I74" s="7">
        <f>VLOOKUP(G74,'FI txn'!$G:$H,2,0)</f>
        <v>6</v>
      </c>
      <c r="J74" s="7">
        <f t="shared" si="6"/>
        <v>90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>
        <f t="shared" si="8"/>
        <v>0</v>
      </c>
    </row>
    <row r="75" spans="1:24" x14ac:dyDescent="0.3">
      <c r="A75" s="4" t="str">
        <f>VLOOKUP(G75,Data!$A:$G,2,0)</f>
        <v>Under Office (Birbhum)</v>
      </c>
      <c r="B75" s="4" t="str">
        <f>VLOOKUP(G75,Data!$A:$G,3,0)</f>
        <v>Active</v>
      </c>
      <c r="C75" s="4" t="str">
        <f>VLOOKUP(G75,Data!$A:$G,4,0)</f>
        <v>Siliguri</v>
      </c>
      <c r="D75" s="4" t="str">
        <f>VLOOKUP(G75,Data!$A:$G,5,0)</f>
        <v>Dharampur</v>
      </c>
      <c r="E75" s="4" t="str">
        <f>VLOOKUP(G75,Data!$A:$G,6,0)</f>
        <v>Md Zulfikar Ali</v>
      </c>
      <c r="F75" s="10" t="str">
        <f>VLOOKUP(G75,Data!$A:$G,7,0)</f>
        <v>0140315201</v>
      </c>
      <c r="G75" s="5">
        <v>27792</v>
      </c>
      <c r="H75" s="5" t="str">
        <f>VLOOKUP(G75,'FI txn'!$G:$X,18,0)</f>
        <v>&gt; 300</v>
      </c>
      <c r="I75" s="7">
        <f>VLOOKUP(G75,'FI txn'!$G:$H,2,0)</f>
        <v>6</v>
      </c>
      <c r="J75" s="7">
        <f t="shared" si="6"/>
        <v>90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>
        <f t="shared" si="8"/>
        <v>0</v>
      </c>
    </row>
    <row r="76" spans="1:24" x14ac:dyDescent="0.3">
      <c r="A76" s="4" t="str">
        <f>VLOOKUP(G76,Data!$A:$G,2,0)</f>
        <v>Avi Sk</v>
      </c>
      <c r="B76" s="4" t="str">
        <f>VLOOKUP(G76,Data!$A:$G,3,0)</f>
        <v>Active</v>
      </c>
      <c r="C76" s="4" t="str">
        <f>VLOOKUP(G76,Data!$A:$G,4,0)</f>
        <v>Siliguri</v>
      </c>
      <c r="D76" s="4" t="str">
        <f>VLOOKUP(G76,Data!$A:$G,5,0)</f>
        <v>Kanupur</v>
      </c>
      <c r="E76" s="4" t="str">
        <f>VLOOKUP(G76,Data!$A:$G,6,0)</f>
        <v>Shobhan Majhi</v>
      </c>
      <c r="F76" s="10" t="str">
        <f>VLOOKUP(G76,Data!$A:$G,7,0)</f>
        <v>2410311257</v>
      </c>
      <c r="G76" s="5">
        <v>21926</v>
      </c>
      <c r="H76" s="5" t="str">
        <f>VLOOKUP(G76,'FI txn'!$G:$X,18,0)</f>
        <v>&gt; 150</v>
      </c>
      <c r="I76" s="7">
        <f>VLOOKUP(G76,'FI txn'!$G:$H,2,0)</f>
        <v>6</v>
      </c>
      <c r="J76" s="7">
        <f t="shared" si="6"/>
        <v>90</v>
      </c>
      <c r="K76" s="8"/>
      <c r="L76" s="8"/>
      <c r="M76" s="8"/>
      <c r="N76" s="8"/>
      <c r="O76" s="8">
        <v>4</v>
      </c>
      <c r="P76" s="8"/>
      <c r="Q76" s="8"/>
      <c r="R76" s="8"/>
      <c r="S76" s="8"/>
      <c r="T76" s="8"/>
      <c r="U76" s="8"/>
      <c r="V76" s="8"/>
      <c r="W76" s="8"/>
      <c r="X76" s="9">
        <f t="shared" si="8"/>
        <v>0</v>
      </c>
    </row>
    <row r="77" spans="1:24" x14ac:dyDescent="0.3">
      <c r="A77" s="4" t="str">
        <f>VLOOKUP(G77,Data!$A:$G,2,0)</f>
        <v>Avi Sk</v>
      </c>
      <c r="B77" s="4" t="str">
        <f>VLOOKUP(G77,Data!$A:$G,3,0)</f>
        <v>Active</v>
      </c>
      <c r="C77" s="4" t="str">
        <f>VLOOKUP(G77,Data!$A:$G,4,0)</f>
        <v>Siliguri</v>
      </c>
      <c r="D77" s="4" t="str">
        <f>VLOOKUP(G77,Data!$A:$G,5,0)</f>
        <v>Sagarpara</v>
      </c>
      <c r="E77" s="4" t="str">
        <f>VLOOKUP(G77,Data!$A:$G,6,0)</f>
        <v>Habibur Rahaman</v>
      </c>
      <c r="F77" s="10" t="str">
        <f>VLOOKUP(G77,Data!$A:$G,7,0)</f>
        <v>2410311259</v>
      </c>
      <c r="G77" s="5">
        <v>28860</v>
      </c>
      <c r="H77" s="5" t="str">
        <f>VLOOKUP(G77,'FI txn'!$G:$X,18,0)</f>
        <v>&gt; 150</v>
      </c>
      <c r="I77" s="7">
        <f>VLOOKUP(G77,'FI txn'!$G:$H,2,0)</f>
        <v>6</v>
      </c>
      <c r="J77" s="7">
        <f t="shared" si="6"/>
        <v>90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>
        <f t="shared" si="8"/>
        <v>0</v>
      </c>
    </row>
    <row r="78" spans="1:24" x14ac:dyDescent="0.3">
      <c r="A78" s="4" t="str">
        <f>VLOOKUP(G78,Data!$A:$G,2,0)</f>
        <v>Pijush Singha</v>
      </c>
      <c r="B78" s="4" t="str">
        <f>VLOOKUP(G78,Data!$A:$G,3,0)</f>
        <v>Active</v>
      </c>
      <c r="C78" s="4" t="str">
        <f>VLOOKUP(G78,Data!$A:$G,4,0)</f>
        <v>Siliguri</v>
      </c>
      <c r="D78" s="4" t="str">
        <f>VLOOKUP(G78,Data!$A:$G,5,0)</f>
        <v>Nabagram</v>
      </c>
      <c r="E78" s="4" t="str">
        <f>VLOOKUP(G78,Data!$A:$G,6,0)</f>
        <v>Sahabuddin Ahmed</v>
      </c>
      <c r="F78" s="10" t="str">
        <f>VLOOKUP(G78,Data!$A:$G,7,0)</f>
        <v>2410312329</v>
      </c>
      <c r="G78" s="5">
        <v>23270</v>
      </c>
      <c r="H78" s="5" t="str">
        <f>VLOOKUP(G78,'FI txn'!$G:$X,18,0)</f>
        <v>&gt; 150</v>
      </c>
      <c r="I78" s="7">
        <f>VLOOKUP(G78,'FI txn'!$G:$H,2,0)</f>
        <v>6</v>
      </c>
      <c r="J78" s="7">
        <f t="shared" si="6"/>
        <v>90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>
        <f t="shared" si="8"/>
        <v>0</v>
      </c>
    </row>
    <row r="79" spans="1:24" x14ac:dyDescent="0.3">
      <c r="A79" s="4" t="str">
        <f>VLOOKUP(G79,Data!$A:$G,2,0)</f>
        <v>Santanu Bera</v>
      </c>
      <c r="B79" s="4" t="str">
        <f>VLOOKUP(G79,Data!$A:$G,3,0)</f>
        <v>Active</v>
      </c>
      <c r="C79" s="4" t="str">
        <f>VLOOKUP(G79,Data!$A:$G,4,0)</f>
        <v>Hooghly</v>
      </c>
      <c r="D79" s="4" t="str">
        <f>VLOOKUP(G79,Data!$A:$G,5,0)</f>
        <v>Kolaghat (Ktpps)</v>
      </c>
      <c r="E79" s="4" t="str">
        <f>VLOOKUP(G79,Data!$A:$G,6,0)</f>
        <v>Sudipta Mandal</v>
      </c>
      <c r="F79" s="10" t="str">
        <f>VLOOKUP(G79,Data!$A:$G,7,0)</f>
        <v>2380315163</v>
      </c>
      <c r="G79" s="5">
        <v>27637</v>
      </c>
      <c r="H79" s="5" t="str">
        <f>VLOOKUP(G79,'FI txn'!$G:$X,18,0)</f>
        <v>&lt; 150</v>
      </c>
      <c r="I79" s="7">
        <f>VLOOKUP(G79,'FI txn'!$G:$H,2,0)</f>
        <v>6</v>
      </c>
      <c r="J79" s="7">
        <f t="shared" si="6"/>
        <v>90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>
        <f t="shared" si="8"/>
        <v>0</v>
      </c>
    </row>
    <row r="80" spans="1:24" x14ac:dyDescent="0.3">
      <c r="A80" s="4" t="str">
        <f>VLOOKUP(G80,Data!$A:$G,2,0)</f>
        <v>Santanu Bera</v>
      </c>
      <c r="B80" s="4" t="str">
        <f>VLOOKUP(G80,Data!$A:$G,3,0)</f>
        <v>Active</v>
      </c>
      <c r="C80" s="4" t="str">
        <f>VLOOKUP(G80,Data!$A:$G,4,0)</f>
        <v>Hooghly</v>
      </c>
      <c r="D80" s="4" t="str">
        <f>VLOOKUP(G80,Data!$A:$G,5,0)</f>
        <v>Panskura</v>
      </c>
      <c r="E80" s="4" t="str">
        <f>VLOOKUP(G80,Data!$A:$G,6,0)</f>
        <v>Prasanta Ghorai</v>
      </c>
      <c r="F80" s="10" t="str">
        <f>VLOOKUP(G80,Data!$A:$G,7,0)</f>
        <v>9635383167</v>
      </c>
      <c r="G80" s="5">
        <v>29527</v>
      </c>
      <c r="H80" s="5">
        <f>VLOOKUP(G80,'FI txn'!$G:$X,18,0)</f>
        <v>0</v>
      </c>
      <c r="I80" s="7">
        <f>VLOOKUP(G80,'FI txn'!$G:$H,2,0)</f>
        <v>4</v>
      </c>
      <c r="J80" s="7">
        <f t="shared" si="6"/>
        <v>60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>
        <f t="shared" si="8"/>
        <v>0</v>
      </c>
    </row>
    <row r="81" spans="1:24" x14ac:dyDescent="0.3">
      <c r="A81" s="4" t="str">
        <f>VLOOKUP(G81,Data!$A:$G,2,0)</f>
        <v>Sunil Biswas</v>
      </c>
      <c r="B81" s="4" t="str">
        <f>VLOOKUP(G81,Data!$A:$G,3,0)</f>
        <v>Active</v>
      </c>
      <c r="C81" s="4" t="str">
        <f>VLOOKUP(G81,Data!$A:$G,4,0)</f>
        <v>Durgapur</v>
      </c>
      <c r="D81" s="4" t="str">
        <f>VLOOKUP(G81,Data!$A:$G,5,0)</f>
        <v>Santipur</v>
      </c>
      <c r="E81" s="4" t="str">
        <f>VLOOKUP(G81,Data!$A:$G,6,0)</f>
        <v>Najmira Khatun</v>
      </c>
      <c r="F81" s="10" t="str">
        <f>VLOOKUP(G81,Data!$A:$G,7,0)</f>
        <v>2430315335</v>
      </c>
      <c r="G81" s="5">
        <v>28075</v>
      </c>
      <c r="H81" s="5" t="str">
        <f>VLOOKUP(G81,'FI txn'!$G:$X,18,0)</f>
        <v>&lt; 150</v>
      </c>
      <c r="I81" s="7">
        <f>VLOOKUP(G81,'FI txn'!$G:$H,2,0)</f>
        <v>6</v>
      </c>
      <c r="J81" s="7">
        <f t="shared" si="6"/>
        <v>90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>
        <f t="shared" si="8"/>
        <v>0</v>
      </c>
    </row>
    <row r="82" spans="1:24" x14ac:dyDescent="0.3">
      <c r="A82" s="4" t="str">
        <f>VLOOKUP(G82,Data!$A:$G,2,0)</f>
        <v>Sunil Biswas</v>
      </c>
      <c r="B82" s="4" t="str">
        <f>VLOOKUP(G82,Data!$A:$G,3,0)</f>
        <v>Inactive</v>
      </c>
      <c r="C82" s="4" t="str">
        <f>VLOOKUP(G82,Data!$A:$G,4,0)</f>
        <v>Durgapur</v>
      </c>
      <c r="D82" s="4" t="str">
        <f>VLOOKUP(G82,Data!$A:$G,5,0)</f>
        <v>Chakdaha</v>
      </c>
      <c r="E82" s="4" t="str">
        <f>VLOOKUP(G82,Data!$A:$G,6,0)</f>
        <v>Kiran Biswas</v>
      </c>
      <c r="F82" s="10" t="str">
        <f>VLOOKUP(G82,Data!$A:$G,7,0)</f>
        <v>2430315343</v>
      </c>
      <c r="G82" s="5">
        <v>28083</v>
      </c>
      <c r="H82" s="5" t="str">
        <f>VLOOKUP(G82,'FI txn'!$G:$X,18,0)</f>
        <v>&lt; 150</v>
      </c>
      <c r="I82" s="7">
        <f>VLOOKUP(G82,'FI txn'!$G:$H,2,0)</f>
        <v>5</v>
      </c>
      <c r="J82" s="7">
        <f t="shared" si="6"/>
        <v>75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>
        <f t="shared" si="8"/>
        <v>0</v>
      </c>
    </row>
    <row r="83" spans="1:24" x14ac:dyDescent="0.3">
      <c r="A83" s="4" t="str">
        <f>VLOOKUP(G83,Data!$A:$G,2,0)</f>
        <v>Santanu Bera</v>
      </c>
      <c r="B83" s="4" t="str">
        <f>VLOOKUP(G83,Data!$A:$G,3,0)</f>
        <v>Active</v>
      </c>
      <c r="C83" s="4" t="str">
        <f>VLOOKUP(G83,Data!$A:$G,4,0)</f>
        <v>Hooghly</v>
      </c>
      <c r="D83" s="4" t="str">
        <f>VLOOKUP(G83,Data!$A:$G,5,0)</f>
        <v>Keshapat</v>
      </c>
      <c r="E83" s="4" t="str">
        <f>VLOOKUP(G83,Data!$A:$G,6,0)</f>
        <v>Subhankar Samanta</v>
      </c>
      <c r="F83" s="10" t="str">
        <f>VLOOKUP(G83,Data!$A:$G,7,0)</f>
        <v>2380311664</v>
      </c>
      <c r="G83" s="5">
        <v>22402</v>
      </c>
      <c r="H83" s="5" t="str">
        <f>VLOOKUP(G83,'FI txn'!$G:$X,18,0)</f>
        <v>&lt; 150</v>
      </c>
      <c r="I83" s="7">
        <f>VLOOKUP(G83,'FI txn'!$G:$H,2,0)</f>
        <v>6</v>
      </c>
      <c r="J83" s="7">
        <f t="shared" si="6"/>
        <v>90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>
        <f t="shared" si="8"/>
        <v>0</v>
      </c>
    </row>
    <row r="84" spans="1:24" x14ac:dyDescent="0.3">
      <c r="A84" s="4" t="str">
        <f>VLOOKUP(G84,Data!$A:$G,2,0)</f>
        <v>Souvik Maity</v>
      </c>
      <c r="B84" s="4" t="str">
        <f>VLOOKUP(G84,Data!$A:$G,3,0)</f>
        <v>Active</v>
      </c>
      <c r="C84" s="4" t="str">
        <f>VLOOKUP(G84,Data!$A:$G,4,0)</f>
        <v>Hooghly</v>
      </c>
      <c r="D84" s="4" t="str">
        <f>VLOOKUP(G84,Data!$A:$G,5,0)</f>
        <v>Dasghara</v>
      </c>
      <c r="E84" s="4" t="str">
        <f>VLOOKUP(G84,Data!$A:$G,6,0)</f>
        <v>Sabir Amed</v>
      </c>
      <c r="F84" s="10" t="str">
        <f>VLOOKUP(G84,Data!$A:$G,7,0)</f>
        <v>3390312282</v>
      </c>
      <c r="G84" s="5">
        <v>23214</v>
      </c>
      <c r="H84" s="5" t="str">
        <f>VLOOKUP(G84,'FI txn'!$G:$X,18,0)</f>
        <v>&lt; 150</v>
      </c>
      <c r="I84" s="7">
        <f>VLOOKUP(G84,'FI txn'!$G:$H,2,0)</f>
        <v>6</v>
      </c>
      <c r="J84" s="7">
        <f t="shared" si="6"/>
        <v>90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>
        <f t="shared" si="8"/>
        <v>0</v>
      </c>
    </row>
    <row r="85" spans="1:24" x14ac:dyDescent="0.3">
      <c r="A85" s="4" t="str">
        <f>VLOOKUP(G85,Data!$A:$G,2,0)</f>
        <v>Santanu Bera</v>
      </c>
      <c r="B85" s="4" t="str">
        <f>VLOOKUP(G85,Data!$A:$G,3,0)</f>
        <v>Active</v>
      </c>
      <c r="C85" s="4" t="str">
        <f>VLOOKUP(G85,Data!$A:$G,4,0)</f>
        <v>Hooghly</v>
      </c>
      <c r="D85" s="4" t="str">
        <f>VLOOKUP(G85,Data!$A:$G,5,0)</f>
        <v>Tamluk</v>
      </c>
      <c r="E85" s="4" t="str">
        <f>VLOOKUP(G85,Data!$A:$G,6,0)</f>
        <v>Soumen Baichar</v>
      </c>
      <c r="F85" s="10" t="str">
        <f>VLOOKUP(G85,Data!$A:$G,7,0)</f>
        <v>2390314474</v>
      </c>
      <c r="G85" s="5">
        <v>26530</v>
      </c>
      <c r="H85" s="5" t="str">
        <f>VLOOKUP(G85,'FI txn'!$G:$X,18,0)</f>
        <v>&lt; 150</v>
      </c>
      <c r="I85" s="7">
        <f>VLOOKUP(G85,'FI txn'!$G:$H,2,0)</f>
        <v>6</v>
      </c>
      <c r="J85" s="7">
        <f t="shared" si="6"/>
        <v>90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>
        <f t="shared" si="8"/>
        <v>0</v>
      </c>
    </row>
    <row r="86" spans="1:24" x14ac:dyDescent="0.3">
      <c r="A86" s="4" t="str">
        <f>VLOOKUP(G86,Data!$A:$G,2,0)</f>
        <v>Souvik Maity</v>
      </c>
      <c r="B86" s="4" t="str">
        <f>VLOOKUP(G86,Data!$A:$G,3,0)</f>
        <v>Active</v>
      </c>
      <c r="C86" s="4" t="str">
        <f>VLOOKUP(G86,Data!$A:$G,4,0)</f>
        <v>Hooghly</v>
      </c>
      <c r="D86" s="4" t="str">
        <f>VLOOKUP(G86,Data!$A:$G,5,0)</f>
        <v>Saidpur</v>
      </c>
      <c r="E86" s="4" t="str">
        <f>VLOOKUP(G86,Data!$A:$G,6,0)</f>
        <v>Puja Manna</v>
      </c>
      <c r="F86" s="10" t="str">
        <f>VLOOKUP(G86,Data!$A:$G,7,0)</f>
        <v>3390311696</v>
      </c>
      <c r="G86" s="5">
        <v>22453</v>
      </c>
      <c r="H86" s="5" t="str">
        <f>VLOOKUP(G86,'FI txn'!$G:$X,18,0)</f>
        <v>&lt; 150</v>
      </c>
      <c r="I86" s="7">
        <f>VLOOKUP(G86,'FI txn'!$G:$H,2,0)</f>
        <v>6</v>
      </c>
      <c r="J86" s="7">
        <f t="shared" si="6"/>
        <v>90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>
        <f t="shared" si="8"/>
        <v>0</v>
      </c>
    </row>
    <row r="87" spans="1:24" x14ac:dyDescent="0.3">
      <c r="A87" s="4" t="str">
        <f>VLOOKUP(G87,Data!$A:$G,2,0)</f>
        <v>Sunil Biswas</v>
      </c>
      <c r="B87" s="4" t="str">
        <f>VLOOKUP(G87,Data!$A:$G,3,0)</f>
        <v>Active</v>
      </c>
      <c r="C87" s="4" t="str">
        <f>VLOOKUP(G87,Data!$A:$G,4,0)</f>
        <v>Durgapur</v>
      </c>
      <c r="D87" s="4" t="str">
        <f>VLOOKUP(G87,Data!$A:$G,5,0)</f>
        <v>Santipur</v>
      </c>
      <c r="E87" s="4" t="str">
        <f>VLOOKUP(G87,Data!$A:$G,6,0)</f>
        <v>Partha Dey</v>
      </c>
      <c r="F87" s="10" t="str">
        <f>VLOOKUP(G87,Data!$A:$G,7,0)</f>
        <v>2430315570</v>
      </c>
      <c r="G87" s="5">
        <v>29089</v>
      </c>
      <c r="H87" s="5" t="str">
        <f>VLOOKUP(G87,'FI txn'!$G:$X,18,0)</f>
        <v>&lt; 150</v>
      </c>
      <c r="I87" s="7">
        <f>VLOOKUP(G87,'FI txn'!$G:$H,2,0)</f>
        <v>6</v>
      </c>
      <c r="J87" s="7">
        <f t="shared" si="6"/>
        <v>90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>
        <f t="shared" si="8"/>
        <v>0</v>
      </c>
    </row>
    <row r="88" spans="1:24" x14ac:dyDescent="0.3">
      <c r="A88" s="4" t="str">
        <f>VLOOKUP(G88,Data!$A:$G,2,0)</f>
        <v>Chandi Charan Mahato</v>
      </c>
      <c r="B88" s="4" t="str">
        <f>VLOOKUP(G88,Data!$A:$G,3,0)</f>
        <v>Inactive</v>
      </c>
      <c r="C88" s="4" t="str">
        <f>VLOOKUP(G88,Data!$A:$G,4,0)</f>
        <v>Durgapur</v>
      </c>
      <c r="D88" s="4" t="str">
        <f>VLOOKUP(G88,Data!$A:$G,5,0)</f>
        <v>Patrasayer</v>
      </c>
      <c r="E88" s="4" t="str">
        <f>VLOOKUP(G88,Data!$A:$G,6,0)</f>
        <v xml:space="preserve">Manorama Chakraborty Roy </v>
      </c>
      <c r="F88" s="10" t="str">
        <f>VLOOKUP(G88,Data!$A:$G,7,0)</f>
        <v>2160315496</v>
      </c>
      <c r="G88" s="5">
        <v>28305</v>
      </c>
      <c r="H88" s="5" t="str">
        <f>VLOOKUP(G88,'FI txn'!$G:$X,18,0)</f>
        <v>&lt; 150</v>
      </c>
      <c r="I88" s="7">
        <f>VLOOKUP(G88,'FI txn'!$G:$H,2,0)</f>
        <v>4</v>
      </c>
      <c r="J88" s="7">
        <f t="shared" si="6"/>
        <v>60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>
        <f t="shared" si="8"/>
        <v>0</v>
      </c>
    </row>
    <row r="89" spans="1:24" x14ac:dyDescent="0.3">
      <c r="A89" s="4" t="str">
        <f>VLOOKUP(G89,Data!$A:$G,2,0)</f>
        <v>Under Office (Birbhum)</v>
      </c>
      <c r="B89" s="4" t="str">
        <f>VLOOKUP(G89,Data!$A:$G,3,0)</f>
        <v>Inactive</v>
      </c>
      <c r="C89" s="4" t="str">
        <f>VLOOKUP(G89,Data!$A:$G,4,0)</f>
        <v>Siliguri</v>
      </c>
      <c r="D89" s="4" t="str">
        <f>VLOOKUP(G89,Data!$A:$G,5,0)</f>
        <v>Lohapur</v>
      </c>
      <c r="E89" s="4" t="str">
        <f>VLOOKUP(G89,Data!$A:$G,6,0)</f>
        <v>Suraj Fulmali</v>
      </c>
      <c r="F89" s="10" t="str">
        <f>VLOOKUP(G89,Data!$A:$G,7,0)</f>
        <v>0140311327</v>
      </c>
      <c r="G89" s="5">
        <v>27437</v>
      </c>
      <c r="H89" s="5" t="str">
        <f>VLOOKUP(G89,'FI txn'!$G:$X,18,0)</f>
        <v>&lt; 150</v>
      </c>
      <c r="I89" s="7">
        <f>VLOOKUP(G89,'FI txn'!$G:$H,2,0)</f>
        <v>2</v>
      </c>
      <c r="J89" s="7">
        <f t="shared" si="6"/>
        <v>30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>
        <f t="shared" si="8"/>
        <v>0</v>
      </c>
    </row>
    <row r="90" spans="1:24" x14ac:dyDescent="0.3">
      <c r="A90" s="4" t="str">
        <f>VLOOKUP(G90,Data!$A:$G,2,0)</f>
        <v>Sunil Biswas</v>
      </c>
      <c r="B90" s="4" t="str">
        <f>VLOOKUP(G90,Data!$A:$G,3,0)</f>
        <v>Inactive</v>
      </c>
      <c r="C90" s="4" t="str">
        <f>VLOOKUP(G90,Data!$A:$G,4,0)</f>
        <v>Durgapur</v>
      </c>
      <c r="D90" s="4" t="str">
        <f>VLOOKUP(G90,Data!$A:$G,5,0)</f>
        <v>Hridaypur</v>
      </c>
      <c r="E90" s="4" t="str">
        <f>VLOOKUP(G90,Data!$A:$G,6,0)</f>
        <v>Nitish Mondal</v>
      </c>
      <c r="F90" s="10" t="str">
        <f>VLOOKUP(G90,Data!$A:$G,7,0)</f>
        <v>8942919438</v>
      </c>
      <c r="G90" s="5">
        <v>29524</v>
      </c>
      <c r="H90" s="5" t="str">
        <f>VLOOKUP(G90,'FI txn'!$G:$X,18,0)</f>
        <v>&lt; 150</v>
      </c>
      <c r="I90" s="7">
        <f>VLOOKUP(G90,'FI txn'!$G:$H,2,0)</f>
        <v>1</v>
      </c>
      <c r="J90" s="7">
        <f t="shared" si="6"/>
        <v>15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</row>
    <row r="91" spans="1:24" x14ac:dyDescent="0.3">
      <c r="A91" s="4" t="str">
        <f>VLOOKUP(G91,Data!$A:$G,2,0)</f>
        <v>Sunil Biswas</v>
      </c>
      <c r="B91" s="4" t="str">
        <f>VLOOKUP(G91,Data!$A:$G,3,0)</f>
        <v>Inactive</v>
      </c>
      <c r="C91" s="4" t="str">
        <f>VLOOKUP(G91,Data!$A:$G,4,0)</f>
        <v>Durgapur</v>
      </c>
      <c r="D91" s="4" t="str">
        <f>VLOOKUP(G91,Data!$A:$G,5,0)</f>
        <v>Hridaypur</v>
      </c>
      <c r="E91" s="4" t="str">
        <f>VLOOKUP(G91,Data!$A:$G,6,0)</f>
        <v>Asim Halder</v>
      </c>
      <c r="F91" s="10" t="str">
        <f>VLOOKUP(G91,Data!$A:$G,7,0)</f>
        <v>2430315807</v>
      </c>
      <c r="G91" s="5">
        <v>29052</v>
      </c>
      <c r="H91" s="5" t="str">
        <f>VLOOKUP(G91,'FI txn'!$G:$X,18,0)</f>
        <v>&lt; 150</v>
      </c>
      <c r="I91" s="7">
        <f>VLOOKUP(G91,'FI txn'!$G:$H,2,0)</f>
        <v>3</v>
      </c>
      <c r="J91" s="7">
        <f t="shared" si="6"/>
        <v>45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>
        <f t="shared" ref="X91:X104" si="9">W91/I91</f>
        <v>0</v>
      </c>
    </row>
    <row r="92" spans="1:24" x14ac:dyDescent="0.3">
      <c r="A92" s="4" t="str">
        <f>VLOOKUP(G92,Data!$A:$G,2,0)</f>
        <v>Souvik Maity</v>
      </c>
      <c r="B92" s="4" t="str">
        <f>VLOOKUP(G92,Data!$A:$G,3,0)</f>
        <v>Inactive</v>
      </c>
      <c r="C92" s="4" t="str">
        <f>VLOOKUP(G92,Data!$A:$G,4,0)</f>
        <v>Hooghly</v>
      </c>
      <c r="D92" s="4" t="str">
        <f>VLOOKUP(G92,Data!$A:$G,5,0)</f>
        <v>Mangrul</v>
      </c>
      <c r="E92" s="4" t="str">
        <f>VLOOKUP(G92,Data!$A:$G,6,0)</f>
        <v>Prasenjit Ghosh</v>
      </c>
      <c r="F92" s="10" t="str">
        <f>VLOOKUP(G92,Data!$A:$G,7,0)</f>
        <v>2390311944</v>
      </c>
      <c r="G92" s="5">
        <v>22771</v>
      </c>
      <c r="H92" s="5" t="e">
        <f>VLOOKUP(G92,'FI txn'!$G:$X,18,0)</f>
        <v>#DIV/0!</v>
      </c>
      <c r="I92" s="7">
        <f>VLOOKUP(G92,'FI txn'!$G:$H,2,0)</f>
        <v>0</v>
      </c>
      <c r="J92" s="7">
        <f t="shared" si="6"/>
        <v>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 t="e">
        <f t="shared" si="9"/>
        <v>#DIV/0!</v>
      </c>
    </row>
    <row r="93" spans="1:24" x14ac:dyDescent="0.3">
      <c r="A93" s="4" t="str">
        <f>VLOOKUP(G93,Data!$A:$G,2,0)</f>
        <v>Under Office (Birbhum)</v>
      </c>
      <c r="B93" s="4" t="str">
        <f>VLOOKUP(G93,Data!$A:$G,3,0)</f>
        <v>Inactive</v>
      </c>
      <c r="C93" s="4" t="str">
        <f>VLOOKUP(G93,Data!$A:$G,4,0)</f>
        <v>Siliguri</v>
      </c>
      <c r="D93" s="4" t="str">
        <f>VLOOKUP(G93,Data!$A:$G,5,0)</f>
        <v>Mangaldihi</v>
      </c>
      <c r="E93" s="4" t="str">
        <f>VLOOKUP(G93,Data!$A:$G,6,0)</f>
        <v>Swarup Sadhu</v>
      </c>
      <c r="F93" s="10" t="str">
        <f>VLOOKUP(G93,Data!$A:$G,7,0)</f>
        <v>0140311670</v>
      </c>
      <c r="G93" s="5">
        <v>22424</v>
      </c>
      <c r="H93" s="5" t="e">
        <f>VLOOKUP(G93,'FI txn'!$G:$X,18,0)</f>
        <v>#DIV/0!</v>
      </c>
      <c r="I93" s="7">
        <f>VLOOKUP(G93,'FI txn'!$G:$H,2,0)</f>
        <v>0</v>
      </c>
      <c r="J93" s="7">
        <f t="shared" si="6"/>
        <v>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 t="e">
        <f t="shared" si="9"/>
        <v>#DIV/0!</v>
      </c>
    </row>
    <row r="94" spans="1:24" x14ac:dyDescent="0.3">
      <c r="A94" s="4" t="str">
        <f>VLOOKUP(G94,Data!$A:$G,2,0)</f>
        <v>Sunil Biswas</v>
      </c>
      <c r="B94" s="4" t="str">
        <f>VLOOKUP(G94,Data!$A:$G,3,0)</f>
        <v>Inactive</v>
      </c>
      <c r="C94" s="4" t="str">
        <f>VLOOKUP(G94,Data!$A:$G,4,0)</f>
        <v>Durgapur</v>
      </c>
      <c r="D94" s="4" t="str">
        <f>VLOOKUP(G94,Data!$A:$G,5,0)</f>
        <v>Badkulla</v>
      </c>
      <c r="E94" s="4" t="str">
        <f>VLOOKUP(G94,Data!$A:$G,6,0)</f>
        <v>Amit Sikder</v>
      </c>
      <c r="F94" s="10" t="str">
        <f>VLOOKUP(G94,Data!$A:$G,7,0)</f>
        <v>2430315185</v>
      </c>
      <c r="G94" s="5">
        <v>27731</v>
      </c>
      <c r="H94" s="5" t="str">
        <f>VLOOKUP(G94,'FI txn'!$G:$X,18,0)</f>
        <v>&lt; 150</v>
      </c>
      <c r="I94" s="7">
        <f>VLOOKUP(G94,'FI txn'!$G:$H,2,0)</f>
        <v>2</v>
      </c>
      <c r="J94" s="7">
        <f t="shared" si="6"/>
        <v>30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>
        <f t="shared" si="9"/>
        <v>0</v>
      </c>
    </row>
    <row r="95" spans="1:24" x14ac:dyDescent="0.3">
      <c r="A95" s="4" t="str">
        <f>VLOOKUP(G95,Data!$A:$G,2,0)</f>
        <v>Chandi Charan Mahato</v>
      </c>
      <c r="B95" s="4" t="str">
        <f>VLOOKUP(G95,Data!$A:$G,3,0)</f>
        <v>Inactive</v>
      </c>
      <c r="C95" s="4" t="str">
        <f>VLOOKUP(G95,Data!$A:$G,4,0)</f>
        <v>Durgapur</v>
      </c>
      <c r="D95" s="4" t="str">
        <f>VLOOKUP(G95,Data!$A:$G,5,0)</f>
        <v>Kotulpur</v>
      </c>
      <c r="E95" s="4" t="str">
        <f>VLOOKUP(G95,Data!$A:$G,6,0)</f>
        <v>Sayan Dutta</v>
      </c>
      <c r="F95" s="10" t="str">
        <f>VLOOKUP(G95,Data!$A:$G,7,0)</f>
        <v>2160315608</v>
      </c>
      <c r="G95" s="12">
        <v>28601</v>
      </c>
      <c r="H95" s="5" t="str">
        <f>VLOOKUP(G95,'FI txn'!$G:$X,18,0)</f>
        <v>&lt; 150</v>
      </c>
      <c r="I95" s="7">
        <f>VLOOKUP(G95,'FI txn'!$G:$H,2,0)</f>
        <v>1</v>
      </c>
      <c r="J95" s="7">
        <f t="shared" si="6"/>
        <v>15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>
        <f t="shared" si="9"/>
        <v>0</v>
      </c>
    </row>
    <row r="96" spans="1:24" x14ac:dyDescent="0.3">
      <c r="A96" s="4" t="str">
        <f>VLOOKUP(G96,Data!$A:$G,2,0)</f>
        <v>Santanu Bera</v>
      </c>
      <c r="B96" s="4" t="str">
        <f>VLOOKUP(G96,Data!$A:$G,3,0)</f>
        <v>Inactive</v>
      </c>
      <c r="C96" s="4" t="str">
        <f>VLOOKUP(G96,Data!$A:$G,4,0)</f>
        <v>Hooghly</v>
      </c>
      <c r="D96" s="4" t="str">
        <f>VLOOKUP(G96,Data!$A:$G,5,0)</f>
        <v>Contai</v>
      </c>
      <c r="E96" s="4" t="str">
        <f>VLOOKUP(G96,Data!$A:$G,6,0)</f>
        <v>Sulekha Das</v>
      </c>
      <c r="F96" s="10" t="str">
        <f>VLOOKUP(G96,Data!$A:$G,7,0)</f>
        <v>2380314986</v>
      </c>
      <c r="G96" s="12">
        <v>27252</v>
      </c>
      <c r="H96" s="5" t="str">
        <f>VLOOKUP(G96,'FI txn'!$G:$X,18,0)</f>
        <v>Nill</v>
      </c>
      <c r="I96" s="7">
        <f>VLOOKUP(G96,'FI txn'!$G:$H,2,0)</f>
        <v>0</v>
      </c>
      <c r="J96" s="7">
        <f t="shared" si="6"/>
        <v>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 t="e">
        <f t="shared" si="9"/>
        <v>#DIV/0!</v>
      </c>
    </row>
    <row r="97" spans="1:24" x14ac:dyDescent="0.3">
      <c r="A97" s="4" t="str">
        <f>VLOOKUP(G97,Data!$A:$G,2,0)</f>
        <v>Souvik Maity</v>
      </c>
      <c r="B97" s="4" t="str">
        <f>VLOOKUP(G97,Data!$A:$G,3,0)</f>
        <v>Inactive</v>
      </c>
      <c r="C97" s="4" t="str">
        <f>VLOOKUP(G97,Data!$A:$G,4,0)</f>
        <v>Hooghly</v>
      </c>
      <c r="D97" s="4" t="str">
        <f>VLOOKUP(G97,Data!$A:$G,5,0)</f>
        <v>Mayapur</v>
      </c>
      <c r="E97" s="4" t="str">
        <f>VLOOKUP(G97,Data!$A:$G,6,0)</f>
        <v>Falguni Samanta</v>
      </c>
      <c r="F97" s="10" t="str">
        <f>VLOOKUP(G97,Data!$A:$G,7,0)</f>
        <v>3390311256</v>
      </c>
      <c r="G97" s="12">
        <v>21925</v>
      </c>
      <c r="H97" s="5" t="str">
        <f>VLOOKUP(G97,'FI txn'!$G:$X,18,0)</f>
        <v>Nill</v>
      </c>
      <c r="I97" s="7">
        <f>VLOOKUP(G97,'FI txn'!$G:$H,2,0)</f>
        <v>0</v>
      </c>
      <c r="J97" s="7">
        <f t="shared" si="6"/>
        <v>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 t="e">
        <f t="shared" si="9"/>
        <v>#DIV/0!</v>
      </c>
    </row>
    <row r="98" spans="1:24" x14ac:dyDescent="0.3">
      <c r="A98" s="4" t="str">
        <f>VLOOKUP(G98,Data!$A:$G,2,0)</f>
        <v>Chandi Charan Mahato</v>
      </c>
      <c r="B98" s="4" t="str">
        <f>VLOOKUP(G98,Data!$A:$G,3,0)</f>
        <v>Inactive</v>
      </c>
      <c r="C98" s="4" t="str">
        <f>VLOOKUP(G98,Data!$A:$G,4,0)</f>
        <v>Durgapur</v>
      </c>
      <c r="D98" s="4" t="str">
        <f>VLOOKUP(G98,Data!$A:$G,5,0)</f>
        <v>Layekbandh</v>
      </c>
      <c r="E98" s="4" t="str">
        <f>VLOOKUP(G98,Data!$A:$G,6,0)</f>
        <v>Debasis Dey</v>
      </c>
      <c r="F98" s="10" t="str">
        <f>VLOOKUP(G98,Data!$A:$G,7,0)</f>
        <v>2160315158</v>
      </c>
      <c r="G98" s="12">
        <v>27632</v>
      </c>
      <c r="H98" s="5" t="str">
        <f>VLOOKUP(G98,'FI txn'!$G:$X,18,0)</f>
        <v>Nill</v>
      </c>
      <c r="I98" s="7">
        <f>VLOOKUP(G98,'FI txn'!$G:$H,2,0)</f>
        <v>0</v>
      </c>
      <c r="J98" s="7">
        <f t="shared" ref="J98:J129" si="10">I98*15</f>
        <v>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 t="e">
        <f t="shared" si="9"/>
        <v>#DIV/0!</v>
      </c>
    </row>
    <row r="99" spans="1:24" x14ac:dyDescent="0.3">
      <c r="A99" s="4" t="str">
        <f>VLOOKUP(G99,Data!$A:$G,2,0)</f>
        <v>Manindra Nath Barman</v>
      </c>
      <c r="B99" s="4" t="str">
        <f>VLOOKUP(G99,Data!$A:$G,3,0)</f>
        <v>Inactive</v>
      </c>
      <c r="C99" s="4" t="str">
        <f>VLOOKUP(G99,Data!$A:$G,4,0)</f>
        <v>Siliguri</v>
      </c>
      <c r="D99" s="4" t="str">
        <f>VLOOKUP(G99,Data!$A:$G,5,0)</f>
        <v>Maynaguri</v>
      </c>
      <c r="E99" s="4" t="str">
        <f>VLOOKUP(G99,Data!$A:$G,6,0)</f>
        <v>Biswajit Roy</v>
      </c>
      <c r="F99" s="10" t="str">
        <f>VLOOKUP(G99,Data!$A:$G,7,0)</f>
        <v>2310311260</v>
      </c>
      <c r="G99" s="12">
        <v>21929</v>
      </c>
      <c r="H99" s="5" t="str">
        <f>VLOOKUP(G99,'FI txn'!$G:$X,18,0)</f>
        <v>Nill</v>
      </c>
      <c r="I99" s="7">
        <f>VLOOKUP(G99,'FI txn'!$G:$H,2,0)</f>
        <v>0</v>
      </c>
      <c r="J99" s="7">
        <f t="shared" si="10"/>
        <v>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 t="e">
        <f t="shared" si="9"/>
        <v>#DIV/0!</v>
      </c>
    </row>
    <row r="100" spans="1:24" x14ac:dyDescent="0.3">
      <c r="A100" s="4" t="str">
        <f>VLOOKUP(G100,Data!$A:$G,2,0)</f>
        <v>Santanu Bera</v>
      </c>
      <c r="B100" s="4" t="str">
        <f>VLOOKUP(G100,Data!$A:$G,3,0)</f>
        <v>Inactive</v>
      </c>
      <c r="C100" s="4" t="str">
        <f>VLOOKUP(G100,Data!$A:$G,4,0)</f>
        <v>Hooghly</v>
      </c>
      <c r="D100" s="4" t="str">
        <f>VLOOKUP(G100,Data!$A:$G,5,0)</f>
        <v>Contai</v>
      </c>
      <c r="E100" s="4" t="str">
        <f>VLOOKUP(G100,Data!$A:$G,6,0)</f>
        <v>Narayan Ojha</v>
      </c>
      <c r="F100" s="10" t="str">
        <f>VLOOKUP(G100,Data!$A:$G,7,0)</f>
        <v>2380314459</v>
      </c>
      <c r="G100" s="12">
        <v>26507</v>
      </c>
      <c r="H100" s="5" t="str">
        <f>VLOOKUP(G100,'FI txn'!$G:$X,18,0)</f>
        <v>Nill</v>
      </c>
      <c r="I100" s="7">
        <f>VLOOKUP(G100,'FI txn'!$G:$H,2,0)</f>
        <v>0</v>
      </c>
      <c r="J100" s="7">
        <f t="shared" si="10"/>
        <v>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 t="e">
        <f t="shared" si="9"/>
        <v>#DIV/0!</v>
      </c>
    </row>
    <row r="101" spans="1:24" x14ac:dyDescent="0.3">
      <c r="A101" s="4" t="str">
        <f>VLOOKUP(G101,Data!$A:$G,2,0)</f>
        <v>Souvik Maity</v>
      </c>
      <c r="B101" s="4" t="str">
        <f>VLOOKUP(G101,Data!$A:$G,3,0)</f>
        <v>Inactive</v>
      </c>
      <c r="C101" s="4" t="str">
        <f>VLOOKUP(G101,Data!$A:$G,4,0)</f>
        <v>Hooghly</v>
      </c>
      <c r="D101" s="4" t="str">
        <f>VLOOKUP(G101,Data!$A:$G,5,0)</f>
        <v>Arambagh</v>
      </c>
      <c r="E101" s="4" t="str">
        <f>VLOOKUP(G101,Data!$A:$G,6,0)</f>
        <v>Sk Momin Uddin</v>
      </c>
      <c r="F101" s="10" t="str">
        <f>VLOOKUP(G101,Data!$A:$G,7,0)</f>
        <v>3390313207</v>
      </c>
      <c r="G101" s="12">
        <v>24527</v>
      </c>
      <c r="H101" s="5" t="str">
        <f>VLOOKUP(G101,'FI txn'!$G:$X,18,0)</f>
        <v>Nill</v>
      </c>
      <c r="I101" s="7">
        <f>VLOOKUP(G101,'FI txn'!$G:$H,2,0)</f>
        <v>0</v>
      </c>
      <c r="J101" s="7">
        <f t="shared" si="10"/>
        <v>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 t="e">
        <f t="shared" si="9"/>
        <v>#DIV/0!</v>
      </c>
    </row>
    <row r="102" spans="1:24" x14ac:dyDescent="0.3">
      <c r="A102" s="4" t="str">
        <f>VLOOKUP(G102,Data!$A:$G,2,0)</f>
        <v>Under Office (Birbhum)</v>
      </c>
      <c r="B102" s="4" t="str">
        <f>VLOOKUP(G102,Data!$A:$G,3,0)</f>
        <v>Inactive</v>
      </c>
      <c r="C102" s="4" t="str">
        <f>VLOOKUP(G102,Data!$A:$G,4,0)</f>
        <v>Siliguri</v>
      </c>
      <c r="D102" s="4" t="str">
        <f>VLOOKUP(G102,Data!$A:$G,5,0)</f>
        <v>Koytha</v>
      </c>
      <c r="E102" s="4" t="str">
        <f>VLOOKUP(G102,Data!$A:$G,6,0)</f>
        <v>Tamarul Sk</v>
      </c>
      <c r="F102" s="10" t="str">
        <f>VLOOKUP(G102,Data!$A:$G,7,0)</f>
        <v>0140311624</v>
      </c>
      <c r="G102" s="12">
        <v>22361</v>
      </c>
      <c r="H102" s="5" t="str">
        <f>VLOOKUP(G102,'FI txn'!$G:$X,18,0)</f>
        <v>Nill</v>
      </c>
      <c r="I102" s="7">
        <f>VLOOKUP(G102,'FI txn'!$G:$H,2,0)</f>
        <v>0</v>
      </c>
      <c r="J102" s="7">
        <f t="shared" si="10"/>
        <v>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 t="e">
        <f t="shared" si="9"/>
        <v>#DIV/0!</v>
      </c>
    </row>
    <row r="103" spans="1:24" x14ac:dyDescent="0.3">
      <c r="A103" s="4" t="str">
        <f>VLOOKUP(G103,Data!$A:$G,2,0)</f>
        <v>Under Office (Birbhum)</v>
      </c>
      <c r="B103" s="4" t="str">
        <f>VLOOKUP(G103,Data!$A:$G,3,0)</f>
        <v>Inactive</v>
      </c>
      <c r="C103" s="4" t="str">
        <f>VLOOKUP(G103,Data!$A:$G,4,0)</f>
        <v>Siliguri</v>
      </c>
      <c r="D103" s="4" t="str">
        <f>VLOOKUP(G103,Data!$A:$G,5,0)</f>
        <v>Mangaldihi</v>
      </c>
      <c r="E103" s="4" t="str">
        <f>VLOOKUP(G103,Data!$A:$G,6,0)</f>
        <v>Sk Khairul Hossain</v>
      </c>
      <c r="F103" s="10" t="str">
        <f>VLOOKUP(G103,Data!$A:$G,7,0)</f>
        <v>0140310490</v>
      </c>
      <c r="G103" s="12">
        <v>20983</v>
      </c>
      <c r="H103" s="5" t="str">
        <f>VLOOKUP(G103,'FI txn'!$G:$X,18,0)</f>
        <v>Nill</v>
      </c>
      <c r="I103" s="7">
        <f>VLOOKUP(G103,'FI txn'!$G:$H,2,0)</f>
        <v>0</v>
      </c>
      <c r="J103" s="7">
        <f t="shared" si="10"/>
        <v>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9" t="e">
        <f t="shared" si="9"/>
        <v>#DIV/0!</v>
      </c>
    </row>
    <row r="104" spans="1:24" x14ac:dyDescent="0.3">
      <c r="A104" s="4" t="str">
        <f>VLOOKUP(G104,Data!$A:$G,2,0)</f>
        <v>Sunil Biswas</v>
      </c>
      <c r="B104" s="4" t="str">
        <f>VLOOKUP(G104,Data!$A:$G,3,0)</f>
        <v>Inactive</v>
      </c>
      <c r="C104" s="4" t="str">
        <f>VLOOKUP(G104,Data!$A:$G,4,0)</f>
        <v>Durgapur</v>
      </c>
      <c r="D104" s="4" t="str">
        <f>VLOOKUP(G104,Data!$A:$G,5,0)</f>
        <v>Hridaypur</v>
      </c>
      <c r="E104" s="4" t="str">
        <f>VLOOKUP(G104,Data!$A:$G,6,0)</f>
        <v>Saiful Sekh</v>
      </c>
      <c r="F104" s="10" t="str">
        <f>VLOOKUP(G104,Data!$A:$G,7,0)</f>
        <v>2430314735</v>
      </c>
      <c r="G104" s="12">
        <v>26881</v>
      </c>
      <c r="H104" s="5" t="str">
        <f>VLOOKUP(G104,'FI txn'!$G:$X,18,0)</f>
        <v>Nill</v>
      </c>
      <c r="I104" s="7">
        <f>VLOOKUP(G104,'FI txn'!$G:$H,2,0)</f>
        <v>0</v>
      </c>
      <c r="J104" s="7">
        <f t="shared" si="10"/>
        <v>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9" t="e">
        <f t="shared" si="9"/>
        <v>#DIV/0!</v>
      </c>
    </row>
  </sheetData>
  <conditionalFormatting sqref="E1">
    <cfRule type="duplicateValues" dxfId="202" priority="23"/>
    <cfRule type="duplicateValues" dxfId="201" priority="24"/>
    <cfRule type="duplicateValues" dxfId="200" priority="25"/>
    <cfRule type="duplicateValues" dxfId="199" priority="26"/>
    <cfRule type="duplicateValues" dxfId="198" priority="27"/>
    <cfRule type="duplicateValues" dxfId="197" priority="28"/>
    <cfRule type="duplicateValues" dxfId="196" priority="29"/>
  </conditionalFormatting>
  <conditionalFormatting sqref="E105:E1048576">
    <cfRule type="duplicateValues" dxfId="195" priority="43"/>
    <cfRule type="duplicateValues" dxfId="194" priority="44"/>
  </conditionalFormatting>
  <conditionalFormatting sqref="F105:F1048576">
    <cfRule type="duplicateValues" dxfId="193" priority="30"/>
  </conditionalFormatting>
  <conditionalFormatting sqref="G1:G105 G191:G1048576">
    <cfRule type="duplicateValues" dxfId="192" priority="1"/>
  </conditionalFormatting>
  <conditionalFormatting sqref="G105:H105 G191:H1048576 H106:H190">
    <cfRule type="duplicateValues" dxfId="191" priority="31"/>
    <cfRule type="duplicateValues" dxfId="190" priority="32"/>
  </conditionalFormatting>
  <conditionalFormatting sqref="G105:H105 H106:H184">
    <cfRule type="duplicateValues" dxfId="189" priority="33"/>
    <cfRule type="duplicateValues" dxfId="188" priority="40"/>
  </conditionalFormatting>
  <conditionalFormatting sqref="G191:H1048576 H185:H190">
    <cfRule type="duplicateValues" dxfId="187" priority="34"/>
    <cfRule type="duplicateValues" dxfId="186" priority="35"/>
    <cfRule type="duplicateValues" dxfId="185" priority="36"/>
    <cfRule type="duplicateValues" dxfId="184" priority="37"/>
    <cfRule type="duplicateValues" dxfId="183" priority="38"/>
    <cfRule type="duplicateValues" dxfId="182" priority="39"/>
    <cfRule type="duplicateValues" dxfId="181" priority="41"/>
    <cfRule type="duplicateValues" dxfId="180" priority="42"/>
  </conditionalFormatting>
  <conditionalFormatting sqref="K2:V104">
    <cfRule type="cellIs" dxfId="179" priority="16" operator="greaterThan">
      <formula>14</formula>
    </cfRule>
  </conditionalFormatting>
  <conditionalFormatting sqref="W2:W104">
    <cfRule type="top10" dxfId="178" priority="281" rank="3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AC8C-E4A6-4331-9357-6E90141B0897}">
  <dimension ref="A3:AD18"/>
  <sheetViews>
    <sheetView topLeftCell="R1" workbookViewId="0">
      <selection activeCell="AC22" sqref="AC22"/>
    </sheetView>
  </sheetViews>
  <sheetFormatPr defaultRowHeight="14.4" x14ac:dyDescent="0.3"/>
  <cols>
    <col min="1" max="1" width="23.77734375" bestFit="1" customWidth="1"/>
    <col min="2" max="2" width="12.77734375" bestFit="1" customWidth="1"/>
    <col min="3" max="3" width="13.21875" bestFit="1" customWidth="1"/>
    <col min="4" max="4" width="14" bestFit="1" customWidth="1"/>
    <col min="5" max="5" width="13.109375" bestFit="1" customWidth="1"/>
    <col min="6" max="6" width="12.33203125" bestFit="1" customWidth="1"/>
    <col min="7" max="7" width="13.5546875" bestFit="1" customWidth="1"/>
    <col min="8" max="8" width="13.33203125" bestFit="1" customWidth="1"/>
    <col min="9" max="9" width="13.109375" bestFit="1" customWidth="1"/>
    <col min="10" max="10" width="13.6640625" bestFit="1" customWidth="1"/>
    <col min="11" max="11" width="13.33203125" bestFit="1" customWidth="1"/>
    <col min="12" max="12" width="12.88671875" bestFit="1" customWidth="1"/>
    <col min="13" max="13" width="13.21875" bestFit="1" customWidth="1"/>
    <col min="14" max="14" width="13.6640625" bestFit="1" customWidth="1"/>
    <col min="15" max="15" width="15.6640625" bestFit="1" customWidth="1"/>
    <col min="17" max="17" width="23.77734375" bestFit="1" customWidth="1"/>
    <col min="18" max="18" width="14.5546875" bestFit="1" customWidth="1"/>
    <col min="19" max="19" width="15.33203125" bestFit="1" customWidth="1"/>
    <col min="20" max="20" width="14.44140625" bestFit="1" customWidth="1"/>
    <col min="21" max="21" width="13.77734375" bestFit="1" customWidth="1"/>
    <col min="22" max="22" width="14.88671875" bestFit="1" customWidth="1"/>
    <col min="23" max="23" width="14.6640625" bestFit="1" customWidth="1"/>
    <col min="24" max="24" width="14.44140625" bestFit="1" customWidth="1"/>
    <col min="25" max="25" width="15" bestFit="1" customWidth="1"/>
    <col min="26" max="26" width="14.6640625" bestFit="1" customWidth="1"/>
    <col min="27" max="27" width="14.33203125" bestFit="1" customWidth="1"/>
    <col min="28" max="28" width="14.5546875" bestFit="1" customWidth="1"/>
    <col min="29" max="29" width="15" bestFit="1" customWidth="1"/>
    <col min="30" max="30" width="17" bestFit="1" customWidth="1"/>
    <col min="31" max="31" width="15.77734375" bestFit="1" customWidth="1"/>
  </cols>
  <sheetData>
    <row r="3" spans="1:30" x14ac:dyDescent="0.3">
      <c r="A3" s="31" t="s">
        <v>289</v>
      </c>
      <c r="B3" t="s">
        <v>290</v>
      </c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 t="s">
        <v>296</v>
      </c>
      <c r="I3" t="s">
        <v>297</v>
      </c>
      <c r="J3" t="s">
        <v>298</v>
      </c>
      <c r="K3" t="s">
        <v>299</v>
      </c>
      <c r="L3" t="s">
        <v>300</v>
      </c>
      <c r="M3" t="s">
        <v>301</v>
      </c>
      <c r="N3" t="s">
        <v>302</v>
      </c>
      <c r="O3" t="s">
        <v>322</v>
      </c>
      <c r="Q3" s="31" t="s">
        <v>289</v>
      </c>
      <c r="R3" t="s">
        <v>304</v>
      </c>
      <c r="S3" t="s">
        <v>305</v>
      </c>
      <c r="T3" t="s">
        <v>306</v>
      </c>
      <c r="U3" t="s">
        <v>307</v>
      </c>
      <c r="V3" t="s">
        <v>308</v>
      </c>
      <c r="W3" t="s">
        <v>309</v>
      </c>
      <c r="X3" t="s">
        <v>310</v>
      </c>
      <c r="Y3" t="s">
        <v>311</v>
      </c>
      <c r="Z3" t="s">
        <v>312</v>
      </c>
      <c r="AA3" t="s">
        <v>313</v>
      </c>
      <c r="AB3" t="s">
        <v>314</v>
      </c>
      <c r="AC3" t="s">
        <v>315</v>
      </c>
      <c r="AD3" t="s">
        <v>340</v>
      </c>
    </row>
    <row r="4" spans="1:30" x14ac:dyDescent="0.3">
      <c r="A4" s="32" t="s">
        <v>99</v>
      </c>
      <c r="B4" s="33">
        <v>216</v>
      </c>
      <c r="C4" s="276"/>
      <c r="D4" s="276">
        <v>3</v>
      </c>
      <c r="E4" s="276">
        <v>5</v>
      </c>
      <c r="F4" s="276">
        <v>2</v>
      </c>
      <c r="G4" s="276">
        <v>1</v>
      </c>
      <c r="H4" s="276"/>
      <c r="I4" s="276"/>
      <c r="J4" s="276"/>
      <c r="K4" s="276"/>
      <c r="L4" s="276"/>
      <c r="M4" s="276"/>
      <c r="N4" s="276"/>
      <c r="O4" s="33">
        <v>11</v>
      </c>
      <c r="Q4" s="32" t="s">
        <v>99</v>
      </c>
      <c r="R4" s="276"/>
      <c r="S4" s="276">
        <v>1</v>
      </c>
      <c r="T4" s="276">
        <v>1</v>
      </c>
      <c r="U4" s="276">
        <v>1</v>
      </c>
      <c r="V4" s="276">
        <v>1</v>
      </c>
      <c r="W4" s="276"/>
      <c r="X4" s="276"/>
      <c r="Y4" s="276"/>
      <c r="Z4" s="276"/>
      <c r="AA4" s="276"/>
      <c r="AB4" s="276"/>
      <c r="AC4" s="276"/>
      <c r="AD4" s="276">
        <v>2</v>
      </c>
    </row>
    <row r="5" spans="1:30" x14ac:dyDescent="0.3">
      <c r="A5" s="32" t="s">
        <v>97</v>
      </c>
      <c r="B5" s="33">
        <v>336</v>
      </c>
      <c r="C5" s="276">
        <v>9</v>
      </c>
      <c r="D5" s="276">
        <v>18</v>
      </c>
      <c r="E5" s="276">
        <v>10</v>
      </c>
      <c r="F5" s="276">
        <v>5</v>
      </c>
      <c r="G5" s="276">
        <v>12</v>
      </c>
      <c r="H5" s="276">
        <v>1</v>
      </c>
      <c r="I5" s="276"/>
      <c r="J5" s="276"/>
      <c r="K5" s="276"/>
      <c r="L5" s="276"/>
      <c r="M5" s="276"/>
      <c r="N5" s="276"/>
      <c r="O5" s="33">
        <v>55</v>
      </c>
      <c r="Q5" s="32" t="s">
        <v>97</v>
      </c>
      <c r="R5" s="276">
        <v>3</v>
      </c>
      <c r="S5" s="276">
        <v>4</v>
      </c>
      <c r="T5" s="276">
        <v>3</v>
      </c>
      <c r="U5" s="276">
        <v>2</v>
      </c>
      <c r="V5" s="276">
        <v>4</v>
      </c>
      <c r="W5" s="276">
        <v>1</v>
      </c>
      <c r="X5" s="276"/>
      <c r="Y5" s="276"/>
      <c r="Z5" s="276"/>
      <c r="AA5" s="276"/>
      <c r="AB5" s="276"/>
      <c r="AC5" s="276"/>
      <c r="AD5" s="276">
        <v>4</v>
      </c>
    </row>
    <row r="6" spans="1:30" x14ac:dyDescent="0.3">
      <c r="A6" s="32" t="s">
        <v>93</v>
      </c>
      <c r="B6" s="33">
        <v>384</v>
      </c>
      <c r="C6" s="276">
        <v>15</v>
      </c>
      <c r="D6" s="276">
        <v>16</v>
      </c>
      <c r="E6" s="276">
        <v>7</v>
      </c>
      <c r="F6" s="276">
        <v>5</v>
      </c>
      <c r="G6" s="276">
        <v>6</v>
      </c>
      <c r="H6" s="276">
        <v>1</v>
      </c>
      <c r="I6" s="276"/>
      <c r="J6" s="276"/>
      <c r="K6" s="276"/>
      <c r="L6" s="276"/>
      <c r="M6" s="276"/>
      <c r="N6" s="276"/>
      <c r="O6" s="33">
        <v>50</v>
      </c>
      <c r="Q6" s="32" t="s">
        <v>93</v>
      </c>
      <c r="R6" s="276">
        <v>3</v>
      </c>
      <c r="S6" s="276">
        <v>2</v>
      </c>
      <c r="T6" s="276">
        <v>2</v>
      </c>
      <c r="U6" s="276">
        <v>2</v>
      </c>
      <c r="V6" s="276">
        <v>2</v>
      </c>
      <c r="W6" s="276">
        <v>1</v>
      </c>
      <c r="X6" s="276"/>
      <c r="Y6" s="276"/>
      <c r="Z6" s="276"/>
      <c r="AA6" s="276"/>
      <c r="AB6" s="276"/>
      <c r="AC6" s="276"/>
      <c r="AD6" s="276">
        <v>4</v>
      </c>
    </row>
    <row r="7" spans="1:30" x14ac:dyDescent="0.3">
      <c r="A7" s="32" t="s">
        <v>101</v>
      </c>
      <c r="B7" s="33">
        <v>144</v>
      </c>
      <c r="C7" s="276"/>
      <c r="D7" s="276">
        <v>2</v>
      </c>
      <c r="E7" s="276">
        <v>2</v>
      </c>
      <c r="F7" s="276">
        <v>5</v>
      </c>
      <c r="G7" s="276">
        <v>1</v>
      </c>
      <c r="H7" s="276">
        <v>2</v>
      </c>
      <c r="I7" s="276"/>
      <c r="J7" s="276"/>
      <c r="K7" s="276"/>
      <c r="L7" s="276"/>
      <c r="M7" s="276"/>
      <c r="N7" s="276"/>
      <c r="O7" s="33">
        <v>12</v>
      </c>
      <c r="Q7" s="32" t="s">
        <v>101</v>
      </c>
      <c r="R7" s="276"/>
      <c r="S7" s="276">
        <v>1</v>
      </c>
      <c r="T7" s="276">
        <v>1</v>
      </c>
      <c r="U7" s="276">
        <v>1</v>
      </c>
      <c r="V7" s="276">
        <v>1</v>
      </c>
      <c r="W7" s="276">
        <v>1</v>
      </c>
      <c r="X7" s="276"/>
      <c r="Y7" s="276"/>
      <c r="Z7" s="276"/>
      <c r="AA7" s="276"/>
      <c r="AB7" s="276"/>
      <c r="AC7" s="276"/>
      <c r="AD7" s="276">
        <v>1</v>
      </c>
    </row>
    <row r="8" spans="1:30" x14ac:dyDescent="0.3">
      <c r="A8" s="32" t="s">
        <v>102</v>
      </c>
      <c r="B8" s="33">
        <v>216</v>
      </c>
      <c r="C8" s="276">
        <v>16</v>
      </c>
      <c r="D8" s="276">
        <v>53</v>
      </c>
      <c r="E8" s="276">
        <v>13</v>
      </c>
      <c r="F8" s="276">
        <v>11</v>
      </c>
      <c r="G8" s="276">
        <v>11</v>
      </c>
      <c r="H8" s="276">
        <v>2</v>
      </c>
      <c r="I8" s="276"/>
      <c r="J8" s="276"/>
      <c r="K8" s="276"/>
      <c r="L8" s="276"/>
      <c r="M8" s="276"/>
      <c r="N8" s="276"/>
      <c r="O8" s="33">
        <v>106</v>
      </c>
      <c r="Q8" s="32" t="s">
        <v>102</v>
      </c>
      <c r="R8" s="276">
        <v>3</v>
      </c>
      <c r="S8" s="276">
        <v>3</v>
      </c>
      <c r="T8" s="276">
        <v>3</v>
      </c>
      <c r="U8" s="276">
        <v>3</v>
      </c>
      <c r="V8" s="276">
        <v>3</v>
      </c>
      <c r="W8" s="276">
        <v>2</v>
      </c>
      <c r="X8" s="276"/>
      <c r="Y8" s="276"/>
      <c r="Z8" s="276"/>
      <c r="AA8" s="276"/>
      <c r="AB8" s="276"/>
      <c r="AC8" s="276"/>
      <c r="AD8" s="276">
        <v>3</v>
      </c>
    </row>
    <row r="9" spans="1:30" x14ac:dyDescent="0.3">
      <c r="A9" s="32" t="s">
        <v>100</v>
      </c>
      <c r="B9" s="33">
        <v>144</v>
      </c>
      <c r="C9" s="276">
        <v>3</v>
      </c>
      <c r="D9" s="276">
        <v>4</v>
      </c>
      <c r="E9" s="276">
        <v>2</v>
      </c>
      <c r="F9" s="276">
        <v>6</v>
      </c>
      <c r="G9" s="276">
        <v>2</v>
      </c>
      <c r="H9" s="276"/>
      <c r="I9" s="276"/>
      <c r="J9" s="276"/>
      <c r="K9" s="276"/>
      <c r="L9" s="276"/>
      <c r="M9" s="276"/>
      <c r="N9" s="276"/>
      <c r="O9" s="33">
        <v>17</v>
      </c>
      <c r="Q9" s="32" t="s">
        <v>100</v>
      </c>
      <c r="R9" s="276">
        <v>1</v>
      </c>
      <c r="S9" s="276">
        <v>1</v>
      </c>
      <c r="T9" s="276">
        <v>1</v>
      </c>
      <c r="U9" s="276">
        <v>2</v>
      </c>
      <c r="V9" s="276">
        <v>1</v>
      </c>
      <c r="W9" s="276"/>
      <c r="X9" s="276"/>
      <c r="Y9" s="276"/>
      <c r="Z9" s="276"/>
      <c r="AA9" s="276"/>
      <c r="AB9" s="276"/>
      <c r="AC9" s="276"/>
      <c r="AD9" s="276">
        <v>2</v>
      </c>
    </row>
    <row r="10" spans="1:30" x14ac:dyDescent="0.3">
      <c r="A10" s="32" t="s">
        <v>103</v>
      </c>
      <c r="B10" s="33">
        <v>72</v>
      </c>
      <c r="C10" s="276">
        <v>2</v>
      </c>
      <c r="D10" s="276">
        <v>3</v>
      </c>
      <c r="E10" s="276">
        <v>2</v>
      </c>
      <c r="F10" s="276">
        <v>3</v>
      </c>
      <c r="G10" s="276">
        <v>1</v>
      </c>
      <c r="H10" s="276"/>
      <c r="I10" s="276"/>
      <c r="J10" s="276"/>
      <c r="K10" s="276"/>
      <c r="L10" s="276"/>
      <c r="M10" s="276"/>
      <c r="N10" s="276"/>
      <c r="O10" s="33">
        <v>11</v>
      </c>
      <c r="Q10" s="32" t="s">
        <v>103</v>
      </c>
      <c r="R10" s="276">
        <v>1</v>
      </c>
      <c r="S10" s="276">
        <v>1</v>
      </c>
      <c r="T10" s="276">
        <v>1</v>
      </c>
      <c r="U10" s="276">
        <v>1</v>
      </c>
      <c r="V10" s="276">
        <v>1</v>
      </c>
      <c r="W10" s="276"/>
      <c r="X10" s="276"/>
      <c r="Y10" s="276"/>
      <c r="Z10" s="276"/>
      <c r="AA10" s="276"/>
      <c r="AB10" s="276"/>
      <c r="AC10" s="276"/>
      <c r="AD10" s="276">
        <v>1</v>
      </c>
    </row>
    <row r="11" spans="1:30" x14ac:dyDescent="0.3">
      <c r="A11" s="32" t="s">
        <v>95</v>
      </c>
      <c r="B11" s="33">
        <v>408</v>
      </c>
      <c r="C11" s="276">
        <v>2</v>
      </c>
      <c r="D11" s="276">
        <v>5</v>
      </c>
      <c r="E11" s="276"/>
      <c r="F11" s="276">
        <v>1</v>
      </c>
      <c r="G11" s="276"/>
      <c r="H11" s="276"/>
      <c r="I11" s="276"/>
      <c r="J11" s="276"/>
      <c r="K11" s="276"/>
      <c r="L11" s="276"/>
      <c r="M11" s="276"/>
      <c r="N11" s="276"/>
      <c r="O11" s="33">
        <v>8</v>
      </c>
      <c r="Q11" s="32" t="s">
        <v>95</v>
      </c>
      <c r="R11" s="276">
        <v>2</v>
      </c>
      <c r="S11" s="276">
        <v>2</v>
      </c>
      <c r="T11" s="276"/>
      <c r="U11" s="276">
        <v>1</v>
      </c>
      <c r="V11" s="276"/>
      <c r="W11" s="276"/>
      <c r="X11" s="276"/>
      <c r="Y11" s="276"/>
      <c r="Z11" s="276"/>
      <c r="AA11" s="276"/>
      <c r="AB11" s="276"/>
      <c r="AC11" s="276"/>
      <c r="AD11" s="276">
        <v>3</v>
      </c>
    </row>
    <row r="12" spans="1:30" x14ac:dyDescent="0.3">
      <c r="A12" s="32" t="s">
        <v>98</v>
      </c>
      <c r="B12" s="33">
        <v>216</v>
      </c>
      <c r="C12" s="276">
        <v>13</v>
      </c>
      <c r="D12" s="276">
        <v>1</v>
      </c>
      <c r="E12" s="276">
        <v>2</v>
      </c>
      <c r="F12" s="276">
        <v>2</v>
      </c>
      <c r="G12" s="276">
        <v>4</v>
      </c>
      <c r="H12" s="276"/>
      <c r="I12" s="276"/>
      <c r="J12" s="276"/>
      <c r="K12" s="276"/>
      <c r="L12" s="276"/>
      <c r="M12" s="276"/>
      <c r="N12" s="276"/>
      <c r="O12" s="33">
        <v>22</v>
      </c>
      <c r="Q12" s="32" t="s">
        <v>98</v>
      </c>
      <c r="R12" s="276">
        <v>3</v>
      </c>
      <c r="S12" s="276">
        <v>1</v>
      </c>
      <c r="T12" s="276">
        <v>1</v>
      </c>
      <c r="U12" s="276">
        <v>2</v>
      </c>
      <c r="V12" s="276">
        <v>1</v>
      </c>
      <c r="W12" s="276"/>
      <c r="X12" s="276"/>
      <c r="Y12" s="276"/>
      <c r="Z12" s="276"/>
      <c r="AA12" s="276"/>
      <c r="AB12" s="276"/>
      <c r="AC12" s="276"/>
      <c r="AD12" s="276">
        <v>3</v>
      </c>
    </row>
    <row r="13" spans="1:30" x14ac:dyDescent="0.3">
      <c r="A13" s="32" t="s">
        <v>96</v>
      </c>
      <c r="B13" s="33">
        <v>888</v>
      </c>
      <c r="C13" s="276">
        <v>47</v>
      </c>
      <c r="D13" s="276">
        <v>115</v>
      </c>
      <c r="E13" s="276">
        <v>17</v>
      </c>
      <c r="F13" s="276">
        <v>51</v>
      </c>
      <c r="G13" s="276">
        <v>14</v>
      </c>
      <c r="H13" s="276">
        <v>3</v>
      </c>
      <c r="I13" s="276"/>
      <c r="J13" s="276"/>
      <c r="K13" s="276"/>
      <c r="L13" s="276"/>
      <c r="M13" s="276"/>
      <c r="N13" s="276"/>
      <c r="O13" s="33">
        <v>247</v>
      </c>
      <c r="Q13" s="32" t="s">
        <v>96</v>
      </c>
      <c r="R13" s="276">
        <v>4</v>
      </c>
      <c r="S13" s="276">
        <v>6</v>
      </c>
      <c r="T13" s="276">
        <v>4</v>
      </c>
      <c r="U13" s="276">
        <v>4</v>
      </c>
      <c r="V13" s="276">
        <v>3</v>
      </c>
      <c r="W13" s="276">
        <v>3</v>
      </c>
      <c r="X13" s="276"/>
      <c r="Y13" s="276"/>
      <c r="Z13" s="276"/>
      <c r="AA13" s="276"/>
      <c r="AB13" s="276"/>
      <c r="AC13" s="276"/>
      <c r="AD13" s="276">
        <v>7</v>
      </c>
    </row>
    <row r="14" spans="1:30" x14ac:dyDescent="0.3">
      <c r="A14" s="32" t="s">
        <v>345</v>
      </c>
      <c r="B14" s="33">
        <v>456</v>
      </c>
      <c r="C14" s="276">
        <v>7</v>
      </c>
      <c r="D14" s="276">
        <v>6</v>
      </c>
      <c r="E14" s="276">
        <v>11</v>
      </c>
      <c r="F14" s="276">
        <v>6</v>
      </c>
      <c r="G14" s="276">
        <v>5</v>
      </c>
      <c r="H14" s="276">
        <v>1</v>
      </c>
      <c r="I14" s="276"/>
      <c r="J14" s="276"/>
      <c r="K14" s="276"/>
      <c r="L14" s="276"/>
      <c r="M14" s="276"/>
      <c r="N14" s="276"/>
      <c r="O14" s="33">
        <v>36</v>
      </c>
      <c r="Q14" s="32" t="s">
        <v>345</v>
      </c>
      <c r="R14" s="276">
        <v>2</v>
      </c>
      <c r="S14" s="276">
        <v>2</v>
      </c>
      <c r="T14" s="276">
        <v>3</v>
      </c>
      <c r="U14" s="276">
        <v>3</v>
      </c>
      <c r="V14" s="276">
        <v>2</v>
      </c>
      <c r="W14" s="276">
        <v>1</v>
      </c>
      <c r="X14" s="276"/>
      <c r="Y14" s="276"/>
      <c r="Z14" s="276"/>
      <c r="AA14" s="276"/>
      <c r="AB14" s="276"/>
      <c r="AC14" s="276"/>
      <c r="AD14" s="276">
        <v>5</v>
      </c>
    </row>
    <row r="15" spans="1:30" x14ac:dyDescent="0.3">
      <c r="A15" s="32" t="s">
        <v>449</v>
      </c>
      <c r="B15" s="33">
        <v>24</v>
      </c>
      <c r="C15" s="276"/>
      <c r="D15" s="276"/>
      <c r="E15" s="276"/>
      <c r="F15" s="276"/>
      <c r="G15" s="276"/>
      <c r="H15" s="276"/>
      <c r="I15" s="276"/>
      <c r="J15" s="276"/>
      <c r="K15" s="276"/>
      <c r="L15" s="276"/>
      <c r="M15" s="276"/>
      <c r="N15" s="276"/>
      <c r="O15" s="33"/>
      <c r="Q15" s="32" t="s">
        <v>449</v>
      </c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</row>
    <row r="16" spans="1:30" x14ac:dyDescent="0.3">
      <c r="A16" s="32" t="s">
        <v>455</v>
      </c>
      <c r="B16" s="33">
        <v>1104</v>
      </c>
      <c r="C16" s="276">
        <v>34</v>
      </c>
      <c r="D16" s="276">
        <v>82</v>
      </c>
      <c r="E16" s="276">
        <v>62</v>
      </c>
      <c r="F16" s="276">
        <v>41</v>
      </c>
      <c r="G16" s="276">
        <v>26</v>
      </c>
      <c r="H16" s="276">
        <v>7</v>
      </c>
      <c r="I16" s="276"/>
      <c r="J16" s="276"/>
      <c r="K16" s="276"/>
      <c r="L16" s="276"/>
      <c r="M16" s="276"/>
      <c r="N16" s="276"/>
      <c r="O16" s="33">
        <v>252</v>
      </c>
      <c r="Q16" s="32" t="s">
        <v>455</v>
      </c>
      <c r="R16" s="276">
        <v>7</v>
      </c>
      <c r="S16" s="276">
        <v>9</v>
      </c>
      <c r="T16" s="276">
        <v>9</v>
      </c>
      <c r="U16" s="276">
        <v>8</v>
      </c>
      <c r="V16" s="276">
        <v>6</v>
      </c>
      <c r="W16" s="276">
        <v>4</v>
      </c>
      <c r="X16" s="276"/>
      <c r="Y16" s="276"/>
      <c r="Z16" s="276"/>
      <c r="AA16" s="276"/>
      <c r="AB16" s="276"/>
      <c r="AC16" s="276"/>
      <c r="AD16" s="276">
        <v>11</v>
      </c>
    </row>
    <row r="17" spans="1:30" x14ac:dyDescent="0.3">
      <c r="A17" s="32" t="s">
        <v>457</v>
      </c>
      <c r="B17" s="33">
        <v>1368</v>
      </c>
      <c r="C17" s="276">
        <v>65</v>
      </c>
      <c r="D17" s="276">
        <v>118</v>
      </c>
      <c r="E17" s="276">
        <v>84</v>
      </c>
      <c r="F17" s="276">
        <v>101</v>
      </c>
      <c r="G17" s="276">
        <v>141</v>
      </c>
      <c r="H17" s="276">
        <v>29</v>
      </c>
      <c r="I17" s="276"/>
      <c r="J17" s="276"/>
      <c r="K17" s="276"/>
      <c r="L17" s="276"/>
      <c r="M17" s="276"/>
      <c r="N17" s="276"/>
      <c r="O17" s="33">
        <v>538</v>
      </c>
      <c r="Q17" s="32" t="s">
        <v>457</v>
      </c>
      <c r="R17" s="276">
        <v>11</v>
      </c>
      <c r="S17" s="276">
        <v>14</v>
      </c>
      <c r="T17" s="276">
        <v>13</v>
      </c>
      <c r="U17" s="276">
        <v>12</v>
      </c>
      <c r="V17" s="276">
        <v>10</v>
      </c>
      <c r="W17" s="276">
        <v>6</v>
      </c>
      <c r="X17" s="276"/>
      <c r="Y17" s="276"/>
      <c r="Z17" s="276"/>
      <c r="AA17" s="276"/>
      <c r="AB17" s="276"/>
      <c r="AC17" s="276"/>
      <c r="AD17" s="276">
        <v>16</v>
      </c>
    </row>
    <row r="18" spans="1:30" x14ac:dyDescent="0.3">
      <c r="A18" s="32" t="s">
        <v>283</v>
      </c>
      <c r="B18" s="33">
        <v>5976</v>
      </c>
      <c r="C18" s="276">
        <v>213</v>
      </c>
      <c r="D18" s="276">
        <v>426</v>
      </c>
      <c r="E18" s="276">
        <v>217</v>
      </c>
      <c r="F18" s="276">
        <v>239</v>
      </c>
      <c r="G18" s="276">
        <v>224</v>
      </c>
      <c r="H18" s="276">
        <v>46</v>
      </c>
      <c r="I18" s="276"/>
      <c r="J18" s="276"/>
      <c r="K18" s="276"/>
      <c r="L18" s="276"/>
      <c r="M18" s="276"/>
      <c r="N18" s="276"/>
      <c r="O18" s="33">
        <v>1365</v>
      </c>
      <c r="Q18" s="32" t="s">
        <v>283</v>
      </c>
      <c r="R18" s="276">
        <v>40</v>
      </c>
      <c r="S18" s="276">
        <v>47</v>
      </c>
      <c r="T18" s="276">
        <v>42</v>
      </c>
      <c r="U18" s="276">
        <v>42</v>
      </c>
      <c r="V18" s="276">
        <v>35</v>
      </c>
      <c r="W18" s="276">
        <v>19</v>
      </c>
      <c r="X18" s="276"/>
      <c r="Y18" s="276"/>
      <c r="Z18" s="276"/>
      <c r="AA18" s="276"/>
      <c r="AB18" s="276"/>
      <c r="AC18" s="276"/>
      <c r="AD18" s="276">
        <v>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C33D-25E6-43A0-B89E-7E9287D7B701}">
  <dimension ref="A3:M19"/>
  <sheetViews>
    <sheetView workbookViewId="0">
      <selection activeCell="Q15" sqref="Q15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5.44140625" bestFit="1" customWidth="1"/>
    <col min="4" max="5" width="6.44140625" bestFit="1" customWidth="1"/>
    <col min="6" max="9" width="5.44140625" bestFit="1" customWidth="1"/>
    <col min="10" max="10" width="3.6640625" bestFit="1" customWidth="1"/>
    <col min="11" max="11" width="2" bestFit="1" customWidth="1"/>
    <col min="12" max="12" width="7.5546875" bestFit="1" customWidth="1"/>
    <col min="13" max="13" width="10.77734375" bestFit="1" customWidth="1"/>
  </cols>
  <sheetData>
    <row r="3" spans="1:13" x14ac:dyDescent="0.3">
      <c r="A3" s="31" t="s">
        <v>322</v>
      </c>
      <c r="B3" s="31" t="s">
        <v>326</v>
      </c>
    </row>
    <row r="4" spans="1:13" x14ac:dyDescent="0.3">
      <c r="A4" s="31" t="s">
        <v>289</v>
      </c>
      <c r="B4" t="s">
        <v>364</v>
      </c>
      <c r="C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 t="s">
        <v>371</v>
      </c>
      <c r="J4" t="s">
        <v>363</v>
      </c>
      <c r="K4">
        <v>0</v>
      </c>
      <c r="L4" t="s">
        <v>432</v>
      </c>
      <c r="M4" t="s">
        <v>283</v>
      </c>
    </row>
    <row r="5" spans="1:13" x14ac:dyDescent="0.3">
      <c r="A5" s="32" t="s">
        <v>99</v>
      </c>
      <c r="B5" s="276"/>
      <c r="C5" s="276">
        <v>8</v>
      </c>
      <c r="D5" s="276"/>
      <c r="E5" s="276"/>
      <c r="F5" s="276"/>
      <c r="G5" s="276"/>
      <c r="H5" s="276">
        <v>3</v>
      </c>
      <c r="I5" s="276"/>
      <c r="J5" s="276"/>
      <c r="K5" s="276"/>
      <c r="L5" s="276"/>
      <c r="M5" s="276">
        <v>11</v>
      </c>
    </row>
    <row r="6" spans="1:13" x14ac:dyDescent="0.3">
      <c r="A6" s="32" t="s">
        <v>97</v>
      </c>
      <c r="B6" s="276">
        <v>9</v>
      </c>
      <c r="C6" s="276"/>
      <c r="D6" s="276"/>
      <c r="E6" s="276"/>
      <c r="F6" s="276">
        <v>46</v>
      </c>
      <c r="G6" s="276"/>
      <c r="H6" s="276"/>
      <c r="I6" s="276"/>
      <c r="J6" s="276"/>
      <c r="K6" s="276"/>
      <c r="L6" s="276"/>
      <c r="M6" s="276">
        <v>55</v>
      </c>
    </row>
    <row r="7" spans="1:13" x14ac:dyDescent="0.3">
      <c r="A7" s="32" t="s">
        <v>93</v>
      </c>
      <c r="B7" s="276">
        <v>13</v>
      </c>
      <c r="C7" s="276">
        <v>37</v>
      </c>
      <c r="D7" s="276"/>
      <c r="E7" s="276"/>
      <c r="F7" s="276"/>
      <c r="G7" s="276"/>
      <c r="H7" s="276"/>
      <c r="I7" s="276"/>
      <c r="J7" s="276"/>
      <c r="K7" s="276"/>
      <c r="L7" s="276"/>
      <c r="M7" s="276">
        <v>50</v>
      </c>
    </row>
    <row r="8" spans="1:13" x14ac:dyDescent="0.3">
      <c r="A8" s="32" t="s">
        <v>101</v>
      </c>
      <c r="B8" s="276">
        <v>12</v>
      </c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>
        <v>12</v>
      </c>
    </row>
    <row r="9" spans="1:13" x14ac:dyDescent="0.3">
      <c r="A9" s="32" t="s">
        <v>102</v>
      </c>
      <c r="B9" s="276"/>
      <c r="C9" s="276"/>
      <c r="D9" s="276"/>
      <c r="E9" s="276"/>
      <c r="F9" s="276">
        <v>18</v>
      </c>
      <c r="G9" s="276">
        <v>43</v>
      </c>
      <c r="H9" s="276"/>
      <c r="I9" s="276">
        <v>45</v>
      </c>
      <c r="J9" s="276"/>
      <c r="K9" s="276"/>
      <c r="L9" s="276"/>
      <c r="M9" s="276">
        <v>106</v>
      </c>
    </row>
    <row r="10" spans="1:13" x14ac:dyDescent="0.3">
      <c r="A10" s="32" t="s">
        <v>100</v>
      </c>
      <c r="B10" s="276"/>
      <c r="C10" s="276"/>
      <c r="D10" s="276"/>
      <c r="E10" s="276"/>
      <c r="F10" s="276"/>
      <c r="G10" s="276">
        <v>16</v>
      </c>
      <c r="H10" s="276"/>
      <c r="I10" s="276">
        <v>1</v>
      </c>
      <c r="J10" s="276"/>
      <c r="K10" s="276"/>
      <c r="L10" s="276"/>
      <c r="M10" s="276">
        <v>17</v>
      </c>
    </row>
    <row r="11" spans="1:13" x14ac:dyDescent="0.3">
      <c r="A11" s="32" t="s">
        <v>103</v>
      </c>
      <c r="B11" s="276"/>
      <c r="C11" s="276">
        <v>11</v>
      </c>
      <c r="D11" s="276"/>
      <c r="E11" s="276"/>
      <c r="F11" s="276"/>
      <c r="G11" s="276"/>
      <c r="H11" s="276"/>
      <c r="I11" s="276"/>
      <c r="J11" s="276"/>
      <c r="K11" s="276"/>
      <c r="L11" s="276"/>
      <c r="M11" s="276">
        <v>11</v>
      </c>
    </row>
    <row r="12" spans="1:13" x14ac:dyDescent="0.3">
      <c r="A12" s="32" t="s">
        <v>95</v>
      </c>
      <c r="B12" s="276">
        <v>8</v>
      </c>
      <c r="C12" s="276"/>
      <c r="D12" s="276"/>
      <c r="E12" s="276"/>
      <c r="F12" s="276"/>
      <c r="G12" s="276"/>
      <c r="H12" s="276"/>
      <c r="I12" s="276"/>
      <c r="J12" s="276"/>
      <c r="K12" s="276"/>
      <c r="L12" s="276"/>
      <c r="M12" s="276">
        <v>8</v>
      </c>
    </row>
    <row r="13" spans="1:13" x14ac:dyDescent="0.3">
      <c r="A13" s="32" t="s">
        <v>98</v>
      </c>
      <c r="B13" s="276">
        <v>10</v>
      </c>
      <c r="C13" s="276">
        <v>7</v>
      </c>
      <c r="D13" s="276"/>
      <c r="E13" s="276"/>
      <c r="F13" s="276"/>
      <c r="G13" s="276">
        <v>5</v>
      </c>
      <c r="H13" s="276"/>
      <c r="I13" s="276"/>
      <c r="J13" s="276"/>
      <c r="K13" s="276"/>
      <c r="L13" s="276"/>
      <c r="M13" s="276">
        <v>22</v>
      </c>
    </row>
    <row r="14" spans="1:13" x14ac:dyDescent="0.3">
      <c r="A14" s="32" t="s">
        <v>96</v>
      </c>
      <c r="B14" s="276">
        <v>31</v>
      </c>
      <c r="C14" s="276">
        <v>6</v>
      </c>
      <c r="D14" s="276"/>
      <c r="E14" s="276"/>
      <c r="F14" s="276">
        <v>210</v>
      </c>
      <c r="G14" s="276"/>
      <c r="H14" s="276"/>
      <c r="I14" s="276"/>
      <c r="J14" s="276"/>
      <c r="K14" s="276"/>
      <c r="L14" s="276"/>
      <c r="M14" s="276">
        <v>247</v>
      </c>
    </row>
    <row r="15" spans="1:13" x14ac:dyDescent="0.3">
      <c r="A15" s="32" t="s">
        <v>345</v>
      </c>
      <c r="B15" s="276"/>
      <c r="C15" s="276"/>
      <c r="D15" s="276"/>
      <c r="E15" s="276"/>
      <c r="F15" s="276">
        <v>9</v>
      </c>
      <c r="G15" s="276">
        <v>10</v>
      </c>
      <c r="H15" s="276">
        <v>2</v>
      </c>
      <c r="I15" s="276">
        <v>15</v>
      </c>
      <c r="J15" s="276"/>
      <c r="K15" s="276"/>
      <c r="L15" s="276"/>
      <c r="M15" s="276">
        <v>36</v>
      </c>
    </row>
    <row r="16" spans="1:13" x14ac:dyDescent="0.3">
      <c r="A16" s="32" t="s">
        <v>449</v>
      </c>
      <c r="B16" s="276"/>
      <c r="C16" s="276"/>
      <c r="D16" s="276"/>
      <c r="E16" s="276"/>
      <c r="F16" s="276"/>
      <c r="G16" s="276"/>
      <c r="H16" s="276"/>
      <c r="I16" s="276"/>
      <c r="J16" s="276"/>
      <c r="K16" s="276"/>
      <c r="L16" s="276"/>
      <c r="M16" s="276"/>
    </row>
    <row r="17" spans="1:13" x14ac:dyDescent="0.3">
      <c r="A17" s="32" t="s">
        <v>455</v>
      </c>
      <c r="B17" s="276"/>
      <c r="C17" s="276">
        <v>21</v>
      </c>
      <c r="D17" s="276">
        <v>25</v>
      </c>
      <c r="E17" s="276"/>
      <c r="F17" s="276">
        <v>36</v>
      </c>
      <c r="G17" s="276">
        <v>37</v>
      </c>
      <c r="H17" s="276">
        <v>130</v>
      </c>
      <c r="I17" s="276"/>
      <c r="J17" s="276">
        <v>3</v>
      </c>
      <c r="K17" s="276"/>
      <c r="L17" s="276"/>
      <c r="M17" s="276">
        <v>252</v>
      </c>
    </row>
    <row r="18" spans="1:13" x14ac:dyDescent="0.3">
      <c r="A18" s="32" t="s">
        <v>457</v>
      </c>
      <c r="B18" s="276">
        <v>13</v>
      </c>
      <c r="C18" s="276">
        <v>30</v>
      </c>
      <c r="D18" s="276">
        <v>17</v>
      </c>
      <c r="E18" s="276">
        <v>110</v>
      </c>
      <c r="F18" s="276">
        <v>43</v>
      </c>
      <c r="G18" s="276">
        <v>289</v>
      </c>
      <c r="H18" s="276">
        <v>3</v>
      </c>
      <c r="I18" s="276">
        <v>33</v>
      </c>
      <c r="J18" s="276"/>
      <c r="K18" s="276"/>
      <c r="L18" s="276"/>
      <c r="M18" s="276">
        <v>538</v>
      </c>
    </row>
    <row r="19" spans="1:13" x14ac:dyDescent="0.3">
      <c r="A19" s="32" t="s">
        <v>283</v>
      </c>
      <c r="B19" s="276">
        <v>96</v>
      </c>
      <c r="C19" s="276">
        <v>120</v>
      </c>
      <c r="D19" s="276">
        <v>42</v>
      </c>
      <c r="E19" s="276">
        <v>110</v>
      </c>
      <c r="F19" s="276">
        <v>362</v>
      </c>
      <c r="G19" s="276">
        <v>400</v>
      </c>
      <c r="H19" s="276">
        <v>138</v>
      </c>
      <c r="I19" s="276">
        <v>94</v>
      </c>
      <c r="J19" s="276">
        <v>3</v>
      </c>
      <c r="K19" s="276"/>
      <c r="L19" s="276"/>
      <c r="M19" s="276">
        <v>1365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3321-BA23-41D3-9AEB-5C7392CA07D8}">
  <dimension ref="A3:N8"/>
  <sheetViews>
    <sheetView workbookViewId="0">
      <selection activeCell="I14" sqref="I14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4" bestFit="1" customWidth="1"/>
    <col min="4" max="4" width="13.109375" bestFit="1" customWidth="1"/>
    <col min="5" max="5" width="12.33203125" bestFit="1" customWidth="1"/>
    <col min="6" max="6" width="13.5546875" bestFit="1" customWidth="1"/>
    <col min="7" max="7" width="13.33203125" bestFit="1" customWidth="1"/>
    <col min="8" max="8" width="13.109375" bestFit="1" customWidth="1"/>
    <col min="9" max="9" width="13.6640625" bestFit="1" customWidth="1"/>
    <col min="10" max="10" width="13.33203125" bestFit="1" customWidth="1"/>
    <col min="11" max="11" width="12.88671875" bestFit="1" customWidth="1"/>
    <col min="12" max="12" width="13.21875" bestFit="1" customWidth="1"/>
    <col min="13" max="13" width="13.6640625" bestFit="1" customWidth="1"/>
    <col min="14" max="14" width="15.6640625" bestFit="1" customWidth="1"/>
  </cols>
  <sheetData>
    <row r="3" spans="1:14" x14ac:dyDescent="0.3">
      <c r="A3" s="31" t="s">
        <v>289</v>
      </c>
      <c r="B3" t="s">
        <v>291</v>
      </c>
      <c r="C3" t="s">
        <v>292</v>
      </c>
      <c r="D3" t="s">
        <v>293</v>
      </c>
      <c r="E3" t="s">
        <v>294</v>
      </c>
      <c r="F3" t="s">
        <v>295</v>
      </c>
      <c r="G3" t="s">
        <v>296</v>
      </c>
      <c r="H3" t="s">
        <v>297</v>
      </c>
      <c r="I3" t="s">
        <v>298</v>
      </c>
      <c r="J3" t="s">
        <v>299</v>
      </c>
      <c r="K3" t="s">
        <v>300</v>
      </c>
      <c r="L3" t="s">
        <v>301</v>
      </c>
      <c r="M3" t="s">
        <v>302</v>
      </c>
      <c r="N3" t="s">
        <v>322</v>
      </c>
    </row>
    <row r="4" spans="1:14" x14ac:dyDescent="0.3">
      <c r="A4" s="32" t="s">
        <v>278</v>
      </c>
      <c r="B4" s="276">
        <v>72</v>
      </c>
      <c r="C4" s="276">
        <v>186</v>
      </c>
      <c r="D4" s="276">
        <v>40</v>
      </c>
      <c r="E4" s="276">
        <v>67</v>
      </c>
      <c r="F4" s="276">
        <v>37</v>
      </c>
      <c r="G4" s="276">
        <v>6</v>
      </c>
      <c r="H4" s="276"/>
      <c r="I4" s="276"/>
      <c r="J4" s="276"/>
      <c r="K4" s="276"/>
      <c r="L4" s="276"/>
      <c r="M4" s="276"/>
      <c r="N4" s="276">
        <v>408</v>
      </c>
    </row>
    <row r="5" spans="1:14" x14ac:dyDescent="0.3">
      <c r="A5" s="32" t="s">
        <v>276</v>
      </c>
      <c r="B5" s="276">
        <v>101</v>
      </c>
      <c r="C5" s="276">
        <v>205</v>
      </c>
      <c r="D5" s="276">
        <v>146</v>
      </c>
      <c r="E5" s="276">
        <v>143</v>
      </c>
      <c r="F5" s="276">
        <v>167</v>
      </c>
      <c r="G5" s="276">
        <v>36</v>
      </c>
      <c r="H5" s="276"/>
      <c r="I5" s="276"/>
      <c r="J5" s="276"/>
      <c r="K5" s="276"/>
      <c r="L5" s="276"/>
      <c r="M5" s="276"/>
      <c r="N5" s="276">
        <v>798</v>
      </c>
    </row>
    <row r="6" spans="1:14" x14ac:dyDescent="0.3">
      <c r="A6" s="32" t="s">
        <v>277</v>
      </c>
      <c r="B6" s="276">
        <v>40</v>
      </c>
      <c r="C6" s="276">
        <v>35</v>
      </c>
      <c r="D6" s="276">
        <v>31</v>
      </c>
      <c r="E6" s="276">
        <v>29</v>
      </c>
      <c r="F6" s="276">
        <v>20</v>
      </c>
      <c r="G6" s="276">
        <v>4</v>
      </c>
      <c r="H6" s="276"/>
      <c r="I6" s="276"/>
      <c r="J6" s="276"/>
      <c r="K6" s="276"/>
      <c r="L6" s="276"/>
      <c r="M6" s="276"/>
      <c r="N6" s="276">
        <v>159</v>
      </c>
    </row>
    <row r="7" spans="1:14" x14ac:dyDescent="0.3">
      <c r="A7" s="32" t="s">
        <v>450</v>
      </c>
      <c r="B7" s="276"/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</row>
    <row r="8" spans="1:14" x14ac:dyDescent="0.3">
      <c r="A8" s="32" t="s">
        <v>283</v>
      </c>
      <c r="B8" s="276">
        <v>213</v>
      </c>
      <c r="C8" s="276">
        <v>426</v>
      </c>
      <c r="D8" s="276">
        <v>217</v>
      </c>
      <c r="E8" s="276">
        <v>239</v>
      </c>
      <c r="F8" s="276">
        <v>224</v>
      </c>
      <c r="G8" s="276">
        <v>46</v>
      </c>
      <c r="H8" s="276"/>
      <c r="I8" s="276"/>
      <c r="J8" s="276"/>
      <c r="K8" s="276"/>
      <c r="L8" s="276"/>
      <c r="M8" s="276"/>
      <c r="N8" s="276">
        <v>1365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E60B-CCBC-43B8-A6C4-110C6667D9F1}">
  <sheetPr codeName="Sheet4"/>
  <dimension ref="A1:X104"/>
  <sheetViews>
    <sheetView topLeftCell="D1" workbookViewId="0">
      <pane ySplit="1" topLeftCell="A2" activePane="bottomLeft" state="frozen"/>
      <selection pane="bottomLeft" activeCell="O2" sqref="O2:O104"/>
    </sheetView>
  </sheetViews>
  <sheetFormatPr defaultRowHeight="14.4" x14ac:dyDescent="0.3"/>
  <cols>
    <col min="1" max="1" width="21.109375" style="2" bestFit="1" customWidth="1"/>
    <col min="2" max="2" width="7.77734375" style="2" bestFit="1" customWidth="1"/>
    <col min="3" max="3" width="8.88671875" style="2" bestFit="1" customWidth="1"/>
    <col min="4" max="4" width="16.88671875" style="2" bestFit="1" customWidth="1"/>
    <col min="5" max="5" width="25.5546875" style="2" bestFit="1" customWidth="1"/>
    <col min="6" max="6" width="11" style="11" bestFit="1" customWidth="1"/>
    <col min="7" max="7" width="8.33203125" style="6" bestFit="1" customWidth="1"/>
    <col min="8" max="8" width="12.44140625" style="6" bestFit="1" customWidth="1"/>
    <col min="9" max="9" width="6.77734375" bestFit="1" customWidth="1"/>
    <col min="10" max="10" width="6.77734375" customWidth="1"/>
    <col min="11" max="11" width="7.44140625" bestFit="1" customWidth="1"/>
    <col min="12" max="12" width="7.44140625" customWidth="1"/>
    <col min="13" max="13" width="6.5546875" bestFit="1" customWidth="1"/>
    <col min="14" max="14" width="6" bestFit="1" customWidth="1"/>
    <col min="15" max="15" width="7" bestFit="1" customWidth="1"/>
    <col min="16" max="16" width="6.77734375" bestFit="1" customWidth="1"/>
    <col min="17" max="17" width="6.5546875" bestFit="1" customWidth="1"/>
    <col min="18" max="18" width="7.109375" bestFit="1" customWidth="1"/>
    <col min="19" max="19" width="6.77734375" bestFit="1" customWidth="1"/>
    <col min="20" max="20" width="6.44140625" bestFit="1" customWidth="1"/>
    <col min="21" max="21" width="6.77734375" bestFit="1" customWidth="1"/>
    <col min="22" max="22" width="7.109375" bestFit="1" customWidth="1"/>
    <col min="23" max="23" width="11.21875" bestFit="1" customWidth="1"/>
    <col min="24" max="24" width="8" bestFit="1" customWidth="1"/>
  </cols>
  <sheetData>
    <row r="1" spans="1:24" x14ac:dyDescent="0.3">
      <c r="A1" s="13" t="s">
        <v>264</v>
      </c>
      <c r="B1" s="13" t="s">
        <v>271</v>
      </c>
      <c r="C1" s="13" t="s">
        <v>272</v>
      </c>
      <c r="D1" s="13" t="s">
        <v>263</v>
      </c>
      <c r="E1" s="13" t="s">
        <v>265</v>
      </c>
      <c r="F1" s="14" t="s">
        <v>266</v>
      </c>
      <c r="G1" s="1" t="s">
        <v>267</v>
      </c>
      <c r="H1" s="1" t="s">
        <v>374</v>
      </c>
      <c r="I1" s="15" t="s">
        <v>268</v>
      </c>
      <c r="J1" s="15" t="s">
        <v>280</v>
      </c>
      <c r="K1" s="15">
        <v>46113</v>
      </c>
      <c r="L1" s="15">
        <v>46143</v>
      </c>
      <c r="M1" s="15">
        <v>46174</v>
      </c>
      <c r="N1" s="15">
        <v>46204</v>
      </c>
      <c r="O1" s="15">
        <v>46235</v>
      </c>
      <c r="P1" s="15">
        <v>46266</v>
      </c>
      <c r="Q1" s="15">
        <v>46296</v>
      </c>
      <c r="R1" s="15">
        <v>46327</v>
      </c>
      <c r="S1" s="15">
        <v>46357</v>
      </c>
      <c r="T1" s="15">
        <v>46388</v>
      </c>
      <c r="U1" s="15">
        <v>46419</v>
      </c>
      <c r="V1" s="15">
        <v>46447</v>
      </c>
      <c r="W1" s="13" t="s">
        <v>317</v>
      </c>
      <c r="X1" s="15" t="s">
        <v>270</v>
      </c>
    </row>
    <row r="2" spans="1:24" x14ac:dyDescent="0.3">
      <c r="A2" s="4" t="str">
        <f>VLOOKUP(G2,Data!$A:$G,2,0)</f>
        <v>Under Office (W Medinipur)</v>
      </c>
      <c r="B2" s="4" t="str">
        <f>VLOOKUP(G2,Data!$A:$G,3,0)</f>
        <v>Active</v>
      </c>
      <c r="C2" s="4" t="str">
        <f>VLOOKUP(G2,Data!$A:$G,4,0)</f>
        <v>Hooghly</v>
      </c>
      <c r="D2" s="4" t="str">
        <f>VLOOKUP(G2,Data!$A:$G,5,0)</f>
        <v>Guiadaha</v>
      </c>
      <c r="E2" s="4" t="str">
        <f>VLOOKUP(G2,Data!$A:$G,6,0)</f>
        <v>Munmun Chakraborty</v>
      </c>
      <c r="F2" s="10" t="str">
        <f>VLOOKUP(G2,Data!$A:$G,7,0)</f>
        <v>2390312218</v>
      </c>
      <c r="G2" s="5">
        <v>23142</v>
      </c>
      <c r="H2" s="5" t="str">
        <f>VLOOKUP(G2,'FI txn'!$G:$X,18,0)</f>
        <v>&gt; 450</v>
      </c>
      <c r="I2" s="7">
        <f>VLOOKUP(G2,'FI txn'!$G:$H,2,0)</f>
        <v>6</v>
      </c>
      <c r="J2" s="7">
        <f t="shared" ref="J2:J33" si="0">I2*12</f>
        <v>72</v>
      </c>
      <c r="K2" s="8">
        <v>27</v>
      </c>
      <c r="L2" s="8">
        <v>7</v>
      </c>
      <c r="M2" s="8">
        <v>20</v>
      </c>
      <c r="N2" s="8">
        <v>26</v>
      </c>
      <c r="O2" s="8">
        <v>52</v>
      </c>
      <c r="P2" s="8">
        <v>2</v>
      </c>
      <c r="Q2" s="8"/>
      <c r="R2" s="8"/>
      <c r="S2" s="8"/>
      <c r="T2" s="8"/>
      <c r="U2" s="8"/>
      <c r="V2" s="8"/>
      <c r="W2" s="8">
        <f t="shared" ref="W2:W33" si="1">SUM(K2:V2)</f>
        <v>134</v>
      </c>
      <c r="X2" s="9">
        <f t="shared" ref="X2:X40" si="2">W2/I2</f>
        <v>22.333333333333332</v>
      </c>
    </row>
    <row r="3" spans="1:24" x14ac:dyDescent="0.3">
      <c r="A3" s="4" t="str">
        <f>VLOOKUP(G3,Data!$A:$G,2,0)</f>
        <v>Under Office (W Medinipur)</v>
      </c>
      <c r="B3" s="4" t="str">
        <f>VLOOKUP(G3,Data!$A:$G,3,0)</f>
        <v>Active</v>
      </c>
      <c r="C3" s="4" t="str">
        <f>VLOOKUP(G3,Data!$A:$G,4,0)</f>
        <v>Hooghly</v>
      </c>
      <c r="D3" s="4" t="str">
        <f>VLOOKUP(G3,Data!$A:$G,5,0)</f>
        <v>Nayabasat</v>
      </c>
      <c r="E3" s="4" t="str">
        <f>VLOOKUP(G3,Data!$A:$G,6,0)</f>
        <v>Mousumi Chanda Dey</v>
      </c>
      <c r="F3" s="10" t="str">
        <f>VLOOKUP(G3,Data!$A:$G,7,0)</f>
        <v>2390315855</v>
      </c>
      <c r="G3" s="5">
        <v>29123</v>
      </c>
      <c r="H3" s="5" t="str">
        <f>VLOOKUP(G3,'FI txn'!$G:$X,18,0)</f>
        <v>&gt; 450</v>
      </c>
      <c r="I3" s="7">
        <f>VLOOKUP(G3,'FI txn'!$G:$H,2,0)</f>
        <v>6</v>
      </c>
      <c r="J3" s="7">
        <f t="shared" si="0"/>
        <v>72</v>
      </c>
      <c r="K3" s="8">
        <v>15</v>
      </c>
      <c r="L3" s="8">
        <v>36</v>
      </c>
      <c r="M3" s="8">
        <v>6</v>
      </c>
      <c r="N3" s="8">
        <v>26</v>
      </c>
      <c r="O3" s="8">
        <v>36</v>
      </c>
      <c r="P3" s="8">
        <v>17</v>
      </c>
      <c r="Q3" s="8"/>
      <c r="R3" s="8"/>
      <c r="S3" s="8"/>
      <c r="T3" s="8"/>
      <c r="U3" s="8"/>
      <c r="V3" s="8"/>
      <c r="W3" s="8">
        <f t="shared" si="1"/>
        <v>136</v>
      </c>
      <c r="X3" s="9">
        <f t="shared" si="2"/>
        <v>22.666666666666668</v>
      </c>
    </row>
    <row r="4" spans="1:24" x14ac:dyDescent="0.3">
      <c r="A4" s="4" t="str">
        <f>VLOOKUP(G4,Data!$A:$G,2,0)</f>
        <v>Under Office (W Medinipur)</v>
      </c>
      <c r="B4" s="4" t="str">
        <f>VLOOKUP(G4,Data!$A:$G,3,0)</f>
        <v>Active</v>
      </c>
      <c r="C4" s="4" t="str">
        <f>VLOOKUP(G4,Data!$A:$G,4,0)</f>
        <v>Hooghly</v>
      </c>
      <c r="D4" s="4" t="str">
        <f>VLOOKUP(G4,Data!$A:$G,5,0)</f>
        <v>Palaschabrighat</v>
      </c>
      <c r="E4" s="4" t="str">
        <f>VLOOKUP(G4,Data!$A:$G,6,0)</f>
        <v>Asima Bhunia</v>
      </c>
      <c r="F4" s="10" t="str">
        <f>VLOOKUP(G4,Data!$A:$G,7,0)</f>
        <v>2390311420</v>
      </c>
      <c r="G4" s="5">
        <v>22126</v>
      </c>
      <c r="H4" s="5" t="str">
        <f>VLOOKUP(G4,'FI txn'!$G:$X,18,0)</f>
        <v>&gt; 2000</v>
      </c>
      <c r="I4" s="7">
        <f>VLOOKUP(G4,'FI txn'!$G:$H,2,0)</f>
        <v>6</v>
      </c>
      <c r="J4" s="7">
        <f t="shared" si="0"/>
        <v>72</v>
      </c>
      <c r="K4" s="8">
        <v>1</v>
      </c>
      <c r="L4" s="8">
        <v>8</v>
      </c>
      <c r="M4" s="8">
        <v>6</v>
      </c>
      <c r="N4" s="8">
        <v>1</v>
      </c>
      <c r="O4" s="8">
        <v>19</v>
      </c>
      <c r="P4" s="8"/>
      <c r="Q4" s="8"/>
      <c r="R4" s="8"/>
      <c r="S4" s="8"/>
      <c r="T4" s="8"/>
      <c r="U4" s="8"/>
      <c r="V4" s="8"/>
      <c r="W4" s="8">
        <f t="shared" si="1"/>
        <v>35</v>
      </c>
      <c r="X4" s="9">
        <f t="shared" si="2"/>
        <v>5.833333333333333</v>
      </c>
    </row>
    <row r="5" spans="1:24" x14ac:dyDescent="0.3">
      <c r="A5" s="4" t="str">
        <f>VLOOKUP(G5,Data!$A:$G,2,0)</f>
        <v>Souvik Maity</v>
      </c>
      <c r="B5" s="4" t="str">
        <f>VLOOKUP(G5,Data!$A:$G,3,0)</f>
        <v>Active</v>
      </c>
      <c r="C5" s="4" t="str">
        <f>VLOOKUP(G5,Data!$A:$G,4,0)</f>
        <v>Hooghly</v>
      </c>
      <c r="D5" s="4" t="str">
        <f>VLOOKUP(G5,Data!$A:$G,5,0)</f>
        <v>Jirat</v>
      </c>
      <c r="E5" s="4" t="str">
        <f>VLOOKUP(G5,Data!$A:$G,6,0)</f>
        <v>Sahadeb Chakraborty</v>
      </c>
      <c r="F5" s="10" t="str">
        <f>VLOOKUP(G5,Data!$A:$G,7,0)</f>
        <v>3390314204</v>
      </c>
      <c r="G5" s="5">
        <v>26084</v>
      </c>
      <c r="H5" s="5" t="str">
        <f>VLOOKUP(G5,'FI txn'!$G:$X,18,0)</f>
        <v>&gt; 600</v>
      </c>
      <c r="I5" s="7">
        <f>VLOOKUP(G5,'FI txn'!$G:$H,2,0)</f>
        <v>6</v>
      </c>
      <c r="J5" s="7">
        <f t="shared" si="0"/>
        <v>72</v>
      </c>
      <c r="K5" s="8">
        <v>10</v>
      </c>
      <c r="L5" s="8">
        <v>29</v>
      </c>
      <c r="M5" s="8">
        <v>26</v>
      </c>
      <c r="N5" s="8">
        <v>21</v>
      </c>
      <c r="O5" s="8">
        <v>17</v>
      </c>
      <c r="P5" s="8">
        <v>4</v>
      </c>
      <c r="Q5" s="8"/>
      <c r="R5" s="8"/>
      <c r="S5" s="8"/>
      <c r="T5" s="8"/>
      <c r="U5" s="8"/>
      <c r="V5" s="8"/>
      <c r="W5" s="8">
        <f t="shared" si="1"/>
        <v>107</v>
      </c>
      <c r="X5" s="9">
        <f t="shared" si="2"/>
        <v>17.833333333333332</v>
      </c>
    </row>
    <row r="6" spans="1:24" x14ac:dyDescent="0.3">
      <c r="A6" s="4" t="str">
        <f>VLOOKUP(G6,Data!$A:$G,2,0)</f>
        <v>Under Office (W Medinipur)</v>
      </c>
      <c r="B6" s="4" t="str">
        <f>VLOOKUP(G6,Data!$A:$G,3,0)</f>
        <v>Active</v>
      </c>
      <c r="C6" s="4" t="str">
        <f>VLOOKUP(G6,Data!$A:$G,4,0)</f>
        <v>Hooghly</v>
      </c>
      <c r="D6" s="4" t="str">
        <f>VLOOKUP(G6,Data!$A:$G,5,0)</f>
        <v>Binpur</v>
      </c>
      <c r="E6" s="4" t="str">
        <f>VLOOKUP(G6,Data!$A:$G,6,0)</f>
        <v>Debika Singha Patra</v>
      </c>
      <c r="F6" s="10" t="str">
        <f>VLOOKUP(G6,Data!$A:$G,7,0)</f>
        <v>2390311962</v>
      </c>
      <c r="G6" s="5">
        <v>22789</v>
      </c>
      <c r="H6" s="5" t="str">
        <f>VLOOKUP(G6,'FI txn'!$G:$X,18,0)</f>
        <v>&gt; 2000</v>
      </c>
      <c r="I6" s="7">
        <f>VLOOKUP(G6,'FI txn'!$G:$H,2,0)</f>
        <v>6</v>
      </c>
      <c r="J6" s="7">
        <f t="shared" si="0"/>
        <v>72</v>
      </c>
      <c r="K6" s="8">
        <v>2</v>
      </c>
      <c r="L6" s="8">
        <v>15</v>
      </c>
      <c r="M6" s="8">
        <v>17</v>
      </c>
      <c r="N6" s="8">
        <v>20</v>
      </c>
      <c r="O6" s="8">
        <v>16</v>
      </c>
      <c r="P6" s="8">
        <v>5</v>
      </c>
      <c r="Q6" s="8"/>
      <c r="R6" s="8"/>
      <c r="S6" s="8"/>
      <c r="T6" s="8"/>
      <c r="U6" s="8"/>
      <c r="V6" s="8"/>
      <c r="W6" s="8">
        <f t="shared" si="1"/>
        <v>75</v>
      </c>
      <c r="X6" s="9">
        <f t="shared" si="2"/>
        <v>12.5</v>
      </c>
    </row>
    <row r="7" spans="1:24" x14ac:dyDescent="0.3">
      <c r="A7" s="4" t="str">
        <f>VLOOKUP(G7,Data!$A:$G,2,0)</f>
        <v>Sunil Biswas</v>
      </c>
      <c r="B7" s="4" t="str">
        <f>VLOOKUP(G7,Data!$A:$G,3,0)</f>
        <v>Active</v>
      </c>
      <c r="C7" s="4" t="str">
        <f>VLOOKUP(G7,Data!$A:$G,4,0)</f>
        <v>Durgapur</v>
      </c>
      <c r="D7" s="4" t="str">
        <f>VLOOKUP(G7,Data!$A:$G,5,0)</f>
        <v>Haringhata</v>
      </c>
      <c r="E7" s="4" t="str">
        <f>VLOOKUP(G7,Data!$A:$G,6,0)</f>
        <v>Eyakub Mondal</v>
      </c>
      <c r="F7" s="10" t="str">
        <f>VLOOKUP(G7,Data!$A:$G,7,0)</f>
        <v>2430315345</v>
      </c>
      <c r="G7" s="5">
        <v>28085</v>
      </c>
      <c r="H7" s="5" t="str">
        <f>VLOOKUP(G7,'FI txn'!$G:$X,18,0)</f>
        <v>&gt; 300</v>
      </c>
      <c r="I7" s="7">
        <f>VLOOKUP(G7,'FI txn'!$G:$H,2,0)</f>
        <v>6</v>
      </c>
      <c r="J7" s="7">
        <f t="shared" si="0"/>
        <v>72</v>
      </c>
      <c r="K7" s="8">
        <v>15</v>
      </c>
      <c r="L7" s="8">
        <v>14</v>
      </c>
      <c r="M7" s="8">
        <v>10</v>
      </c>
      <c r="N7" s="8">
        <v>32</v>
      </c>
      <c r="O7" s="8">
        <v>12</v>
      </c>
      <c r="P7" s="8">
        <v>1</v>
      </c>
      <c r="Q7" s="8"/>
      <c r="R7" s="8"/>
      <c r="S7" s="8"/>
      <c r="T7" s="8"/>
      <c r="U7" s="8"/>
      <c r="V7" s="8"/>
      <c r="W7" s="8">
        <f t="shared" si="1"/>
        <v>84</v>
      </c>
      <c r="X7" s="9">
        <f t="shared" si="2"/>
        <v>14</v>
      </c>
    </row>
    <row r="8" spans="1:24" x14ac:dyDescent="0.3">
      <c r="A8" s="4" t="str">
        <f>VLOOKUP(G8,Data!$A:$G,2,0)</f>
        <v>Rajendra Kumar Bapari</v>
      </c>
      <c r="B8" s="4" t="str">
        <f>VLOOKUP(G8,Data!$A:$G,3,0)</f>
        <v>Active</v>
      </c>
      <c r="C8" s="4" t="str">
        <f>VLOOKUP(G8,Data!$A:$G,4,0)</f>
        <v>Durgapur</v>
      </c>
      <c r="D8" s="4" t="str">
        <f>VLOOKUP(G8,Data!$A:$G,5,0)</f>
        <v>Kushodanga</v>
      </c>
      <c r="E8" s="4" t="str">
        <f>VLOOKUP(G8,Data!$A:$G,6,0)</f>
        <v>Priti Das</v>
      </c>
      <c r="F8" s="10" t="str">
        <f>VLOOKUP(G8,Data!$A:$G,7,0)</f>
        <v>3390315408</v>
      </c>
      <c r="G8" s="5">
        <v>28176</v>
      </c>
      <c r="H8" s="5" t="str">
        <f>VLOOKUP(G8,'FI txn'!$G:$X,18,0)</f>
        <v>&gt; 900</v>
      </c>
      <c r="I8" s="7">
        <f>VLOOKUP(G8,'FI txn'!$G:$H,2,0)</f>
        <v>6</v>
      </c>
      <c r="J8" s="7">
        <f t="shared" si="0"/>
        <v>72</v>
      </c>
      <c r="K8" s="8">
        <v>2</v>
      </c>
      <c r="L8" s="8">
        <v>26</v>
      </c>
      <c r="M8" s="8">
        <v>3</v>
      </c>
      <c r="N8" s="8">
        <v>5</v>
      </c>
      <c r="O8" s="8">
        <v>8</v>
      </c>
      <c r="P8" s="8">
        <v>1</v>
      </c>
      <c r="Q8" s="8"/>
      <c r="R8" s="8"/>
      <c r="S8" s="8"/>
      <c r="T8" s="8"/>
      <c r="U8" s="8"/>
      <c r="V8" s="8"/>
      <c r="W8" s="8">
        <f t="shared" si="1"/>
        <v>45</v>
      </c>
      <c r="X8" s="9">
        <f t="shared" si="2"/>
        <v>7.5</v>
      </c>
    </row>
    <row r="9" spans="1:24" x14ac:dyDescent="0.3">
      <c r="A9" s="4" t="str">
        <f>VLOOKUP(G9,Data!$A:$G,2,0)</f>
        <v>Chandi Charan Mahato</v>
      </c>
      <c r="B9" s="4" t="str">
        <f>VLOOKUP(G9,Data!$A:$G,3,0)</f>
        <v>Active</v>
      </c>
      <c r="C9" s="4" t="str">
        <f>VLOOKUP(G9,Data!$A:$G,4,0)</f>
        <v>Durgapur</v>
      </c>
      <c r="D9" s="4" t="str">
        <f>VLOOKUP(G9,Data!$A:$G,5,0)</f>
        <v>Jhantipahari</v>
      </c>
      <c r="E9" s="4" t="str">
        <f>VLOOKUP(G9,Data!$A:$G,6,0)</f>
        <v>Asish Kumar Mandal</v>
      </c>
      <c r="F9" s="10" t="str">
        <f>VLOOKUP(G9,Data!$A:$G,7,0)</f>
        <v>2160314962</v>
      </c>
      <c r="G9" s="5">
        <v>27220</v>
      </c>
      <c r="H9" s="5" t="str">
        <f>VLOOKUP(G9,'FI txn'!$G:$X,18,0)</f>
        <v>&gt; 300</v>
      </c>
      <c r="I9" s="7">
        <f>VLOOKUP(G9,'FI txn'!$G:$H,2,0)</f>
        <v>6</v>
      </c>
      <c r="J9" s="7">
        <f t="shared" si="0"/>
        <v>72</v>
      </c>
      <c r="K9" s="8">
        <v>6</v>
      </c>
      <c r="L9" s="8">
        <v>10</v>
      </c>
      <c r="M9" s="8">
        <v>6</v>
      </c>
      <c r="N9" s="8">
        <v>4</v>
      </c>
      <c r="O9" s="8">
        <v>7</v>
      </c>
      <c r="P9" s="8">
        <v>1</v>
      </c>
      <c r="Q9" s="8"/>
      <c r="R9" s="8"/>
      <c r="S9" s="8"/>
      <c r="T9" s="8"/>
      <c r="U9" s="8"/>
      <c r="V9" s="8"/>
      <c r="W9" s="8">
        <f t="shared" si="1"/>
        <v>34</v>
      </c>
      <c r="X9" s="9">
        <f t="shared" si="2"/>
        <v>5.666666666666667</v>
      </c>
    </row>
    <row r="10" spans="1:24" x14ac:dyDescent="0.3">
      <c r="A10" s="4" t="str">
        <f>VLOOKUP(G10,Data!$A:$G,2,0)</f>
        <v>Under Office (W Medinipur)</v>
      </c>
      <c r="B10" s="4" t="str">
        <f>VLOOKUP(G10,Data!$A:$G,3,0)</f>
        <v>Active</v>
      </c>
      <c r="C10" s="4" t="str">
        <f>VLOOKUP(G10,Data!$A:$G,4,0)</f>
        <v>Hooghly</v>
      </c>
      <c r="D10" s="4" t="str">
        <f>VLOOKUP(G10,Data!$A:$G,5,0)</f>
        <v>Nayabasat</v>
      </c>
      <c r="E10" s="4" t="str">
        <f>VLOOKUP(G10,Data!$A:$G,6,0)</f>
        <v>Soumya Ghosh</v>
      </c>
      <c r="F10" s="10" t="str">
        <f>VLOOKUP(G10,Data!$A:$G,7,0)</f>
        <v>2390314387</v>
      </c>
      <c r="G10" s="5">
        <v>26403</v>
      </c>
      <c r="H10" s="5" t="str">
        <f>VLOOKUP(G10,'FI txn'!$G:$X,18,0)</f>
        <v>&gt; 150</v>
      </c>
      <c r="I10" s="7">
        <f>VLOOKUP(G10,'FI txn'!$G:$H,2,0)</f>
        <v>6</v>
      </c>
      <c r="J10" s="7">
        <f t="shared" si="0"/>
        <v>72</v>
      </c>
      <c r="K10" s="8"/>
      <c r="L10" s="8">
        <v>1</v>
      </c>
      <c r="M10" s="8">
        <v>1</v>
      </c>
      <c r="N10" s="8">
        <v>3</v>
      </c>
      <c r="O10" s="8">
        <v>6</v>
      </c>
      <c r="P10" s="8">
        <v>2</v>
      </c>
      <c r="Q10" s="8"/>
      <c r="R10" s="8"/>
      <c r="S10" s="8"/>
      <c r="T10" s="8"/>
      <c r="U10" s="8"/>
      <c r="V10" s="8"/>
      <c r="W10" s="8">
        <f t="shared" si="1"/>
        <v>13</v>
      </c>
      <c r="X10" s="9">
        <f t="shared" si="2"/>
        <v>2.1666666666666665</v>
      </c>
    </row>
    <row r="11" spans="1:24" x14ac:dyDescent="0.3">
      <c r="A11" s="4" t="str">
        <f>VLOOKUP(G11,Data!$A:$G,2,0)</f>
        <v>Under Office (W Medinipur)</v>
      </c>
      <c r="B11" s="4" t="str">
        <f>VLOOKUP(G11,Data!$A:$G,3,0)</f>
        <v>Active</v>
      </c>
      <c r="C11" s="4" t="str">
        <f>VLOOKUP(G11,Data!$A:$G,4,0)</f>
        <v>Hooghly</v>
      </c>
      <c r="D11" s="4" t="str">
        <f>VLOOKUP(G11,Data!$A:$G,5,0)</f>
        <v>Jara</v>
      </c>
      <c r="E11" s="4" t="str">
        <f>VLOOKUP(G11,Data!$A:$G,6,0)</f>
        <v>Priyanka Biswas</v>
      </c>
      <c r="F11" s="10" t="str">
        <f>VLOOKUP(G11,Data!$A:$G,7,0)</f>
        <v>2390311424</v>
      </c>
      <c r="G11" s="5">
        <v>22130</v>
      </c>
      <c r="H11" s="5" t="str">
        <f>VLOOKUP(G11,'FI txn'!$G:$X,18,0)</f>
        <v>&gt; 300</v>
      </c>
      <c r="I11" s="7">
        <f>VLOOKUP(G11,'FI txn'!$G:$H,2,0)</f>
        <v>6</v>
      </c>
      <c r="J11" s="7">
        <f t="shared" si="0"/>
        <v>72</v>
      </c>
      <c r="K11" s="8"/>
      <c r="L11" s="8">
        <v>1</v>
      </c>
      <c r="M11" s="8">
        <v>6</v>
      </c>
      <c r="N11" s="8">
        <v>6</v>
      </c>
      <c r="O11" s="8">
        <v>4</v>
      </c>
      <c r="P11" s="8">
        <v>2</v>
      </c>
      <c r="Q11" s="8"/>
      <c r="R11" s="8"/>
      <c r="S11" s="8"/>
      <c r="T11" s="8"/>
      <c r="U11" s="8"/>
      <c r="V11" s="8"/>
      <c r="W11" s="8">
        <f t="shared" si="1"/>
        <v>19</v>
      </c>
      <c r="X11" s="9">
        <f t="shared" si="2"/>
        <v>3.1666666666666665</v>
      </c>
    </row>
    <row r="12" spans="1:24" x14ac:dyDescent="0.3">
      <c r="A12" s="4" t="str">
        <f>VLOOKUP(G12,Data!$A:$G,2,0)</f>
        <v>Under Office (Birbhum)</v>
      </c>
      <c r="B12" s="4" t="str">
        <f>VLOOKUP(G12,Data!$A:$G,3,0)</f>
        <v>Active</v>
      </c>
      <c r="C12" s="4" t="str">
        <f>VLOOKUP(G12,Data!$A:$G,4,0)</f>
        <v>Siliguri</v>
      </c>
      <c r="D12" s="4" t="str">
        <f>VLOOKUP(G12,Data!$A:$G,5,0)</f>
        <v>Mangaldihi</v>
      </c>
      <c r="E12" s="4" t="str">
        <f>VLOOKUP(G12,Data!$A:$G,6,0)</f>
        <v>Ruma Bagdi</v>
      </c>
      <c r="F12" s="10" t="str">
        <f>VLOOKUP(G12,Data!$A:$G,7,0)</f>
        <v>0140311670</v>
      </c>
      <c r="G12" s="5">
        <v>27028</v>
      </c>
      <c r="H12" s="5" t="str">
        <f>VLOOKUP(G12,'FI txn'!$G:$X,18,0)</f>
        <v>&gt; 450</v>
      </c>
      <c r="I12" s="7">
        <f>VLOOKUP(G12,'FI txn'!$G:$H,2,0)</f>
        <v>6</v>
      </c>
      <c r="J12" s="7">
        <f t="shared" si="0"/>
        <v>72</v>
      </c>
      <c r="K12" s="8">
        <v>2</v>
      </c>
      <c r="L12" s="8"/>
      <c r="M12" s="8">
        <v>2</v>
      </c>
      <c r="N12" s="8">
        <v>1</v>
      </c>
      <c r="O12" s="8">
        <v>4</v>
      </c>
      <c r="P12" s="8">
        <v>1</v>
      </c>
      <c r="Q12" s="8"/>
      <c r="R12" s="8"/>
      <c r="S12" s="8"/>
      <c r="T12" s="8"/>
      <c r="U12" s="8"/>
      <c r="V12" s="8"/>
      <c r="W12" s="8">
        <f t="shared" si="1"/>
        <v>10</v>
      </c>
      <c r="X12" s="9">
        <f t="shared" si="2"/>
        <v>1.6666666666666667</v>
      </c>
    </row>
    <row r="13" spans="1:24" x14ac:dyDescent="0.3">
      <c r="A13" s="4" t="str">
        <f>VLOOKUP(G13,Data!$A:$G,2,0)</f>
        <v>Manindra Nath Barman</v>
      </c>
      <c r="B13" s="4" t="str">
        <f>VLOOKUP(G13,Data!$A:$G,3,0)</f>
        <v>Active</v>
      </c>
      <c r="C13" s="4" t="str">
        <f>VLOOKUP(G13,Data!$A:$G,4,0)</f>
        <v>Siliguri</v>
      </c>
      <c r="D13" s="4" t="str">
        <f>VLOOKUP(G13,Data!$A:$G,5,0)</f>
        <v>Damanpur</v>
      </c>
      <c r="E13" s="4" t="str">
        <f>VLOOKUP(G13,Data!$A:$G,6,0)</f>
        <v>Biplab Barman</v>
      </c>
      <c r="F13" s="10" t="str">
        <f>VLOOKUP(G13,Data!$A:$G,7,0)</f>
        <v>9490310566</v>
      </c>
      <c r="G13" s="5">
        <v>21091</v>
      </c>
      <c r="H13" s="5" t="str">
        <f>VLOOKUP(G13,'FI txn'!$G:$X,18,0)</f>
        <v>&gt; 150</v>
      </c>
      <c r="I13" s="7">
        <f>VLOOKUP(G13,'FI txn'!$G:$H,2,0)</f>
        <v>6</v>
      </c>
      <c r="J13" s="7">
        <f t="shared" si="0"/>
        <v>72</v>
      </c>
      <c r="K13" s="8">
        <v>11</v>
      </c>
      <c r="L13" s="8">
        <v>14</v>
      </c>
      <c r="M13" s="8">
        <v>2</v>
      </c>
      <c r="N13" s="8">
        <v>3</v>
      </c>
      <c r="O13" s="8">
        <v>4</v>
      </c>
      <c r="P13" s="8"/>
      <c r="Q13" s="8"/>
      <c r="R13" s="8"/>
      <c r="S13" s="8"/>
      <c r="T13" s="8"/>
      <c r="U13" s="8"/>
      <c r="V13" s="8"/>
      <c r="W13" s="8">
        <f t="shared" si="1"/>
        <v>34</v>
      </c>
      <c r="X13" s="9">
        <f t="shared" si="2"/>
        <v>5.666666666666667</v>
      </c>
    </row>
    <row r="14" spans="1:24" x14ac:dyDescent="0.3">
      <c r="A14" s="4" t="str">
        <f>VLOOKUP(G14,Data!$A:$G,2,0)</f>
        <v>Shyamalesh Sarkar</v>
      </c>
      <c r="B14" s="4" t="str">
        <f>VLOOKUP(G14,Data!$A:$G,3,0)</f>
        <v>Active</v>
      </c>
      <c r="C14" s="4" t="str">
        <f>VLOOKUP(G14,Data!$A:$G,4,0)</f>
        <v>Siliguri</v>
      </c>
      <c r="D14" s="4" t="str">
        <f>VLOOKUP(G14,Data!$A:$G,5,0)</f>
        <v>Sagardighi Square</v>
      </c>
      <c r="E14" s="4" t="str">
        <f>VLOOKUP(G14,Data!$A:$G,6,0)</f>
        <v xml:space="preserve">Khurshid Alom </v>
      </c>
      <c r="F14" s="10" t="str">
        <f>VLOOKUP(G14,Data!$A:$G,7,0)</f>
        <v>2200311941</v>
      </c>
      <c r="G14" s="5">
        <v>22768</v>
      </c>
      <c r="H14" s="5" t="str">
        <f>VLOOKUP(G14,'FI txn'!$G:$X,18,0)</f>
        <v>&lt; 150</v>
      </c>
      <c r="I14" s="7">
        <f>VLOOKUP(G14,'FI txn'!$G:$H,2,0)</f>
        <v>6</v>
      </c>
      <c r="J14" s="7">
        <f t="shared" si="0"/>
        <v>72</v>
      </c>
      <c r="K14" s="8">
        <v>4</v>
      </c>
      <c r="L14" s="8">
        <v>1</v>
      </c>
      <c r="M14" s="8"/>
      <c r="N14" s="8">
        <v>1</v>
      </c>
      <c r="O14" s="8">
        <v>4</v>
      </c>
      <c r="P14" s="8"/>
      <c r="Q14" s="8"/>
      <c r="R14" s="8"/>
      <c r="S14" s="8"/>
      <c r="T14" s="8"/>
      <c r="U14" s="8"/>
      <c r="V14" s="8"/>
      <c r="W14" s="8">
        <f t="shared" si="1"/>
        <v>10</v>
      </c>
      <c r="X14" s="9">
        <f t="shared" si="2"/>
        <v>1.6666666666666667</v>
      </c>
    </row>
    <row r="15" spans="1:24" x14ac:dyDescent="0.3">
      <c r="A15" s="4" t="str">
        <f>VLOOKUP(G15,Data!$A:$G,2,0)</f>
        <v>Under Office (W Medinipur)</v>
      </c>
      <c r="B15" s="4" t="str">
        <f>VLOOKUP(G15,Data!$A:$G,3,0)</f>
        <v>Active</v>
      </c>
      <c r="C15" s="4" t="str">
        <f>VLOOKUP(G15,Data!$A:$G,4,0)</f>
        <v>Hooghly</v>
      </c>
      <c r="D15" s="4" t="str">
        <f>VLOOKUP(G15,Data!$A:$G,5,0)</f>
        <v>Ramjibanpur</v>
      </c>
      <c r="E15" s="4" t="str">
        <f>VLOOKUP(G15,Data!$A:$G,6,0)</f>
        <v>Abhijit Modak</v>
      </c>
      <c r="F15" s="10" t="str">
        <f>VLOOKUP(G15,Data!$A:$G,7,0)</f>
        <v>3390311425</v>
      </c>
      <c r="G15" s="5">
        <v>22131</v>
      </c>
      <c r="H15" s="5" t="str">
        <f>VLOOKUP(G15,'FI txn'!$G:$X,18,0)</f>
        <v>&gt; 1500</v>
      </c>
      <c r="I15" s="7">
        <f>VLOOKUP(G15,'FI txn'!$G:$H,2,0)</f>
        <v>6</v>
      </c>
      <c r="J15" s="7">
        <f t="shared" si="0"/>
        <v>72</v>
      </c>
      <c r="K15" s="8">
        <v>1</v>
      </c>
      <c r="L15" s="8">
        <v>6</v>
      </c>
      <c r="M15" s="8">
        <v>2</v>
      </c>
      <c r="N15" s="8">
        <v>4</v>
      </c>
      <c r="O15" s="8">
        <v>3</v>
      </c>
      <c r="P15" s="8">
        <v>1</v>
      </c>
      <c r="Q15" s="8"/>
      <c r="R15" s="8"/>
      <c r="S15" s="8"/>
      <c r="T15" s="8"/>
      <c r="U15" s="8"/>
      <c r="V15" s="8"/>
      <c r="W15" s="8">
        <f t="shared" si="1"/>
        <v>17</v>
      </c>
      <c r="X15" s="9">
        <f t="shared" si="2"/>
        <v>2.8333333333333335</v>
      </c>
    </row>
    <row r="16" spans="1:24" x14ac:dyDescent="0.3">
      <c r="A16" s="4" t="str">
        <f>VLOOKUP(G16,Data!$A:$G,2,0)</f>
        <v>Souvik Maity</v>
      </c>
      <c r="B16" s="4" t="str">
        <f>VLOOKUP(G16,Data!$A:$G,3,0)</f>
        <v>Active</v>
      </c>
      <c r="C16" s="4" t="str">
        <f>VLOOKUP(G16,Data!$A:$G,4,0)</f>
        <v>Hooghly</v>
      </c>
      <c r="D16" s="4" t="str">
        <f>VLOOKUP(G16,Data!$A:$G,5,0)</f>
        <v>Polba</v>
      </c>
      <c r="E16" s="4" t="str">
        <f>VLOOKUP(G16,Data!$A:$G,6,0)</f>
        <v>Arindam Sadhukhan</v>
      </c>
      <c r="F16" s="10" t="str">
        <f>VLOOKUP(G16,Data!$A:$G,7,0)</f>
        <v>3390315433</v>
      </c>
      <c r="G16" s="5">
        <v>28201</v>
      </c>
      <c r="H16" s="5" t="str">
        <f>VLOOKUP(G16,'FI txn'!$G:$X,18,0)</f>
        <v>&gt; 150</v>
      </c>
      <c r="I16" s="7">
        <f>VLOOKUP(G16,'FI txn'!$G:$H,2,0)</f>
        <v>6</v>
      </c>
      <c r="J16" s="7">
        <f t="shared" si="0"/>
        <v>72</v>
      </c>
      <c r="K16" s="8">
        <v>4</v>
      </c>
      <c r="L16" s="8">
        <v>3</v>
      </c>
      <c r="M16" s="8">
        <v>7</v>
      </c>
      <c r="N16" s="8">
        <v>3</v>
      </c>
      <c r="O16" s="8">
        <v>3</v>
      </c>
      <c r="P16" s="8">
        <v>1</v>
      </c>
      <c r="Q16" s="8"/>
      <c r="R16" s="8"/>
      <c r="S16" s="8"/>
      <c r="T16" s="8"/>
      <c r="U16" s="8"/>
      <c r="V16" s="8"/>
      <c r="W16" s="8">
        <f t="shared" si="1"/>
        <v>21</v>
      </c>
      <c r="X16" s="9">
        <f t="shared" si="2"/>
        <v>3.5</v>
      </c>
    </row>
    <row r="17" spans="1:24" x14ac:dyDescent="0.3">
      <c r="A17" s="4" t="str">
        <f>VLOOKUP(G17,Data!$A:$G,2,0)</f>
        <v>Under Office (W Medinipur)</v>
      </c>
      <c r="B17" s="4" t="str">
        <f>VLOOKUP(G17,Data!$A:$G,3,0)</f>
        <v>Active</v>
      </c>
      <c r="C17" s="4" t="str">
        <f>VLOOKUP(G17,Data!$A:$G,4,0)</f>
        <v>Hooghly</v>
      </c>
      <c r="D17" s="4" t="str">
        <f>VLOOKUP(G17,Data!$A:$G,5,0)</f>
        <v>Jhargram</v>
      </c>
      <c r="E17" s="4" t="str">
        <f>VLOOKUP(G17,Data!$A:$G,6,0)</f>
        <v>Sk Imran</v>
      </c>
      <c r="F17" s="10" t="str">
        <f>VLOOKUP(G17,Data!$A:$G,7,0)</f>
        <v>2390311695</v>
      </c>
      <c r="G17" s="5">
        <v>22452</v>
      </c>
      <c r="H17" s="5" t="str">
        <f>VLOOKUP(G17,'FI txn'!$G:$X,18,0)</f>
        <v>&gt; 150</v>
      </c>
      <c r="I17" s="7">
        <f>VLOOKUP(G17,'FI txn'!$G:$H,2,0)</f>
        <v>6</v>
      </c>
      <c r="J17" s="7">
        <f t="shared" si="0"/>
        <v>72</v>
      </c>
      <c r="K17" s="8">
        <v>1</v>
      </c>
      <c r="L17" s="8">
        <v>5</v>
      </c>
      <c r="M17" s="8">
        <v>4</v>
      </c>
      <c r="N17" s="8">
        <v>3</v>
      </c>
      <c r="O17" s="8">
        <v>3</v>
      </c>
      <c r="P17" s="8"/>
      <c r="Q17" s="8"/>
      <c r="R17" s="8"/>
      <c r="S17" s="8"/>
      <c r="T17" s="8"/>
      <c r="U17" s="8"/>
      <c r="V17" s="8"/>
      <c r="W17" s="8">
        <f t="shared" si="1"/>
        <v>16</v>
      </c>
      <c r="X17" s="9">
        <f t="shared" si="2"/>
        <v>2.6666666666666665</v>
      </c>
    </row>
    <row r="18" spans="1:24" x14ac:dyDescent="0.3">
      <c r="A18" s="4" t="str">
        <f>VLOOKUP(G18,Data!$A:$G,2,0)</f>
        <v>Souvik Maity</v>
      </c>
      <c r="B18" s="4" t="str">
        <f>VLOOKUP(G18,Data!$A:$G,3,0)</f>
        <v>Active</v>
      </c>
      <c r="C18" s="4" t="str">
        <f>VLOOKUP(G18,Data!$A:$G,4,0)</f>
        <v>Hooghly</v>
      </c>
      <c r="D18" s="4" t="str">
        <f>VLOOKUP(G18,Data!$A:$G,5,0)</f>
        <v>Kamarpara</v>
      </c>
      <c r="E18" s="4" t="str">
        <f>VLOOKUP(G18,Data!$A:$G,6,0)</f>
        <v>Md Mustakim</v>
      </c>
      <c r="F18" s="10" t="str">
        <f>VLOOKUP(G18,Data!$A:$G,7,0)</f>
        <v>3390312441</v>
      </c>
      <c r="G18" s="5">
        <v>23433</v>
      </c>
      <c r="H18" s="5" t="str">
        <f>VLOOKUP(G18,'FI txn'!$G:$X,18,0)</f>
        <v>&gt; 300</v>
      </c>
      <c r="I18" s="7">
        <f>VLOOKUP(G18,'FI txn'!$G:$H,2,0)</f>
        <v>6</v>
      </c>
      <c r="J18" s="7">
        <f t="shared" si="0"/>
        <v>72</v>
      </c>
      <c r="K18" s="8">
        <v>4</v>
      </c>
      <c r="L18" s="8">
        <v>10</v>
      </c>
      <c r="M18" s="8">
        <v>12</v>
      </c>
      <c r="N18" s="8">
        <v>7</v>
      </c>
      <c r="O18" s="8">
        <v>2</v>
      </c>
      <c r="P18" s="8">
        <v>1</v>
      </c>
      <c r="Q18" s="8"/>
      <c r="R18" s="8"/>
      <c r="S18" s="8"/>
      <c r="T18" s="8"/>
      <c r="U18" s="8"/>
      <c r="V18" s="8"/>
      <c r="W18" s="8">
        <f t="shared" si="1"/>
        <v>36</v>
      </c>
      <c r="X18" s="9">
        <f t="shared" si="2"/>
        <v>6</v>
      </c>
    </row>
    <row r="19" spans="1:24" x14ac:dyDescent="0.3">
      <c r="A19" s="4" t="str">
        <f>VLOOKUP(G19,Data!$A:$G,2,0)</f>
        <v>Souvik Maity</v>
      </c>
      <c r="B19" s="4" t="str">
        <f>VLOOKUP(G19,Data!$A:$G,3,0)</f>
        <v>Active</v>
      </c>
      <c r="C19" s="4" t="str">
        <f>VLOOKUP(G19,Data!$A:$G,4,0)</f>
        <v>Hooghly</v>
      </c>
      <c r="D19" s="4" t="str">
        <f>VLOOKUP(G19,Data!$A:$G,5,0)</f>
        <v>Rajhati</v>
      </c>
      <c r="E19" s="4" t="str">
        <f>VLOOKUP(G19,Data!$A:$G,6,0)</f>
        <v>Santanu Ghosh</v>
      </c>
      <c r="F19" s="10" t="str">
        <f>VLOOKUP(G19,Data!$A:$G,7,0)</f>
        <v>3390314383</v>
      </c>
      <c r="G19" s="5">
        <v>26399</v>
      </c>
      <c r="H19" s="5" t="str">
        <f>VLOOKUP(G19,'FI txn'!$G:$X,18,0)</f>
        <v>&gt; 600</v>
      </c>
      <c r="I19" s="7">
        <f>VLOOKUP(G19,'FI txn'!$G:$H,2,0)</f>
        <v>6</v>
      </c>
      <c r="J19" s="7">
        <f t="shared" si="0"/>
        <v>72</v>
      </c>
      <c r="K19" s="8">
        <v>4</v>
      </c>
      <c r="L19" s="8">
        <v>12</v>
      </c>
      <c r="M19" s="8">
        <v>3</v>
      </c>
      <c r="N19" s="8">
        <v>2</v>
      </c>
      <c r="O19" s="8">
        <v>2</v>
      </c>
      <c r="P19" s="8"/>
      <c r="Q19" s="8"/>
      <c r="R19" s="8"/>
      <c r="S19" s="8"/>
      <c r="T19" s="8"/>
      <c r="U19" s="8"/>
      <c r="V19" s="8"/>
      <c r="W19" s="8">
        <f t="shared" si="1"/>
        <v>23</v>
      </c>
      <c r="X19" s="9">
        <f t="shared" si="2"/>
        <v>3.8333333333333335</v>
      </c>
    </row>
    <row r="20" spans="1:24" x14ac:dyDescent="0.3">
      <c r="A20" s="4" t="str">
        <f>VLOOKUP(G20,Data!$A:$G,2,0)</f>
        <v>Rajendra Kumar Bapari</v>
      </c>
      <c r="B20" s="4" t="str">
        <f>VLOOKUP(G20,Data!$A:$G,3,0)</f>
        <v>Active</v>
      </c>
      <c r="C20" s="4" t="str">
        <f>VLOOKUP(G20,Data!$A:$G,4,0)</f>
        <v>Durgapur</v>
      </c>
      <c r="D20" s="4" t="str">
        <f>VLOOKUP(G20,Data!$A:$G,5,0)</f>
        <v>Kushodanga</v>
      </c>
      <c r="E20" s="4" t="str">
        <f>VLOOKUP(G20,Data!$A:$G,6,0)</f>
        <v>Rumpa Pal Mondal</v>
      </c>
      <c r="F20" s="10" t="str">
        <f>VLOOKUP(G20,Data!$A:$G,7,0)</f>
        <v>3390315402</v>
      </c>
      <c r="G20" s="5">
        <v>28170</v>
      </c>
      <c r="H20" s="5" t="str">
        <f>VLOOKUP(G20,'FI txn'!$G:$X,18,0)</f>
        <v>&gt; 300</v>
      </c>
      <c r="I20" s="7">
        <f>VLOOKUP(G20,'FI txn'!$G:$H,2,0)</f>
        <v>6</v>
      </c>
      <c r="J20" s="7">
        <f t="shared" si="0"/>
        <v>72</v>
      </c>
      <c r="K20" s="8">
        <v>7</v>
      </c>
      <c r="L20" s="8">
        <v>3</v>
      </c>
      <c r="M20" s="8">
        <v>2</v>
      </c>
      <c r="N20" s="8">
        <v>4</v>
      </c>
      <c r="O20" s="8">
        <v>2</v>
      </c>
      <c r="P20" s="8"/>
      <c r="Q20" s="8"/>
      <c r="R20" s="8"/>
      <c r="S20" s="8"/>
      <c r="T20" s="8"/>
      <c r="U20" s="8"/>
      <c r="V20" s="8"/>
      <c r="W20" s="8">
        <f t="shared" si="1"/>
        <v>18</v>
      </c>
      <c r="X20" s="9">
        <f t="shared" si="2"/>
        <v>3</v>
      </c>
    </row>
    <row r="21" spans="1:24" x14ac:dyDescent="0.3">
      <c r="A21" s="4" t="str">
        <f>VLOOKUP(G21,Data!$A:$G,2,0)</f>
        <v>Rajiul Momin</v>
      </c>
      <c r="B21" s="4" t="str">
        <f>VLOOKUP(G21,Data!$A:$G,3,0)</f>
        <v>Active</v>
      </c>
      <c r="C21" s="4" t="str">
        <f>VLOOKUP(G21,Data!$A:$G,4,0)</f>
        <v>Siliguri</v>
      </c>
      <c r="D21" s="4" t="str">
        <f>VLOOKUP(G21,Data!$A:$G,5,0)</f>
        <v>Inyathpur</v>
      </c>
      <c r="E21" s="4" t="str">
        <f>VLOOKUP(G21,Data!$A:$G,6,0)</f>
        <v>Tumpa Poddar</v>
      </c>
      <c r="F21" s="10" t="str">
        <f>VLOOKUP(G21,Data!$A:$G,7,0)</f>
        <v>2370312246</v>
      </c>
      <c r="G21" s="5">
        <v>23178</v>
      </c>
      <c r="H21" s="5" t="str">
        <f>VLOOKUP(G21,'FI txn'!$G:$X,18,0)</f>
        <v>&gt; 450</v>
      </c>
      <c r="I21" s="7">
        <f>VLOOKUP(G21,'FI txn'!$G:$H,2,0)</f>
        <v>6</v>
      </c>
      <c r="J21" s="7">
        <f t="shared" si="0"/>
        <v>72</v>
      </c>
      <c r="K21" s="8">
        <v>3</v>
      </c>
      <c r="L21" s="8">
        <v>4</v>
      </c>
      <c r="M21" s="8">
        <v>2</v>
      </c>
      <c r="N21" s="8">
        <v>5</v>
      </c>
      <c r="O21" s="8">
        <v>2</v>
      </c>
      <c r="P21" s="8"/>
      <c r="Q21" s="8"/>
      <c r="R21" s="8"/>
      <c r="S21" s="8"/>
      <c r="T21" s="8"/>
      <c r="U21" s="8"/>
      <c r="V21" s="8"/>
      <c r="W21" s="8">
        <f t="shared" si="1"/>
        <v>16</v>
      </c>
      <c r="X21" s="9">
        <f t="shared" si="2"/>
        <v>2.6666666666666665</v>
      </c>
    </row>
    <row r="22" spans="1:24" x14ac:dyDescent="0.3">
      <c r="A22" s="4" t="str">
        <f>VLOOKUP(G22,Data!$A:$G,2,0)</f>
        <v>Manindra Nath Barman</v>
      </c>
      <c r="B22" s="4" t="str">
        <f>VLOOKUP(G22,Data!$A:$G,3,0)</f>
        <v>Active</v>
      </c>
      <c r="C22" s="4" t="str">
        <f>VLOOKUP(G22,Data!$A:$G,4,0)</f>
        <v>Siliguri</v>
      </c>
      <c r="D22" s="4" t="str">
        <f>VLOOKUP(G22,Data!$A:$G,5,0)</f>
        <v>Barobisha</v>
      </c>
      <c r="E22" s="4" t="str">
        <f>VLOOKUP(G22,Data!$A:$G,6,0)</f>
        <v>Sankar Arya</v>
      </c>
      <c r="F22" s="10" t="str">
        <f>VLOOKUP(G22,Data!$A:$G,7,0)</f>
        <v>2200315639</v>
      </c>
      <c r="G22" s="5">
        <v>28692</v>
      </c>
      <c r="H22" s="5" t="str">
        <f>VLOOKUP(G22,'FI txn'!$G:$X,18,0)</f>
        <v>&lt; 150</v>
      </c>
      <c r="I22" s="7">
        <f>VLOOKUP(G22,'FI txn'!$G:$H,2,0)</f>
        <v>6</v>
      </c>
      <c r="J22" s="7">
        <f t="shared" si="0"/>
        <v>72</v>
      </c>
      <c r="K22" s="8">
        <v>1</v>
      </c>
      <c r="L22" s="8">
        <v>2</v>
      </c>
      <c r="M22" s="8">
        <v>5</v>
      </c>
      <c r="N22" s="8">
        <v>2</v>
      </c>
      <c r="O22" s="8">
        <v>2</v>
      </c>
      <c r="P22" s="8"/>
      <c r="Q22" s="8"/>
      <c r="R22" s="8"/>
      <c r="S22" s="8"/>
      <c r="T22" s="8"/>
      <c r="U22" s="8"/>
      <c r="V22" s="8"/>
      <c r="W22" s="8">
        <f t="shared" si="1"/>
        <v>12</v>
      </c>
      <c r="X22" s="9">
        <f t="shared" si="2"/>
        <v>2</v>
      </c>
    </row>
    <row r="23" spans="1:24" x14ac:dyDescent="0.3">
      <c r="A23" s="4" t="str">
        <f>VLOOKUP(G23,Data!$A:$G,2,0)</f>
        <v>Chandi Charan Mahato</v>
      </c>
      <c r="B23" s="4" t="str">
        <f>VLOOKUP(G23,Data!$A:$G,3,0)</f>
        <v>Inactive</v>
      </c>
      <c r="C23" s="4" t="str">
        <f>VLOOKUP(G23,Data!$A:$G,4,0)</f>
        <v>Durgapur</v>
      </c>
      <c r="D23" s="4" t="str">
        <f>VLOOKUP(G23,Data!$A:$G,5,0)</f>
        <v>Patrasayer</v>
      </c>
      <c r="E23" s="4" t="str">
        <f>VLOOKUP(G23,Data!$A:$G,6,0)</f>
        <v>Bula Karmakar</v>
      </c>
      <c r="F23" s="10" t="str">
        <f>VLOOKUP(G23,Data!$A:$G,7,0)</f>
        <v>2160315824</v>
      </c>
      <c r="G23" s="5">
        <v>29069</v>
      </c>
      <c r="H23" s="5" t="str">
        <f>VLOOKUP(G23,'FI txn'!$G:$X,18,0)</f>
        <v>&lt; 150</v>
      </c>
      <c r="I23" s="7">
        <f>VLOOKUP(G23,'FI txn'!$G:$H,2,0)</f>
        <v>5</v>
      </c>
      <c r="J23" s="7">
        <f t="shared" si="0"/>
        <v>60</v>
      </c>
      <c r="K23" s="8">
        <v>1</v>
      </c>
      <c r="L23" s="8">
        <v>3</v>
      </c>
      <c r="M23" s="8">
        <v>3</v>
      </c>
      <c r="N23" s="8"/>
      <c r="O23" s="8">
        <v>2</v>
      </c>
      <c r="P23" s="8"/>
      <c r="Q23" s="8"/>
      <c r="R23" s="8"/>
      <c r="S23" s="8"/>
      <c r="T23" s="8"/>
      <c r="U23" s="8"/>
      <c r="V23" s="8"/>
      <c r="W23" s="8">
        <f t="shared" si="1"/>
        <v>9</v>
      </c>
      <c r="X23" s="9">
        <f t="shared" si="2"/>
        <v>1.8</v>
      </c>
    </row>
    <row r="24" spans="1:24" x14ac:dyDescent="0.3">
      <c r="A24" s="4" t="str">
        <f>VLOOKUP(G24,Data!$A:$G,2,0)</f>
        <v>Chandi Charan Mahato</v>
      </c>
      <c r="B24" s="4" t="str">
        <f>VLOOKUP(G24,Data!$A:$G,3,0)</f>
        <v>Active</v>
      </c>
      <c r="C24" s="4" t="str">
        <f>VLOOKUP(G24,Data!$A:$G,4,0)</f>
        <v>Durgapur</v>
      </c>
      <c r="D24" s="4" t="str">
        <f>VLOOKUP(G24,Data!$A:$G,5,0)</f>
        <v>Patrasayer</v>
      </c>
      <c r="E24" s="4" t="str">
        <f>VLOOKUP(G24,Data!$A:$G,6,0)</f>
        <v>Satish Ankure</v>
      </c>
      <c r="F24" s="10" t="str">
        <f>VLOOKUP(G24,Data!$A:$G,7,0)</f>
        <v>2160314679</v>
      </c>
      <c r="G24" s="5">
        <v>26810</v>
      </c>
      <c r="H24" s="5" t="str">
        <f>VLOOKUP(G24,'FI txn'!$G:$X,18,0)</f>
        <v>&gt; 300</v>
      </c>
      <c r="I24" s="7">
        <f>VLOOKUP(G24,'FI txn'!$G:$H,2,0)</f>
        <v>6</v>
      </c>
      <c r="J24" s="7">
        <f t="shared" si="0"/>
        <v>72</v>
      </c>
      <c r="K24" s="8"/>
      <c r="L24" s="8">
        <v>2</v>
      </c>
      <c r="M24" s="8"/>
      <c r="N24" s="8"/>
      <c r="O24" s="8">
        <v>2</v>
      </c>
      <c r="P24" s="8"/>
      <c r="Q24" s="8"/>
      <c r="R24" s="8"/>
      <c r="S24" s="8"/>
      <c r="T24" s="8"/>
      <c r="U24" s="8"/>
      <c r="V24" s="8"/>
      <c r="W24" s="8">
        <f t="shared" si="1"/>
        <v>4</v>
      </c>
      <c r="X24" s="9">
        <f t="shared" si="2"/>
        <v>0.66666666666666663</v>
      </c>
    </row>
    <row r="25" spans="1:24" x14ac:dyDescent="0.3">
      <c r="A25" s="4" t="str">
        <f>VLOOKUP(G25,Data!$A:$G,2,0)</f>
        <v>Pijush Singha</v>
      </c>
      <c r="B25" s="4" t="str">
        <f>VLOOKUP(G25,Data!$A:$G,3,0)</f>
        <v>Active</v>
      </c>
      <c r="C25" s="4" t="str">
        <f>VLOOKUP(G25,Data!$A:$G,4,0)</f>
        <v>Siliguri</v>
      </c>
      <c r="D25" s="4" t="str">
        <f>VLOOKUP(G25,Data!$A:$G,5,0)</f>
        <v>Dhuliyan</v>
      </c>
      <c r="E25" s="4" t="str">
        <f>VLOOKUP(G25,Data!$A:$G,6,0)</f>
        <v>Md Asraful Hoque</v>
      </c>
      <c r="F25" s="10" t="str">
        <f>VLOOKUP(G25,Data!$A:$G,7,0)</f>
        <v>2410313985</v>
      </c>
      <c r="G25" s="5">
        <v>25557</v>
      </c>
      <c r="H25" s="5" t="str">
        <f>VLOOKUP(G25,'FI txn'!$G:$X,18,0)</f>
        <v>&lt; 150</v>
      </c>
      <c r="I25" s="7">
        <f>VLOOKUP(G25,'FI txn'!$G:$H,2,0)</f>
        <v>6</v>
      </c>
      <c r="J25" s="7">
        <f t="shared" si="0"/>
        <v>72</v>
      </c>
      <c r="K25" s="8"/>
      <c r="L25" s="8">
        <v>2</v>
      </c>
      <c r="M25" s="8">
        <v>2</v>
      </c>
      <c r="N25" s="8">
        <v>5</v>
      </c>
      <c r="O25" s="8">
        <v>1</v>
      </c>
      <c r="P25" s="8">
        <v>2</v>
      </c>
      <c r="Q25" s="8"/>
      <c r="R25" s="8"/>
      <c r="S25" s="8"/>
      <c r="T25" s="8"/>
      <c r="U25" s="8"/>
      <c r="V25" s="8"/>
      <c r="W25" s="8">
        <f t="shared" si="1"/>
        <v>12</v>
      </c>
      <c r="X25" s="9">
        <f t="shared" si="2"/>
        <v>2</v>
      </c>
    </row>
    <row r="26" spans="1:24" x14ac:dyDescent="0.3">
      <c r="A26" s="4" t="str">
        <f>VLOOKUP(G26,Data!$A:$G,2,0)</f>
        <v>Sunil Biswas</v>
      </c>
      <c r="B26" s="4" t="str">
        <f>VLOOKUP(G26,Data!$A:$G,3,0)</f>
        <v>Active</v>
      </c>
      <c r="C26" s="4" t="str">
        <f>VLOOKUP(G26,Data!$A:$G,4,0)</f>
        <v>Durgapur</v>
      </c>
      <c r="D26" s="4" t="str">
        <f>VLOOKUP(G26,Data!$A:$G,5,0)</f>
        <v>Hridaypur</v>
      </c>
      <c r="E26" s="4" t="str">
        <f>VLOOKUP(G26,Data!$A:$G,6,0)</f>
        <v xml:space="preserve">Injamul Rahaman </v>
      </c>
      <c r="F26" s="10" t="str">
        <f>VLOOKUP(G26,Data!$A:$G,7,0)</f>
        <v>2430314512</v>
      </c>
      <c r="G26" s="5">
        <v>26588</v>
      </c>
      <c r="H26" s="5" t="str">
        <f>VLOOKUP(G26,'FI txn'!$G:$X,18,0)</f>
        <v>&gt; 300</v>
      </c>
      <c r="I26" s="7">
        <f>VLOOKUP(G26,'FI txn'!$G:$H,2,0)</f>
        <v>6</v>
      </c>
      <c r="J26" s="7">
        <f t="shared" si="0"/>
        <v>72</v>
      </c>
      <c r="K26" s="8">
        <v>26</v>
      </c>
      <c r="L26" s="8">
        <v>89</v>
      </c>
      <c r="M26" s="8">
        <v>4</v>
      </c>
      <c r="N26" s="8">
        <v>5</v>
      </c>
      <c r="O26" s="8">
        <v>1</v>
      </c>
      <c r="P26" s="8">
        <v>1</v>
      </c>
      <c r="Q26" s="8"/>
      <c r="R26" s="8"/>
      <c r="S26" s="8"/>
      <c r="T26" s="8"/>
      <c r="U26" s="8"/>
      <c r="V26" s="8"/>
      <c r="W26" s="8">
        <f t="shared" si="1"/>
        <v>126</v>
      </c>
      <c r="X26" s="9">
        <f t="shared" si="2"/>
        <v>21</v>
      </c>
    </row>
    <row r="27" spans="1:24" x14ac:dyDescent="0.3">
      <c r="A27" s="4" t="str">
        <f>VLOOKUP(G27,Data!$A:$G,2,0)</f>
        <v>Souvik Maity</v>
      </c>
      <c r="B27" s="4" t="str">
        <f>VLOOKUP(G27,Data!$A:$G,3,0)</f>
        <v>Active</v>
      </c>
      <c r="C27" s="4" t="str">
        <f>VLOOKUP(G27,Data!$A:$G,4,0)</f>
        <v>Hooghly</v>
      </c>
      <c r="D27" s="4" t="str">
        <f>VLOOKUP(G27,Data!$A:$G,5,0)</f>
        <v>Dhanyaghori</v>
      </c>
      <c r="E27" s="4" t="str">
        <f>VLOOKUP(G27,Data!$A:$G,6,0)</f>
        <v>Pratik Chakraborty</v>
      </c>
      <c r="F27" s="10" t="str">
        <f>VLOOKUP(G27,Data!$A:$G,7,0)</f>
        <v>3390311946</v>
      </c>
      <c r="G27" s="5">
        <v>22773</v>
      </c>
      <c r="H27" s="5" t="str">
        <f>VLOOKUP(G27,'FI txn'!$G:$X,18,0)</f>
        <v>&gt; 450</v>
      </c>
      <c r="I27" s="7">
        <f>VLOOKUP(G27,'FI txn'!$G:$H,2,0)</f>
        <v>6</v>
      </c>
      <c r="J27" s="7">
        <f t="shared" si="0"/>
        <v>72</v>
      </c>
      <c r="K27" s="8"/>
      <c r="L27" s="8">
        <v>1</v>
      </c>
      <c r="M27" s="8">
        <v>4</v>
      </c>
      <c r="N27" s="8">
        <v>4</v>
      </c>
      <c r="O27" s="8">
        <v>1</v>
      </c>
      <c r="P27" s="8">
        <v>1</v>
      </c>
      <c r="Q27" s="8"/>
      <c r="R27" s="8"/>
      <c r="S27" s="8"/>
      <c r="T27" s="8"/>
      <c r="U27" s="8"/>
      <c r="V27" s="8"/>
      <c r="W27" s="8">
        <f t="shared" si="1"/>
        <v>11</v>
      </c>
      <c r="X27" s="9">
        <f t="shared" si="2"/>
        <v>1.8333333333333333</v>
      </c>
    </row>
    <row r="28" spans="1:24" x14ac:dyDescent="0.3">
      <c r="A28" s="4" t="str">
        <f>VLOOKUP(G28,Data!$A:$G,2,0)</f>
        <v>Sunil Biswas</v>
      </c>
      <c r="B28" s="4" t="str">
        <f>VLOOKUP(G28,Data!$A:$G,3,0)</f>
        <v>Inactive</v>
      </c>
      <c r="C28" s="4" t="str">
        <f>VLOOKUP(G28,Data!$A:$G,4,0)</f>
        <v>Durgapur</v>
      </c>
      <c r="D28" s="4" t="str">
        <f>VLOOKUP(G28,Data!$A:$G,5,0)</f>
        <v>Chakdaha</v>
      </c>
      <c r="E28" s="4" t="str">
        <f>VLOOKUP(G28,Data!$A:$G,6,0)</f>
        <v>Kiran Biswas</v>
      </c>
      <c r="F28" s="10" t="str">
        <f>VLOOKUP(G28,Data!$A:$G,7,0)</f>
        <v>2430315343</v>
      </c>
      <c r="G28" s="5">
        <v>28083</v>
      </c>
      <c r="H28" s="5" t="str">
        <f>VLOOKUP(G28,'FI txn'!$G:$X,18,0)</f>
        <v>&lt; 150</v>
      </c>
      <c r="I28" s="7">
        <f>VLOOKUP(G28,'FI txn'!$G:$H,2,0)</f>
        <v>5</v>
      </c>
      <c r="J28" s="7">
        <f t="shared" si="0"/>
        <v>60</v>
      </c>
      <c r="K28" s="8"/>
      <c r="L28" s="8">
        <v>3</v>
      </c>
      <c r="M28" s="8"/>
      <c r="N28" s="8">
        <v>2</v>
      </c>
      <c r="O28" s="8">
        <v>1</v>
      </c>
      <c r="P28" s="8">
        <v>1</v>
      </c>
      <c r="Q28" s="8"/>
      <c r="R28" s="8"/>
      <c r="S28" s="8"/>
      <c r="T28" s="8"/>
      <c r="U28" s="8"/>
      <c r="V28" s="8"/>
      <c r="W28" s="8">
        <f t="shared" si="1"/>
        <v>7</v>
      </c>
      <c r="X28" s="9">
        <f t="shared" si="2"/>
        <v>1.4</v>
      </c>
    </row>
    <row r="29" spans="1:24" x14ac:dyDescent="0.3">
      <c r="A29" s="4" t="str">
        <f>VLOOKUP(G29,Data!$A:$G,2,0)</f>
        <v>Rajendra Kumar Bapari</v>
      </c>
      <c r="B29" s="4" t="str">
        <f>VLOOKUP(G29,Data!$A:$G,3,0)</f>
        <v>Active</v>
      </c>
      <c r="C29" s="4" t="str">
        <f>VLOOKUP(G29,Data!$A:$G,4,0)</f>
        <v>Durgapur</v>
      </c>
      <c r="D29" s="4" t="str">
        <f>VLOOKUP(G29,Data!$A:$G,5,0)</f>
        <v>Patuli</v>
      </c>
      <c r="E29" s="4" t="str">
        <f>VLOOKUP(G29,Data!$A:$G,6,0)</f>
        <v>Satyajit Kar</v>
      </c>
      <c r="F29" s="10" t="str">
        <f>VLOOKUP(G29,Data!$A:$G,7,0)</f>
        <v>3390314928</v>
      </c>
      <c r="G29" s="5">
        <v>27154</v>
      </c>
      <c r="H29" s="5" t="str">
        <f>VLOOKUP(G29,'FI txn'!$G:$X,18,0)</f>
        <v>&gt; 450</v>
      </c>
      <c r="I29" s="7">
        <f>VLOOKUP(G29,'FI txn'!$G:$H,2,0)</f>
        <v>6</v>
      </c>
      <c r="J29" s="7">
        <f t="shared" si="0"/>
        <v>72</v>
      </c>
      <c r="K29" s="8">
        <v>7</v>
      </c>
      <c r="L29" s="8">
        <v>24</v>
      </c>
      <c r="M29" s="8">
        <v>8</v>
      </c>
      <c r="N29" s="8">
        <v>2</v>
      </c>
      <c r="O29" s="8">
        <v>1</v>
      </c>
      <c r="P29" s="8">
        <v>1</v>
      </c>
      <c r="Q29" s="8"/>
      <c r="R29" s="8"/>
      <c r="S29" s="8"/>
      <c r="T29" s="8"/>
      <c r="U29" s="8"/>
      <c r="V29" s="8"/>
      <c r="W29" s="8">
        <f t="shared" si="1"/>
        <v>43</v>
      </c>
      <c r="X29" s="9">
        <f t="shared" si="2"/>
        <v>7.166666666666667</v>
      </c>
    </row>
    <row r="30" spans="1:24" x14ac:dyDescent="0.3">
      <c r="A30" s="4" t="str">
        <f>VLOOKUP(G30,Data!$A:$G,2,0)</f>
        <v>Souvik Maity</v>
      </c>
      <c r="B30" s="4" t="str">
        <f>VLOOKUP(G30,Data!$A:$G,3,0)</f>
        <v>Active</v>
      </c>
      <c r="C30" s="4" t="str">
        <f>VLOOKUP(G30,Data!$A:$G,4,0)</f>
        <v>Hooghly</v>
      </c>
      <c r="D30" s="4" t="str">
        <f>VLOOKUP(G30,Data!$A:$G,5,0)</f>
        <v>Rajhati</v>
      </c>
      <c r="E30" s="4" t="str">
        <f>VLOOKUP(G30,Data!$A:$G,6,0)</f>
        <v>Arnnapurna Maji</v>
      </c>
      <c r="F30" s="10" t="str">
        <f>VLOOKUP(G30,Data!$A:$G,7,0)</f>
        <v>3390311610</v>
      </c>
      <c r="G30" s="5">
        <v>22346</v>
      </c>
      <c r="H30" s="5" t="str">
        <f>VLOOKUP(G30,'FI txn'!$G:$X,18,0)</f>
        <v>&gt; 1500</v>
      </c>
      <c r="I30" s="7">
        <f>VLOOKUP(G30,'FI txn'!$G:$H,2,0)</f>
        <v>6</v>
      </c>
      <c r="J30" s="7">
        <f t="shared" si="0"/>
        <v>72</v>
      </c>
      <c r="K30" s="8">
        <v>8</v>
      </c>
      <c r="L30" s="8">
        <v>15</v>
      </c>
      <c r="M30" s="8"/>
      <c r="N30" s="8">
        <v>1</v>
      </c>
      <c r="O30" s="8">
        <v>1</v>
      </c>
      <c r="P30" s="8"/>
      <c r="Q30" s="8"/>
      <c r="R30" s="8"/>
      <c r="S30" s="8"/>
      <c r="T30" s="8"/>
      <c r="U30" s="8"/>
      <c r="V30" s="8"/>
      <c r="W30" s="8">
        <f t="shared" si="1"/>
        <v>25</v>
      </c>
      <c r="X30" s="9">
        <f t="shared" si="2"/>
        <v>4.166666666666667</v>
      </c>
    </row>
    <row r="31" spans="1:24" x14ac:dyDescent="0.3">
      <c r="A31" s="4" t="str">
        <f>VLOOKUP(G31,Data!$A:$G,2,0)</f>
        <v>Under Office (Birbhum)</v>
      </c>
      <c r="B31" s="4" t="str">
        <f>VLOOKUP(G31,Data!$A:$G,3,0)</f>
        <v>Active</v>
      </c>
      <c r="C31" s="4" t="str">
        <f>VLOOKUP(G31,Data!$A:$G,4,0)</f>
        <v>Siliguri</v>
      </c>
      <c r="D31" s="4" t="str">
        <f>VLOOKUP(G31,Data!$A:$G,5,0)</f>
        <v>Paikar</v>
      </c>
      <c r="E31" s="4" t="str">
        <f>VLOOKUP(G31,Data!$A:$G,6,0)</f>
        <v>Saheb Sk</v>
      </c>
      <c r="F31" s="10" t="str">
        <f>VLOOKUP(G31,Data!$A:$G,7,0)</f>
        <v>0140311324</v>
      </c>
      <c r="G31" s="5">
        <v>21999</v>
      </c>
      <c r="H31" s="5" t="str">
        <f>VLOOKUP(G31,'FI txn'!$G:$X,18,0)</f>
        <v>&gt; 900</v>
      </c>
      <c r="I31" s="7">
        <f>VLOOKUP(G31,'FI txn'!$G:$H,2,0)</f>
        <v>6</v>
      </c>
      <c r="J31" s="7">
        <f t="shared" si="0"/>
        <v>72</v>
      </c>
      <c r="K31" s="8">
        <v>5</v>
      </c>
      <c r="L31" s="8">
        <v>4</v>
      </c>
      <c r="M31" s="8">
        <v>3</v>
      </c>
      <c r="N31" s="8"/>
      <c r="O31" s="8">
        <v>1</v>
      </c>
      <c r="P31" s="8"/>
      <c r="Q31" s="8"/>
      <c r="R31" s="8"/>
      <c r="S31" s="8"/>
      <c r="T31" s="8"/>
      <c r="U31" s="8"/>
      <c r="V31" s="8"/>
      <c r="W31" s="8">
        <f t="shared" si="1"/>
        <v>13</v>
      </c>
      <c r="X31" s="9">
        <f t="shared" si="2"/>
        <v>2.1666666666666665</v>
      </c>
    </row>
    <row r="32" spans="1:24" x14ac:dyDescent="0.3">
      <c r="A32" s="4" t="str">
        <f>VLOOKUP(G32,Data!$A:$G,2,0)</f>
        <v>Sanjoy Paul</v>
      </c>
      <c r="B32" s="4" t="str">
        <f>VLOOKUP(G32,Data!$A:$G,3,0)</f>
        <v>Active</v>
      </c>
      <c r="C32" s="4" t="str">
        <f>VLOOKUP(G32,Data!$A:$G,4,0)</f>
        <v>Siliguri</v>
      </c>
      <c r="D32" s="4" t="str">
        <f>VLOOKUP(G32,Data!$A:$G,5,0)</f>
        <v>Raiganj</v>
      </c>
      <c r="E32" s="4" t="str">
        <f>VLOOKUP(G32,Data!$A:$G,6,0)</f>
        <v>Joydev Das</v>
      </c>
      <c r="F32" s="10" t="str">
        <f>VLOOKUP(G32,Data!$A:$G,7,0)</f>
        <v>2560315042</v>
      </c>
      <c r="G32" s="5">
        <v>27372</v>
      </c>
      <c r="H32" s="5" t="str">
        <f>VLOOKUP(G32,'FI txn'!$G:$X,18,0)</f>
        <v>&gt; 150</v>
      </c>
      <c r="I32" s="7">
        <f>VLOOKUP(G32,'FI txn'!$G:$H,2,0)</f>
        <v>6</v>
      </c>
      <c r="J32" s="7">
        <f t="shared" si="0"/>
        <v>72</v>
      </c>
      <c r="K32" s="8">
        <v>2</v>
      </c>
      <c r="L32" s="8">
        <v>3</v>
      </c>
      <c r="M32" s="8">
        <v>2</v>
      </c>
      <c r="N32" s="8">
        <v>3</v>
      </c>
      <c r="O32" s="8">
        <v>1</v>
      </c>
      <c r="P32" s="8"/>
      <c r="Q32" s="8"/>
      <c r="R32" s="8"/>
      <c r="S32" s="8"/>
      <c r="T32" s="8"/>
      <c r="U32" s="8"/>
      <c r="V32" s="8"/>
      <c r="W32" s="8">
        <f t="shared" si="1"/>
        <v>11</v>
      </c>
      <c r="X32" s="9">
        <f t="shared" si="2"/>
        <v>1.8333333333333333</v>
      </c>
    </row>
    <row r="33" spans="1:24" x14ac:dyDescent="0.3">
      <c r="A33" s="4" t="str">
        <f>VLOOKUP(G33,Data!$A:$G,2,0)</f>
        <v>Chandi Charan Mahato</v>
      </c>
      <c r="B33" s="4" t="str">
        <f>VLOOKUP(G33,Data!$A:$G,3,0)</f>
        <v>Active</v>
      </c>
      <c r="C33" s="4" t="str">
        <f>VLOOKUP(G33,Data!$A:$G,4,0)</f>
        <v>Durgapur</v>
      </c>
      <c r="D33" s="4" t="str">
        <f>VLOOKUP(G33,Data!$A:$G,5,0)</f>
        <v>Anara</v>
      </c>
      <c r="E33" s="4" t="str">
        <f>VLOOKUP(G33,Data!$A:$G,6,0)</f>
        <v>Biswajit Majee</v>
      </c>
      <c r="F33" s="10" t="str">
        <f>VLOOKUP(G33,Data!$A:$G,7,0)</f>
        <v>2460314961</v>
      </c>
      <c r="G33" s="5">
        <v>27219</v>
      </c>
      <c r="H33" s="5" t="str">
        <f>VLOOKUP(G33,'FI txn'!$G:$X,18,0)</f>
        <v>&gt; 300</v>
      </c>
      <c r="I33" s="7">
        <f>VLOOKUP(G33,'FI txn'!$G:$H,2,0)</f>
        <v>6</v>
      </c>
      <c r="J33" s="7">
        <f t="shared" si="0"/>
        <v>72</v>
      </c>
      <c r="K33" s="8">
        <v>2</v>
      </c>
      <c r="L33" s="8">
        <v>3</v>
      </c>
      <c r="M33" s="8">
        <v>1</v>
      </c>
      <c r="N33" s="8">
        <v>1</v>
      </c>
      <c r="O33" s="8">
        <v>1</v>
      </c>
      <c r="P33" s="8"/>
      <c r="Q33" s="8"/>
      <c r="R33" s="8"/>
      <c r="S33" s="8"/>
      <c r="T33" s="8"/>
      <c r="U33" s="8"/>
      <c r="V33" s="8"/>
      <c r="W33" s="8">
        <f t="shared" si="1"/>
        <v>8</v>
      </c>
      <c r="X33" s="9">
        <f t="shared" si="2"/>
        <v>1.3333333333333333</v>
      </c>
    </row>
    <row r="34" spans="1:24" x14ac:dyDescent="0.3">
      <c r="A34" s="4" t="str">
        <f>VLOOKUP(G34,Data!$A:$G,2,0)</f>
        <v>Avi Sk</v>
      </c>
      <c r="B34" s="4" t="str">
        <f>VLOOKUP(G34,Data!$A:$G,3,0)</f>
        <v>Active</v>
      </c>
      <c r="C34" s="4" t="str">
        <f>VLOOKUP(G34,Data!$A:$G,4,0)</f>
        <v>Siliguri</v>
      </c>
      <c r="D34" s="4" t="str">
        <f>VLOOKUP(G34,Data!$A:$G,5,0)</f>
        <v>Sagarpara</v>
      </c>
      <c r="E34" s="4" t="str">
        <f>VLOOKUP(G34,Data!$A:$G,6,0)</f>
        <v>Habibur Rahaman</v>
      </c>
      <c r="F34" s="10" t="str">
        <f>VLOOKUP(G34,Data!$A:$G,7,0)</f>
        <v>2410311259</v>
      </c>
      <c r="G34" s="5">
        <v>28860</v>
      </c>
      <c r="H34" s="5" t="str">
        <f>VLOOKUP(G34,'FI txn'!$G:$X,18,0)</f>
        <v>&gt; 150</v>
      </c>
      <c r="I34" s="7">
        <f>VLOOKUP(G34,'FI txn'!$G:$H,2,0)</f>
        <v>6</v>
      </c>
      <c r="J34" s="7">
        <f t="shared" ref="J34:J65" si="3">I34*12</f>
        <v>72</v>
      </c>
      <c r="K34" s="8"/>
      <c r="L34" s="8"/>
      <c r="M34" s="8">
        <v>5</v>
      </c>
      <c r="N34" s="8">
        <v>2</v>
      </c>
      <c r="O34" s="8">
        <v>1</v>
      </c>
      <c r="P34" s="8"/>
      <c r="Q34" s="8"/>
      <c r="R34" s="8"/>
      <c r="S34" s="8"/>
      <c r="T34" s="8"/>
      <c r="U34" s="8"/>
      <c r="V34" s="8"/>
      <c r="W34" s="8">
        <f t="shared" ref="W34:W65" si="4">SUM(K34:V34)</f>
        <v>8</v>
      </c>
      <c r="X34" s="9">
        <f t="shared" si="2"/>
        <v>1.3333333333333333</v>
      </c>
    </row>
    <row r="35" spans="1:24" x14ac:dyDescent="0.3">
      <c r="A35" s="4" t="str">
        <f>VLOOKUP(G35,Data!$A:$G,2,0)</f>
        <v>Under Office (W Medinipur)</v>
      </c>
      <c r="B35" s="4" t="str">
        <f>VLOOKUP(G35,Data!$A:$G,3,0)</f>
        <v>Active</v>
      </c>
      <c r="C35" s="4" t="str">
        <f>VLOOKUP(G35,Data!$A:$G,4,0)</f>
        <v>Hooghly</v>
      </c>
      <c r="D35" s="4" t="str">
        <f>VLOOKUP(G35,Data!$A:$G,5,0)</f>
        <v>Bhairabpur</v>
      </c>
      <c r="E35" s="4" t="str">
        <f>VLOOKUP(G35,Data!$A:$G,6,0)</f>
        <v>Srabani Chatterjee</v>
      </c>
      <c r="F35" s="10" t="str">
        <f>VLOOKUP(G35,Data!$A:$G,7,0)</f>
        <v>2390312437</v>
      </c>
      <c r="G35" s="5">
        <v>23429</v>
      </c>
      <c r="H35" s="5" t="str">
        <f>VLOOKUP(G35,'FI txn'!$G:$X,18,0)</f>
        <v>&gt; 600</v>
      </c>
      <c r="I35" s="7">
        <f>VLOOKUP(G35,'FI txn'!$G:$H,2,0)</f>
        <v>6</v>
      </c>
      <c r="J35" s="7">
        <f t="shared" si="3"/>
        <v>72</v>
      </c>
      <c r="K35" s="8"/>
      <c r="L35" s="8">
        <v>1</v>
      </c>
      <c r="M35" s="8"/>
      <c r="N35" s="8">
        <v>1</v>
      </c>
      <c r="O35" s="8">
        <v>1</v>
      </c>
      <c r="P35" s="8"/>
      <c r="Q35" s="8"/>
      <c r="R35" s="8"/>
      <c r="S35" s="8"/>
      <c r="T35" s="8"/>
      <c r="U35" s="8"/>
      <c r="V35" s="8"/>
      <c r="W35" s="8">
        <f t="shared" si="4"/>
        <v>3</v>
      </c>
      <c r="X35" s="9">
        <f t="shared" si="2"/>
        <v>0.5</v>
      </c>
    </row>
    <row r="36" spans="1:24" x14ac:dyDescent="0.3">
      <c r="A36" s="4" t="str">
        <f>VLOOKUP(G36,Data!$A:$G,2,0)</f>
        <v>Under Office (W Medinipur)</v>
      </c>
      <c r="B36" s="4" t="str">
        <f>VLOOKUP(G36,Data!$A:$G,3,0)</f>
        <v>Active</v>
      </c>
      <c r="C36" s="4" t="str">
        <f>VLOOKUP(G36,Data!$A:$G,4,0)</f>
        <v>Hooghly</v>
      </c>
      <c r="D36" s="4" t="str">
        <f>VLOOKUP(G36,Data!$A:$G,5,0)</f>
        <v>Ghatal</v>
      </c>
      <c r="E36" s="4" t="str">
        <f>VLOOKUP(G36,Data!$A:$G,6,0)</f>
        <v>Chandan Satik</v>
      </c>
      <c r="F36" s="10" t="str">
        <f>VLOOKUP(G36,Data!$A:$G,7,0)</f>
        <v>2390311662</v>
      </c>
      <c r="G36" s="5">
        <v>22400</v>
      </c>
      <c r="H36" s="5" t="str">
        <f>VLOOKUP(G36,'FI txn'!$G:$X,18,0)</f>
        <v>&lt; 150</v>
      </c>
      <c r="I36" s="7">
        <f>VLOOKUP(G36,'FI txn'!$G:$H,2,0)</f>
        <v>6</v>
      </c>
      <c r="J36" s="7">
        <f t="shared" si="3"/>
        <v>72</v>
      </c>
      <c r="K36" s="8"/>
      <c r="L36" s="8"/>
      <c r="M36" s="8"/>
      <c r="N36" s="8"/>
      <c r="O36" s="8">
        <v>1</v>
      </c>
      <c r="P36" s="8"/>
      <c r="Q36" s="8"/>
      <c r="R36" s="8"/>
      <c r="S36" s="8"/>
      <c r="T36" s="8"/>
      <c r="U36" s="8"/>
      <c r="V36" s="8"/>
      <c r="W36" s="8">
        <f t="shared" si="4"/>
        <v>1</v>
      </c>
      <c r="X36" s="9">
        <f t="shared" si="2"/>
        <v>0.16666666666666666</v>
      </c>
    </row>
    <row r="37" spans="1:24" x14ac:dyDescent="0.3">
      <c r="A37" s="4" t="str">
        <f>VLOOKUP(G37,Data!$A:$G,2,0)</f>
        <v>Manindra Nath Barman</v>
      </c>
      <c r="B37" s="4" t="str">
        <f>VLOOKUP(G37,Data!$A:$G,3,0)</f>
        <v>Active</v>
      </c>
      <c r="C37" s="4" t="str">
        <f>VLOOKUP(G37,Data!$A:$G,4,0)</f>
        <v>Siliguri</v>
      </c>
      <c r="D37" s="4" t="str">
        <f>VLOOKUP(G37,Data!$A:$G,5,0)</f>
        <v>Ethelbari</v>
      </c>
      <c r="E37" s="4" t="str">
        <f>VLOOKUP(G37,Data!$A:$G,6,0)</f>
        <v>Tarif Baxla</v>
      </c>
      <c r="F37" s="10" t="str">
        <f>VLOOKUP(G37,Data!$A:$G,7,0)</f>
        <v>8410316211</v>
      </c>
      <c r="G37" s="5">
        <v>29798</v>
      </c>
      <c r="H37" s="5" t="str">
        <f>VLOOKUP(G37,'FI txn'!$G:$X,18,0)</f>
        <v>&lt; 150</v>
      </c>
      <c r="I37" s="7">
        <f>VLOOKUP(G37,'FI txn'!$G:$H,2,0)</f>
        <v>2</v>
      </c>
      <c r="J37" s="7">
        <f t="shared" si="3"/>
        <v>24</v>
      </c>
      <c r="K37" s="8"/>
      <c r="L37" s="8"/>
      <c r="M37" s="8"/>
      <c r="N37" s="8"/>
      <c r="O37" s="8"/>
      <c r="P37" s="8">
        <v>1</v>
      </c>
      <c r="Q37" s="8"/>
      <c r="R37" s="8"/>
      <c r="S37" s="8"/>
      <c r="T37" s="8"/>
      <c r="U37" s="8"/>
      <c r="V37" s="8"/>
      <c r="W37" s="8">
        <f t="shared" si="4"/>
        <v>1</v>
      </c>
      <c r="X37" s="9">
        <f t="shared" si="2"/>
        <v>0.5</v>
      </c>
    </row>
    <row r="38" spans="1:24" x14ac:dyDescent="0.3">
      <c r="A38" s="4" t="str">
        <f>VLOOKUP(G38,Data!$A:$G,2,0)</f>
        <v>Under Office (W Medinipur)</v>
      </c>
      <c r="B38" s="4" t="str">
        <f>VLOOKUP(G38,Data!$A:$G,3,0)</f>
        <v>Active</v>
      </c>
      <c r="C38" s="4" t="str">
        <f>VLOOKUP(G38,Data!$A:$G,4,0)</f>
        <v>Hooghly</v>
      </c>
      <c r="D38" s="4" t="str">
        <f>VLOOKUP(G38,Data!$A:$G,5,0)</f>
        <v>Khirpai</v>
      </c>
      <c r="E38" s="4" t="str">
        <f>VLOOKUP(G38,Data!$A:$G,6,0)</f>
        <v>Sk Abbas Ali</v>
      </c>
      <c r="F38" s="10" t="str">
        <f>VLOOKUP(G38,Data!$A:$G,7,0)</f>
        <v>2390311378</v>
      </c>
      <c r="G38" s="5">
        <v>22073</v>
      </c>
      <c r="H38" s="5" t="str">
        <f>VLOOKUP(G38,'FI txn'!$G:$X,18,0)</f>
        <v>&gt; 900</v>
      </c>
      <c r="I38" s="7">
        <f>VLOOKUP(G38,'FI txn'!$G:$H,2,0)</f>
        <v>6</v>
      </c>
      <c r="J38" s="7">
        <f t="shared" si="3"/>
        <v>72</v>
      </c>
      <c r="K38" s="8">
        <v>5</v>
      </c>
      <c r="L38" s="8">
        <v>15</v>
      </c>
      <c r="M38" s="8">
        <v>7</v>
      </c>
      <c r="N38" s="8">
        <v>6</v>
      </c>
      <c r="O38" s="8"/>
      <c r="P38" s="8"/>
      <c r="Q38" s="8"/>
      <c r="R38" s="8"/>
      <c r="S38" s="8"/>
      <c r="T38" s="8"/>
      <c r="U38" s="8"/>
      <c r="V38" s="8"/>
      <c r="W38" s="8">
        <f t="shared" si="4"/>
        <v>33</v>
      </c>
      <c r="X38" s="9">
        <f t="shared" si="2"/>
        <v>5.5</v>
      </c>
    </row>
    <row r="39" spans="1:24" x14ac:dyDescent="0.3">
      <c r="A39" s="4" t="str">
        <f>VLOOKUP(G39,Data!$A:$G,2,0)</f>
        <v>Under Office (W Medinipur)</v>
      </c>
      <c r="B39" s="4" t="str">
        <f>VLOOKUP(G39,Data!$A:$G,3,0)</f>
        <v>Active</v>
      </c>
      <c r="C39" s="4" t="str">
        <f>VLOOKUP(G39,Data!$A:$G,4,0)</f>
        <v>Hooghly</v>
      </c>
      <c r="D39" s="4" t="str">
        <f>VLOOKUP(G39,Data!$A:$G,5,0)</f>
        <v>Ramjibanpur</v>
      </c>
      <c r="E39" s="4" t="str">
        <f>VLOOKUP(G39,Data!$A:$G,6,0)</f>
        <v xml:space="preserve">Mahadeb Das </v>
      </c>
      <c r="F39" s="10" t="str">
        <f>VLOOKUP(G39,Data!$A:$G,7,0)</f>
        <v>3390315155</v>
      </c>
      <c r="G39" s="5">
        <v>27629</v>
      </c>
      <c r="H39" s="5" t="str">
        <f>VLOOKUP(G39,'FI txn'!$G:$X,18,0)</f>
        <v>&gt; 300</v>
      </c>
      <c r="I39" s="7">
        <f>VLOOKUP(G39,'FI txn'!$G:$H,2,0)</f>
        <v>6</v>
      </c>
      <c r="J39" s="7">
        <f t="shared" si="3"/>
        <v>72</v>
      </c>
      <c r="K39" s="8">
        <v>5</v>
      </c>
      <c r="L39" s="8">
        <v>5</v>
      </c>
      <c r="M39" s="8">
        <v>9</v>
      </c>
      <c r="N39" s="8">
        <v>1</v>
      </c>
      <c r="O39" s="8"/>
      <c r="P39" s="8"/>
      <c r="Q39" s="8"/>
      <c r="R39" s="8"/>
      <c r="S39" s="8"/>
      <c r="T39" s="8"/>
      <c r="U39" s="8"/>
      <c r="V39" s="8"/>
      <c r="W39" s="8">
        <f t="shared" si="4"/>
        <v>20</v>
      </c>
      <c r="X39" s="9">
        <f t="shared" si="2"/>
        <v>3.3333333333333335</v>
      </c>
    </row>
    <row r="40" spans="1:24" x14ac:dyDescent="0.3">
      <c r="A40" s="4" t="str">
        <f>VLOOKUP(G40,Data!$A:$G,2,0)</f>
        <v>Under Office (W Medinipur)</v>
      </c>
      <c r="B40" s="4" t="str">
        <f>VLOOKUP(G40,Data!$A:$G,3,0)</f>
        <v>Active</v>
      </c>
      <c r="C40" s="4" t="str">
        <f>VLOOKUP(G40,Data!$A:$G,4,0)</f>
        <v>Hooghly</v>
      </c>
      <c r="D40" s="4" t="str">
        <f>VLOOKUP(G40,Data!$A:$G,5,0)</f>
        <v>Khirpai</v>
      </c>
      <c r="E40" s="4" t="str">
        <f>VLOOKUP(G40,Data!$A:$G,6,0)</f>
        <v>Reshma Khatun</v>
      </c>
      <c r="F40" s="10" t="str">
        <f>VLOOKUP(G40,Data!$A:$G,7,0)</f>
        <v>2390314453</v>
      </c>
      <c r="G40" s="5">
        <v>26501</v>
      </c>
      <c r="H40" s="5" t="str">
        <f>VLOOKUP(G40,'FI txn'!$G:$X,18,0)</f>
        <v>&gt; 450</v>
      </c>
      <c r="I40" s="7">
        <f>VLOOKUP(G40,'FI txn'!$G:$H,2,0)</f>
        <v>6</v>
      </c>
      <c r="J40" s="7">
        <f t="shared" si="3"/>
        <v>72</v>
      </c>
      <c r="K40" s="8">
        <v>5</v>
      </c>
      <c r="L40" s="8">
        <v>6</v>
      </c>
      <c r="M40" s="8">
        <v>4</v>
      </c>
      <c r="N40" s="8">
        <v>4</v>
      </c>
      <c r="O40" s="8"/>
      <c r="P40" s="8"/>
      <c r="Q40" s="8"/>
      <c r="R40" s="8"/>
      <c r="S40" s="8"/>
      <c r="T40" s="8"/>
      <c r="U40" s="8"/>
      <c r="V40" s="8"/>
      <c r="W40" s="8">
        <f t="shared" si="4"/>
        <v>19</v>
      </c>
      <c r="X40" s="9">
        <f t="shared" si="2"/>
        <v>3.1666666666666665</v>
      </c>
    </row>
    <row r="41" spans="1:24" x14ac:dyDescent="0.3">
      <c r="A41" s="4" t="str">
        <f>VLOOKUP(G41,Data!$A:$G,2,0)</f>
        <v>Sunil Biswas</v>
      </c>
      <c r="B41" s="4" t="str">
        <f>VLOOKUP(G41,Data!$A:$G,3,0)</f>
        <v>Active</v>
      </c>
      <c r="C41" s="4" t="str">
        <f>VLOOKUP(G41,Data!$A:$G,4,0)</f>
        <v>Durgapur</v>
      </c>
      <c r="D41" s="4" t="str">
        <f>VLOOKUP(G41,Data!$A:$G,5,0)</f>
        <v>Hridaypur</v>
      </c>
      <c r="E41" s="4" t="str">
        <f>VLOOKUP(G41,Data!$A:$G,6,0)</f>
        <v>Suman Ghosh</v>
      </c>
      <c r="F41" s="10" t="str">
        <f>VLOOKUP(G41,Data!$A:$G,7,0)</f>
        <v>8116659114</v>
      </c>
      <c r="G41" s="5">
        <v>29525</v>
      </c>
      <c r="H41" s="5" t="str">
        <f>VLOOKUP(G41,'FI txn'!$G:$X,18,0)</f>
        <v>&lt; 150</v>
      </c>
      <c r="I41" s="7">
        <f>VLOOKUP(G41,'FI txn'!$G:$H,2,0)</f>
        <v>4</v>
      </c>
      <c r="J41" s="7">
        <f t="shared" si="3"/>
        <v>48</v>
      </c>
      <c r="K41" s="8"/>
      <c r="L41" s="8"/>
      <c r="M41" s="8">
        <v>2</v>
      </c>
      <c r="N41" s="8">
        <v>12</v>
      </c>
      <c r="O41" s="8"/>
      <c r="P41" s="8"/>
      <c r="Q41" s="8"/>
      <c r="R41" s="8"/>
      <c r="S41" s="8"/>
      <c r="T41" s="8"/>
      <c r="U41" s="8"/>
      <c r="V41" s="8"/>
      <c r="W41" s="8">
        <f t="shared" si="4"/>
        <v>14</v>
      </c>
      <c r="X41" s="9"/>
    </row>
    <row r="42" spans="1:24" x14ac:dyDescent="0.3">
      <c r="A42" s="4" t="str">
        <f>VLOOKUP(G42,Data!$A:$G,2,0)</f>
        <v>Souvik Maity</v>
      </c>
      <c r="B42" s="4" t="str">
        <f>VLOOKUP(G42,Data!$A:$G,3,0)</f>
        <v>Active</v>
      </c>
      <c r="C42" s="4" t="str">
        <f>VLOOKUP(G42,Data!$A:$G,4,0)</f>
        <v>Hooghly</v>
      </c>
      <c r="D42" s="4" t="str">
        <f>VLOOKUP(G42,Data!$A:$G,5,0)</f>
        <v>Haripal</v>
      </c>
      <c r="E42" s="4" t="str">
        <f>VLOOKUP(G42,Data!$A:$G,6,0)</f>
        <v>Sk Nasim Ali</v>
      </c>
      <c r="F42" s="10" t="str">
        <f>VLOOKUP(G42,Data!$A:$G,7,0)</f>
        <v>3390312613</v>
      </c>
      <c r="G42" s="5">
        <v>23669</v>
      </c>
      <c r="H42" s="5" t="str">
        <f>VLOOKUP(G42,'FI txn'!$G:$X,18,0)</f>
        <v>&gt; 450</v>
      </c>
      <c r="I42" s="7">
        <f>VLOOKUP(G42,'FI txn'!$G:$H,2,0)</f>
        <v>6</v>
      </c>
      <c r="J42" s="7">
        <f t="shared" si="3"/>
        <v>72</v>
      </c>
      <c r="K42" s="8">
        <v>1</v>
      </c>
      <c r="L42" s="8">
        <v>7</v>
      </c>
      <c r="M42" s="8">
        <v>3</v>
      </c>
      <c r="N42" s="8">
        <v>2</v>
      </c>
      <c r="O42" s="8"/>
      <c r="P42" s="8"/>
      <c r="Q42" s="8"/>
      <c r="R42" s="8"/>
      <c r="S42" s="8"/>
      <c r="T42" s="8"/>
      <c r="U42" s="8"/>
      <c r="V42" s="8"/>
      <c r="W42" s="8">
        <f t="shared" si="4"/>
        <v>13</v>
      </c>
      <c r="X42" s="9">
        <f t="shared" ref="X42:X68" si="5">W42/I42</f>
        <v>2.1666666666666665</v>
      </c>
    </row>
    <row r="43" spans="1:24" x14ac:dyDescent="0.3">
      <c r="A43" s="4" t="str">
        <f>VLOOKUP(G43,Data!$A:$G,2,0)</f>
        <v>Under Office (W Medinipur)</v>
      </c>
      <c r="B43" s="4" t="str">
        <f>VLOOKUP(G43,Data!$A:$G,3,0)</f>
        <v>Active</v>
      </c>
      <c r="C43" s="4" t="str">
        <f>VLOOKUP(G43,Data!$A:$G,4,0)</f>
        <v>Hooghly</v>
      </c>
      <c r="D43" s="4" t="str">
        <f>VLOOKUP(G43,Data!$A:$G,5,0)</f>
        <v>Kankabati</v>
      </c>
      <c r="E43" s="4" t="str">
        <f>VLOOKUP(G43,Data!$A:$G,6,0)</f>
        <v>Mita Samanta</v>
      </c>
      <c r="F43" s="10" t="str">
        <f>VLOOKUP(G43,Data!$A:$G,7,0)</f>
        <v>2390311663</v>
      </c>
      <c r="G43" s="5">
        <v>22401</v>
      </c>
      <c r="H43" s="5" t="str">
        <f>VLOOKUP(G43,'FI txn'!$G:$X,18,0)</f>
        <v>&lt; 150</v>
      </c>
      <c r="I43" s="7">
        <f>VLOOKUP(G43,'FI txn'!$G:$H,2,0)</f>
        <v>6</v>
      </c>
      <c r="J43" s="7">
        <f t="shared" si="3"/>
        <v>72</v>
      </c>
      <c r="K43" s="8"/>
      <c r="L43" s="8">
        <v>11</v>
      </c>
      <c r="M43" s="8">
        <v>1</v>
      </c>
      <c r="N43" s="8"/>
      <c r="O43" s="8"/>
      <c r="P43" s="8"/>
      <c r="Q43" s="8"/>
      <c r="R43" s="8"/>
      <c r="S43" s="8"/>
      <c r="T43" s="8"/>
      <c r="U43" s="8"/>
      <c r="V43" s="8"/>
      <c r="W43" s="8">
        <f t="shared" si="4"/>
        <v>12</v>
      </c>
      <c r="X43" s="9">
        <f t="shared" si="5"/>
        <v>2</v>
      </c>
    </row>
    <row r="44" spans="1:24" x14ac:dyDescent="0.3">
      <c r="A44" s="4" t="str">
        <f>VLOOKUP(G44,Data!$A:$G,2,0)</f>
        <v>Under Office (Birbhum)</v>
      </c>
      <c r="B44" s="4" t="str">
        <f>VLOOKUP(G44,Data!$A:$G,3,0)</f>
        <v>Active</v>
      </c>
      <c r="C44" s="4" t="str">
        <f>VLOOKUP(G44,Data!$A:$G,4,0)</f>
        <v>Siliguri</v>
      </c>
      <c r="D44" s="4" t="str">
        <f>VLOOKUP(G44,Data!$A:$G,5,0)</f>
        <v>Kapista</v>
      </c>
      <c r="E44" s="4" t="str">
        <f>VLOOKUP(G44,Data!$A:$G,6,0)</f>
        <v>Swarup Karmakar</v>
      </c>
      <c r="F44" s="10" t="str">
        <f>VLOOKUP(G44,Data!$A:$G,7,0)</f>
        <v>0140311629</v>
      </c>
      <c r="G44" s="5">
        <v>22366</v>
      </c>
      <c r="H44" s="5" t="str">
        <f>VLOOKUP(G44,'FI txn'!$G:$X,18,0)</f>
        <v>&gt; 300</v>
      </c>
      <c r="I44" s="7">
        <f>VLOOKUP(G44,'FI txn'!$G:$H,2,0)</f>
        <v>6</v>
      </c>
      <c r="J44" s="7">
        <f t="shared" si="3"/>
        <v>72</v>
      </c>
      <c r="K44" s="8"/>
      <c r="L44" s="8"/>
      <c r="M44" s="8">
        <v>6</v>
      </c>
      <c r="N44" s="8">
        <v>3</v>
      </c>
      <c r="O44" s="8"/>
      <c r="P44" s="8"/>
      <c r="Q44" s="8"/>
      <c r="R44" s="8"/>
      <c r="S44" s="8"/>
      <c r="T44" s="8"/>
      <c r="U44" s="8"/>
      <c r="V44" s="8"/>
      <c r="W44" s="8">
        <f t="shared" si="4"/>
        <v>9</v>
      </c>
      <c r="X44" s="9">
        <f t="shared" si="5"/>
        <v>1.5</v>
      </c>
    </row>
    <row r="45" spans="1:24" x14ac:dyDescent="0.3">
      <c r="A45" s="4" t="str">
        <f>VLOOKUP(G45,Data!$A:$G,2,0)</f>
        <v>Sunil Biswas</v>
      </c>
      <c r="B45" s="4" t="str">
        <f>VLOOKUP(G45,Data!$A:$G,3,0)</f>
        <v>Inactive</v>
      </c>
      <c r="C45" s="4" t="str">
        <f>VLOOKUP(G45,Data!$A:$G,4,0)</f>
        <v>Durgapur</v>
      </c>
      <c r="D45" s="4" t="str">
        <f>VLOOKUP(G45,Data!$A:$G,5,0)</f>
        <v>Hridaypur</v>
      </c>
      <c r="E45" s="4" t="str">
        <f>VLOOKUP(G45,Data!$A:$G,6,0)</f>
        <v>Asim Halder</v>
      </c>
      <c r="F45" s="10" t="str">
        <f>VLOOKUP(G45,Data!$A:$G,7,0)</f>
        <v>2430315807</v>
      </c>
      <c r="G45" s="5">
        <v>29052</v>
      </c>
      <c r="H45" s="5" t="str">
        <f>VLOOKUP(G45,'FI txn'!$G:$X,18,0)</f>
        <v>&lt; 150</v>
      </c>
      <c r="I45" s="7">
        <f>VLOOKUP(G45,'FI txn'!$G:$H,2,0)</f>
        <v>3</v>
      </c>
      <c r="J45" s="7">
        <f t="shared" si="3"/>
        <v>36</v>
      </c>
      <c r="K45" s="8">
        <v>4</v>
      </c>
      <c r="L45" s="8">
        <v>4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>
        <f t="shared" si="4"/>
        <v>8</v>
      </c>
      <c r="X45" s="9">
        <f t="shared" si="5"/>
        <v>2.6666666666666665</v>
      </c>
    </row>
    <row r="46" spans="1:24" x14ac:dyDescent="0.3">
      <c r="A46" s="4" t="str">
        <f>VLOOKUP(G46,Data!$A:$G,2,0)</f>
        <v>Shyamalesh Sarkar</v>
      </c>
      <c r="B46" s="4" t="str">
        <f>VLOOKUP(G46,Data!$A:$G,3,0)</f>
        <v>Active</v>
      </c>
      <c r="C46" s="4" t="str">
        <f>VLOOKUP(G46,Data!$A:$G,4,0)</f>
        <v>Siliguri</v>
      </c>
      <c r="D46" s="4" t="str">
        <f>VLOOKUP(G46,Data!$A:$G,5,0)</f>
        <v>Sagardighi Square</v>
      </c>
      <c r="E46" s="4" t="str">
        <f>VLOOKUP(G46,Data!$A:$G,6,0)</f>
        <v>Rajani Roy</v>
      </c>
      <c r="F46" s="10" t="str">
        <f>VLOOKUP(G46,Data!$A:$G,7,0)</f>
        <v>2200310076</v>
      </c>
      <c r="G46" s="5">
        <v>20502</v>
      </c>
      <c r="H46" s="5" t="str">
        <f>VLOOKUP(G46,'FI txn'!$G:$X,18,0)</f>
        <v>&gt; 150</v>
      </c>
      <c r="I46" s="7">
        <f>VLOOKUP(G46,'FI txn'!$G:$H,2,0)</f>
        <v>6</v>
      </c>
      <c r="J46" s="7">
        <f t="shared" si="3"/>
        <v>72</v>
      </c>
      <c r="K46" s="8">
        <v>4</v>
      </c>
      <c r="L46" s="8"/>
      <c r="M46" s="8">
        <v>2</v>
      </c>
      <c r="N46" s="8">
        <v>1</v>
      </c>
      <c r="O46" s="8"/>
      <c r="P46" s="8"/>
      <c r="Q46" s="8"/>
      <c r="R46" s="8"/>
      <c r="S46" s="8"/>
      <c r="T46" s="8"/>
      <c r="U46" s="8"/>
      <c r="V46" s="8"/>
      <c r="W46" s="8">
        <f t="shared" si="4"/>
        <v>7</v>
      </c>
      <c r="X46" s="9">
        <f t="shared" si="5"/>
        <v>1.1666666666666667</v>
      </c>
    </row>
    <row r="47" spans="1:24" x14ac:dyDescent="0.3">
      <c r="A47" s="4" t="str">
        <f>VLOOKUP(G47,Data!$A:$G,2,0)</f>
        <v>Sunil Biswas</v>
      </c>
      <c r="B47" s="4" t="str">
        <f>VLOOKUP(G47,Data!$A:$G,3,0)</f>
        <v>Active</v>
      </c>
      <c r="C47" s="4" t="str">
        <f>VLOOKUP(G47,Data!$A:$G,4,0)</f>
        <v>Durgapur</v>
      </c>
      <c r="D47" s="4" t="str">
        <f>VLOOKUP(G47,Data!$A:$G,5,0)</f>
        <v>Hidaypur</v>
      </c>
      <c r="E47" s="4" t="str">
        <f>VLOOKUP(G47,Data!$A:$G,6,0)</f>
        <v>Akramul Shaikh</v>
      </c>
      <c r="F47" s="10" t="str">
        <f>VLOOKUP(G47,Data!$A:$G,7,0)</f>
        <v>2430315571</v>
      </c>
      <c r="G47" s="5">
        <v>28485</v>
      </c>
      <c r="H47" s="5" t="str">
        <f>VLOOKUP(G47,'FI txn'!$G:$X,18,0)</f>
        <v>&gt; 150</v>
      </c>
      <c r="I47" s="7">
        <f>VLOOKUP(G47,'FI txn'!$G:$H,2,0)</f>
        <v>6</v>
      </c>
      <c r="J47" s="7">
        <f t="shared" si="3"/>
        <v>72</v>
      </c>
      <c r="K47" s="8">
        <v>2</v>
      </c>
      <c r="L47" s="8">
        <v>3</v>
      </c>
      <c r="M47" s="8">
        <v>1</v>
      </c>
      <c r="N47" s="8"/>
      <c r="O47" s="8"/>
      <c r="P47" s="8"/>
      <c r="Q47" s="8"/>
      <c r="R47" s="8"/>
      <c r="S47" s="8"/>
      <c r="T47" s="8"/>
      <c r="U47" s="8"/>
      <c r="V47" s="8"/>
      <c r="W47" s="8">
        <f t="shared" si="4"/>
        <v>6</v>
      </c>
      <c r="X47" s="9">
        <f t="shared" si="5"/>
        <v>1</v>
      </c>
    </row>
    <row r="48" spans="1:24" x14ac:dyDescent="0.3">
      <c r="A48" s="4" t="str">
        <f>VLOOKUP(G48,Data!$A:$G,2,0)</f>
        <v>Souvik Maity</v>
      </c>
      <c r="B48" s="4" t="str">
        <f>VLOOKUP(G48,Data!$A:$G,3,0)</f>
        <v>Active</v>
      </c>
      <c r="C48" s="4" t="str">
        <f>VLOOKUP(G48,Data!$A:$G,4,0)</f>
        <v>Hooghly</v>
      </c>
      <c r="D48" s="4" t="str">
        <f>VLOOKUP(G48,Data!$A:$G,5,0)</f>
        <v>Kalipur</v>
      </c>
      <c r="E48" s="4" t="str">
        <f>VLOOKUP(G48,Data!$A:$G,6,0)</f>
        <v>Satyajit Chattopadhyay</v>
      </c>
      <c r="F48" s="10" t="str">
        <f>VLOOKUP(G48,Data!$A:$G,7,0)</f>
        <v>3390311422</v>
      </c>
      <c r="G48" s="5">
        <v>22128</v>
      </c>
      <c r="H48" s="5" t="str">
        <f>VLOOKUP(G48,'FI txn'!$G:$X,18,0)</f>
        <v>&gt; 450</v>
      </c>
      <c r="I48" s="7">
        <f>VLOOKUP(G48,'FI txn'!$G:$H,2,0)</f>
        <v>6</v>
      </c>
      <c r="J48" s="7">
        <f t="shared" si="3"/>
        <v>72</v>
      </c>
      <c r="K48" s="8">
        <v>3</v>
      </c>
      <c r="L48" s="8">
        <v>2</v>
      </c>
      <c r="M48" s="8">
        <v>1</v>
      </c>
      <c r="N48" s="8"/>
      <c r="O48" s="8"/>
      <c r="P48" s="8"/>
      <c r="Q48" s="8"/>
      <c r="R48" s="8"/>
      <c r="S48" s="8"/>
      <c r="T48" s="8"/>
      <c r="U48" s="8"/>
      <c r="V48" s="8"/>
      <c r="W48" s="8">
        <f t="shared" si="4"/>
        <v>6</v>
      </c>
      <c r="X48" s="9">
        <f t="shared" si="5"/>
        <v>1</v>
      </c>
    </row>
    <row r="49" spans="1:24" x14ac:dyDescent="0.3">
      <c r="A49" s="4" t="str">
        <f>VLOOKUP(G49,Data!$A:$G,2,0)</f>
        <v>Souvik Maity</v>
      </c>
      <c r="B49" s="4" t="str">
        <f>VLOOKUP(G49,Data!$A:$G,3,0)</f>
        <v>Active</v>
      </c>
      <c r="C49" s="4" t="str">
        <f>VLOOKUP(G49,Data!$A:$G,4,0)</f>
        <v>Hooghly</v>
      </c>
      <c r="D49" s="4" t="str">
        <f>VLOOKUP(G49,Data!$A:$G,5,0)</f>
        <v>Rajbalhat</v>
      </c>
      <c r="E49" s="4" t="str">
        <f>VLOOKUP(G49,Data!$A:$G,6,0)</f>
        <v>Dibyendu Bhowmick</v>
      </c>
      <c r="F49" s="10" t="str">
        <f>VLOOKUP(G49,Data!$A:$G,7,0)</f>
        <v>3390314186</v>
      </c>
      <c r="G49" s="5">
        <v>26015</v>
      </c>
      <c r="H49" s="5" t="str">
        <f>VLOOKUP(G49,'FI txn'!$G:$X,18,0)</f>
        <v>&gt; 450</v>
      </c>
      <c r="I49" s="7">
        <f>VLOOKUP(G49,'FI txn'!$G:$H,2,0)</f>
        <v>6</v>
      </c>
      <c r="J49" s="7">
        <f t="shared" si="3"/>
        <v>72</v>
      </c>
      <c r="K49" s="8"/>
      <c r="L49" s="8"/>
      <c r="M49" s="8">
        <v>5</v>
      </c>
      <c r="N49" s="8">
        <v>1</v>
      </c>
      <c r="O49" s="8"/>
      <c r="P49" s="8"/>
      <c r="Q49" s="8"/>
      <c r="R49" s="8"/>
      <c r="S49" s="8"/>
      <c r="T49" s="8"/>
      <c r="U49" s="8"/>
      <c r="V49" s="8"/>
      <c r="W49" s="8">
        <f t="shared" si="4"/>
        <v>6</v>
      </c>
      <c r="X49" s="9">
        <f t="shared" si="5"/>
        <v>1</v>
      </c>
    </row>
    <row r="50" spans="1:24" x14ac:dyDescent="0.3">
      <c r="A50" s="4" t="str">
        <f>VLOOKUP(G50,Data!$A:$G,2,0)</f>
        <v>Shyamalesh Sarkar</v>
      </c>
      <c r="B50" s="4" t="str">
        <f>VLOOKUP(G50,Data!$A:$G,3,0)</f>
        <v>Active</v>
      </c>
      <c r="C50" s="4" t="str">
        <f>VLOOKUP(G50,Data!$A:$G,4,0)</f>
        <v>Siliguri</v>
      </c>
      <c r="D50" s="4" t="str">
        <f>VLOOKUP(G50,Data!$A:$G,5,0)</f>
        <v>Sagardighi Square</v>
      </c>
      <c r="E50" s="4" t="str">
        <f>VLOOKUP(G50,Data!$A:$G,6,0)</f>
        <v>Ajit Modak</v>
      </c>
      <c r="F50" s="10" t="str">
        <f>VLOOKUP(G50,Data!$A:$G,7,0)</f>
        <v>2200309916</v>
      </c>
      <c r="G50" s="5">
        <v>20322</v>
      </c>
      <c r="H50" s="5" t="str">
        <f>VLOOKUP(G50,'FI txn'!$G:$X,18,0)</f>
        <v>&gt; 450</v>
      </c>
      <c r="I50" s="7">
        <f>VLOOKUP(G50,'FI txn'!$G:$H,2,0)</f>
        <v>6</v>
      </c>
      <c r="J50" s="7">
        <f t="shared" si="3"/>
        <v>72</v>
      </c>
      <c r="K50" s="8">
        <v>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>
        <f t="shared" si="4"/>
        <v>5</v>
      </c>
      <c r="X50" s="9">
        <f t="shared" si="5"/>
        <v>0.83333333333333337</v>
      </c>
    </row>
    <row r="51" spans="1:24" x14ac:dyDescent="0.3">
      <c r="A51" s="4" t="str">
        <f>VLOOKUP(G51,Data!$A:$G,2,0)</f>
        <v>Under Office (W Medinipur)</v>
      </c>
      <c r="B51" s="4" t="str">
        <f>VLOOKUP(G51,Data!$A:$G,3,0)</f>
        <v>Active</v>
      </c>
      <c r="C51" s="4" t="str">
        <f>VLOOKUP(G51,Data!$A:$G,4,0)</f>
        <v>Hooghly</v>
      </c>
      <c r="D51" s="4" t="str">
        <f>VLOOKUP(G51,Data!$A:$G,5,0)</f>
        <v>Chandrakona</v>
      </c>
      <c r="E51" s="4" t="str">
        <f>VLOOKUP(G51,Data!$A:$G,6,0)</f>
        <v>Ananya Maity Bag</v>
      </c>
      <c r="F51" s="10" t="str">
        <f>VLOOKUP(G51,Data!$A:$G,7,0)</f>
        <v>2390313181</v>
      </c>
      <c r="G51" s="5">
        <v>24495</v>
      </c>
      <c r="H51" s="5" t="str">
        <f>VLOOKUP(G51,'FI txn'!$G:$X,18,0)</f>
        <v>&gt; 300</v>
      </c>
      <c r="I51" s="7">
        <f>VLOOKUP(G51,'FI txn'!$G:$H,2,0)</f>
        <v>6</v>
      </c>
      <c r="J51" s="7">
        <f t="shared" si="3"/>
        <v>72</v>
      </c>
      <c r="K51" s="8">
        <v>2</v>
      </c>
      <c r="L51" s="8">
        <v>1</v>
      </c>
      <c r="M51" s="8">
        <v>1</v>
      </c>
      <c r="N51" s="8"/>
      <c r="O51" s="8"/>
      <c r="P51" s="8"/>
      <c r="Q51" s="8"/>
      <c r="R51" s="8"/>
      <c r="S51" s="8"/>
      <c r="T51" s="8"/>
      <c r="U51" s="8"/>
      <c r="V51" s="8"/>
      <c r="W51" s="8">
        <f t="shared" si="4"/>
        <v>4</v>
      </c>
      <c r="X51" s="9">
        <f t="shared" si="5"/>
        <v>0.66666666666666663</v>
      </c>
    </row>
    <row r="52" spans="1:24" x14ac:dyDescent="0.3">
      <c r="A52" s="4" t="str">
        <f>VLOOKUP(G52,Data!$A:$G,2,0)</f>
        <v>Santanu Bera</v>
      </c>
      <c r="B52" s="4" t="str">
        <f>VLOOKUP(G52,Data!$A:$G,3,0)</f>
        <v>Active</v>
      </c>
      <c r="C52" s="4" t="str">
        <f>VLOOKUP(G52,Data!$A:$G,4,0)</f>
        <v>Hooghly</v>
      </c>
      <c r="D52" s="4" t="str">
        <f>VLOOKUP(G52,Data!$A:$G,5,0)</f>
        <v>Kolaghat (Ktpps)</v>
      </c>
      <c r="E52" s="4" t="str">
        <f>VLOOKUP(G52,Data!$A:$G,6,0)</f>
        <v>Sudipta Mandal</v>
      </c>
      <c r="F52" s="10" t="str">
        <f>VLOOKUP(G52,Data!$A:$G,7,0)</f>
        <v>2380315163</v>
      </c>
      <c r="G52" s="5">
        <v>27637</v>
      </c>
      <c r="H52" s="5" t="str">
        <f>VLOOKUP(G52,'FI txn'!$G:$X,18,0)</f>
        <v>&lt; 150</v>
      </c>
      <c r="I52" s="7">
        <f>VLOOKUP(G52,'FI txn'!$G:$H,2,0)</f>
        <v>6</v>
      </c>
      <c r="J52" s="7">
        <f t="shared" si="3"/>
        <v>72</v>
      </c>
      <c r="K52" s="8"/>
      <c r="L52" s="8">
        <v>4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>
        <f t="shared" si="4"/>
        <v>4</v>
      </c>
      <c r="X52" s="9">
        <f t="shared" si="5"/>
        <v>0.66666666666666663</v>
      </c>
    </row>
    <row r="53" spans="1:24" x14ac:dyDescent="0.3">
      <c r="A53" s="4" t="str">
        <f>VLOOKUP(G53,Data!$A:$G,2,0)</f>
        <v>Avi Sk</v>
      </c>
      <c r="B53" s="4" t="str">
        <f>VLOOKUP(G53,Data!$A:$G,3,0)</f>
        <v>Active</v>
      </c>
      <c r="C53" s="4" t="str">
        <f>VLOOKUP(G53,Data!$A:$G,4,0)</f>
        <v>Siliguri</v>
      </c>
      <c r="D53" s="4" t="str">
        <f>VLOOKUP(G53,Data!$A:$G,5,0)</f>
        <v>Talgachi</v>
      </c>
      <c r="E53" s="4" t="str">
        <f>VLOOKUP(G53,Data!$A:$G,6,0)</f>
        <v>Giridhari Sarkar</v>
      </c>
      <c r="F53" s="10" t="str">
        <f>VLOOKUP(G53,Data!$A:$G,7,0)</f>
        <v>2410310083</v>
      </c>
      <c r="G53" s="5">
        <v>20509</v>
      </c>
      <c r="H53" s="5" t="str">
        <f>VLOOKUP(G53,'FI txn'!$G:$X,18,0)</f>
        <v>&gt; 600</v>
      </c>
      <c r="I53" s="7">
        <f>VLOOKUP(G53,'FI txn'!$G:$H,2,0)</f>
        <v>6</v>
      </c>
      <c r="J53" s="7">
        <f t="shared" si="3"/>
        <v>72</v>
      </c>
      <c r="K53" s="8"/>
      <c r="L53" s="8">
        <v>3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>
        <f t="shared" si="4"/>
        <v>3</v>
      </c>
      <c r="X53" s="9">
        <f t="shared" si="5"/>
        <v>0.5</v>
      </c>
    </row>
    <row r="54" spans="1:24" x14ac:dyDescent="0.3">
      <c r="A54" s="4" t="str">
        <f>VLOOKUP(G54,Data!$A:$G,2,0)</f>
        <v>Manindra Nath Barman</v>
      </c>
      <c r="B54" s="4" t="str">
        <f>VLOOKUP(G54,Data!$A:$G,3,0)</f>
        <v>Active</v>
      </c>
      <c r="C54" s="4" t="str">
        <f>VLOOKUP(G54,Data!$A:$G,4,0)</f>
        <v>Siliguri</v>
      </c>
      <c r="D54" s="4" t="str">
        <f>VLOOKUP(G54,Data!$A:$G,5,0)</f>
        <v>Barobisha</v>
      </c>
      <c r="E54" s="4" t="str">
        <f>VLOOKUP(G54,Data!$A:$G,6,0)</f>
        <v>Md Akimuzzaman</v>
      </c>
      <c r="F54" s="10" t="str">
        <f>VLOOKUP(G54,Data!$A:$G,7,0)</f>
        <v>2310315481</v>
      </c>
      <c r="G54" s="5">
        <v>28270</v>
      </c>
      <c r="H54" s="5" t="str">
        <f>VLOOKUP(G54,'FI txn'!$G:$X,18,0)</f>
        <v>&gt; 150</v>
      </c>
      <c r="I54" s="7">
        <f>VLOOKUP(G54,'FI txn'!$G:$H,2,0)</f>
        <v>6</v>
      </c>
      <c r="J54" s="7">
        <f t="shared" si="3"/>
        <v>72</v>
      </c>
      <c r="K54" s="8">
        <v>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>
        <f t="shared" si="4"/>
        <v>3</v>
      </c>
      <c r="X54" s="9">
        <f t="shared" si="5"/>
        <v>0.5</v>
      </c>
    </row>
    <row r="55" spans="1:24" x14ac:dyDescent="0.3">
      <c r="A55" s="4" t="str">
        <f>VLOOKUP(G55,Data!$A:$G,2,0)</f>
        <v>Santanu Bera</v>
      </c>
      <c r="B55" s="4" t="str">
        <f>VLOOKUP(G55,Data!$A:$G,3,0)</f>
        <v>Active</v>
      </c>
      <c r="C55" s="4" t="str">
        <f>VLOOKUP(G55,Data!$A:$G,4,0)</f>
        <v>Hooghly</v>
      </c>
      <c r="D55" s="4" t="str">
        <f>VLOOKUP(G55,Data!$A:$G,5,0)</f>
        <v>Keshapat</v>
      </c>
      <c r="E55" s="4" t="str">
        <f>VLOOKUP(G55,Data!$A:$G,6,0)</f>
        <v>Subhankar Samanta</v>
      </c>
      <c r="F55" s="10" t="str">
        <f>VLOOKUP(G55,Data!$A:$G,7,0)</f>
        <v>2380311664</v>
      </c>
      <c r="G55" s="5">
        <v>22402</v>
      </c>
      <c r="H55" s="5" t="str">
        <f>VLOOKUP(G55,'FI txn'!$G:$X,18,0)</f>
        <v>&lt; 150</v>
      </c>
      <c r="I55" s="7">
        <f>VLOOKUP(G55,'FI txn'!$G:$H,2,0)</f>
        <v>6</v>
      </c>
      <c r="J55" s="7">
        <f t="shared" si="3"/>
        <v>72</v>
      </c>
      <c r="K55" s="8">
        <v>1</v>
      </c>
      <c r="L55" s="8">
        <v>1</v>
      </c>
      <c r="M55" s="8"/>
      <c r="N55" s="8">
        <v>1</v>
      </c>
      <c r="O55" s="8"/>
      <c r="P55" s="8"/>
      <c r="Q55" s="8"/>
      <c r="R55" s="8"/>
      <c r="S55" s="8"/>
      <c r="T55" s="8"/>
      <c r="U55" s="8"/>
      <c r="V55" s="8"/>
      <c r="W55" s="8">
        <f t="shared" si="4"/>
        <v>3</v>
      </c>
      <c r="X55" s="9">
        <f t="shared" si="5"/>
        <v>0.5</v>
      </c>
    </row>
    <row r="56" spans="1:24" x14ac:dyDescent="0.3">
      <c r="A56" s="4" t="str">
        <f>VLOOKUP(G56,Data!$A:$G,2,0)</f>
        <v>Souvik Maity</v>
      </c>
      <c r="B56" s="4" t="str">
        <f>VLOOKUP(G56,Data!$A:$G,3,0)</f>
        <v>Inactive</v>
      </c>
      <c r="C56" s="4" t="str">
        <f>VLOOKUP(G56,Data!$A:$G,4,0)</f>
        <v>Hooghly</v>
      </c>
      <c r="D56" s="4" t="str">
        <f>VLOOKUP(G56,Data!$A:$G,5,0)</f>
        <v>Batanal</v>
      </c>
      <c r="E56" s="4" t="str">
        <f>VLOOKUP(G56,Data!$A:$G,6,0)</f>
        <v>Chaitali Shit Malik</v>
      </c>
      <c r="F56" s="10" t="str">
        <f>VLOOKUP(G56,Data!$A:$G,7,0)</f>
        <v>3390311948</v>
      </c>
      <c r="G56" s="12">
        <v>22775</v>
      </c>
      <c r="H56" s="5" t="str">
        <f>VLOOKUP(G56,'FI txn'!$G:$X,18,0)</f>
        <v>Nill</v>
      </c>
      <c r="I56" s="7">
        <f>VLOOKUP(G56,'FI txn'!$G:$H,2,0)</f>
        <v>1</v>
      </c>
      <c r="J56" s="7">
        <f t="shared" si="3"/>
        <v>12</v>
      </c>
      <c r="K56" s="8"/>
      <c r="L56" s="8">
        <v>3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>
        <f t="shared" si="4"/>
        <v>3</v>
      </c>
      <c r="X56" s="9">
        <f t="shared" si="5"/>
        <v>3</v>
      </c>
    </row>
    <row r="57" spans="1:24" x14ac:dyDescent="0.3">
      <c r="A57" s="4" t="str">
        <f>VLOOKUP(G57,Data!$A:$G,2,0)</f>
        <v>Under Office (Birbhum)</v>
      </c>
      <c r="B57" s="4" t="str">
        <f>VLOOKUP(G57,Data!$A:$G,3,0)</f>
        <v>Active</v>
      </c>
      <c r="C57" s="4" t="str">
        <f>VLOOKUP(G57,Data!$A:$G,4,0)</f>
        <v>Siliguri</v>
      </c>
      <c r="D57" s="4" t="str">
        <f>VLOOKUP(G57,Data!$A:$G,5,0)</f>
        <v>Parsundi</v>
      </c>
      <c r="E57" s="4" t="str">
        <f>VLOOKUP(G57,Data!$A:$G,6,0)</f>
        <v>Parimal Das</v>
      </c>
      <c r="F57" s="10" t="str">
        <f>VLOOKUP(G57,Data!$A:$G,7,0)</f>
        <v>0140311628</v>
      </c>
      <c r="G57" s="5">
        <v>22365</v>
      </c>
      <c r="H57" s="5" t="str">
        <f>VLOOKUP(G57,'FI txn'!$G:$X,18,0)</f>
        <v>&gt; 600</v>
      </c>
      <c r="I57" s="7">
        <f>VLOOKUP(G57,'FI txn'!$G:$H,2,0)</f>
        <v>6</v>
      </c>
      <c r="J57" s="7">
        <f t="shared" si="3"/>
        <v>72</v>
      </c>
      <c r="K57" s="8"/>
      <c r="L57" s="8">
        <v>2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>
        <f t="shared" si="4"/>
        <v>2</v>
      </c>
      <c r="X57" s="9">
        <f t="shared" si="5"/>
        <v>0.33333333333333331</v>
      </c>
    </row>
    <row r="58" spans="1:24" x14ac:dyDescent="0.3">
      <c r="A58" s="4" t="str">
        <f>VLOOKUP(G58,Data!$A:$G,2,0)</f>
        <v>Under Office (Birbhum)</v>
      </c>
      <c r="B58" s="4" t="str">
        <f>VLOOKUP(G58,Data!$A:$G,3,0)</f>
        <v>Active</v>
      </c>
      <c r="C58" s="4" t="str">
        <f>VLOOKUP(G58,Data!$A:$G,4,0)</f>
        <v>Siliguri</v>
      </c>
      <c r="D58" s="4" t="str">
        <f>VLOOKUP(G58,Data!$A:$G,5,0)</f>
        <v>Jajigram</v>
      </c>
      <c r="E58" s="4" t="str">
        <f>VLOOKUP(G58,Data!$A:$G,6,0)</f>
        <v>Mosaraf Sk</v>
      </c>
      <c r="F58" s="10" t="str">
        <f>VLOOKUP(G58,Data!$A:$G,7,0)</f>
        <v>0140311323</v>
      </c>
      <c r="G58" s="5">
        <v>21998</v>
      </c>
      <c r="H58" s="5" t="str">
        <f>VLOOKUP(G58,'FI txn'!$G:$X,18,0)</f>
        <v>&gt; 900</v>
      </c>
      <c r="I58" s="7">
        <f>VLOOKUP(G58,'FI txn'!$G:$H,2,0)</f>
        <v>6</v>
      </c>
      <c r="J58" s="7">
        <f t="shared" si="3"/>
        <v>72</v>
      </c>
      <c r="K58" s="8"/>
      <c r="L58" s="8"/>
      <c r="M58" s="8"/>
      <c r="N58" s="8">
        <v>2</v>
      </c>
      <c r="O58" s="8"/>
      <c r="P58" s="8"/>
      <c r="Q58" s="8"/>
      <c r="R58" s="8"/>
      <c r="S58" s="8"/>
      <c r="T58" s="8"/>
      <c r="U58" s="8"/>
      <c r="V58" s="8"/>
      <c r="W58" s="8">
        <f t="shared" si="4"/>
        <v>2</v>
      </c>
      <c r="X58" s="9">
        <f t="shared" si="5"/>
        <v>0.33333333333333331</v>
      </c>
    </row>
    <row r="59" spans="1:24" x14ac:dyDescent="0.3">
      <c r="A59" s="4" t="str">
        <f>VLOOKUP(G59,Data!$A:$G,2,0)</f>
        <v>Sunil Biswas</v>
      </c>
      <c r="B59" s="4" t="str">
        <f>VLOOKUP(G59,Data!$A:$G,3,0)</f>
        <v>Active</v>
      </c>
      <c r="C59" s="4" t="str">
        <f>VLOOKUP(G59,Data!$A:$G,4,0)</f>
        <v>Durgapur</v>
      </c>
      <c r="D59" s="4" t="str">
        <f>VLOOKUP(G59,Data!$A:$G,5,0)</f>
        <v>Ranaghat</v>
      </c>
      <c r="E59" s="4" t="str">
        <f>VLOOKUP(G59,Data!$A:$G,6,0)</f>
        <v>Kishore Bhakta</v>
      </c>
      <c r="F59" s="10" t="str">
        <f>VLOOKUP(G59,Data!$A:$G,7,0)</f>
        <v>2430315568</v>
      </c>
      <c r="G59" s="5">
        <v>28482</v>
      </c>
      <c r="H59" s="5" t="str">
        <f>VLOOKUP(G59,'FI txn'!$G:$X,18,0)</f>
        <v>&lt; 150</v>
      </c>
      <c r="I59" s="7">
        <f>VLOOKUP(G59,'FI txn'!$G:$H,2,0)</f>
        <v>6</v>
      </c>
      <c r="J59" s="7">
        <f t="shared" si="3"/>
        <v>72</v>
      </c>
      <c r="K59" s="8"/>
      <c r="L59" s="8">
        <v>2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>
        <f t="shared" si="4"/>
        <v>2</v>
      </c>
      <c r="X59" s="9">
        <f t="shared" si="5"/>
        <v>0.33333333333333331</v>
      </c>
    </row>
    <row r="60" spans="1:24" x14ac:dyDescent="0.3">
      <c r="A60" s="4" t="str">
        <f>VLOOKUP(G60,Data!$A:$G,2,0)</f>
        <v>Rajiul Momin</v>
      </c>
      <c r="B60" s="4" t="str">
        <f>VLOOKUP(G60,Data!$A:$G,3,0)</f>
        <v>Active</v>
      </c>
      <c r="C60" s="4" t="str">
        <f>VLOOKUP(G60,Data!$A:$G,4,0)</f>
        <v>Siliguri</v>
      </c>
      <c r="D60" s="4" t="str">
        <f>VLOOKUP(G60,Data!$A:$G,5,0)</f>
        <v>Kaluari</v>
      </c>
      <c r="E60" s="4" t="str">
        <f>VLOOKUP(G60,Data!$A:$G,6,0)</f>
        <v>Masidur Rahaman</v>
      </c>
      <c r="F60" s="10" t="str">
        <f>VLOOKUP(G60,Data!$A:$G,7,0)</f>
        <v>2370310973</v>
      </c>
      <c r="G60" s="5">
        <v>21583</v>
      </c>
      <c r="H60" s="5" t="str">
        <f>VLOOKUP(G60,'FI txn'!$G:$X,18,0)</f>
        <v>&gt; 900</v>
      </c>
      <c r="I60" s="7">
        <f>VLOOKUP(G60,'FI txn'!$G:$H,2,0)</f>
        <v>6</v>
      </c>
      <c r="J60" s="7">
        <f t="shared" si="3"/>
        <v>72</v>
      </c>
      <c r="K60" s="8"/>
      <c r="L60" s="8"/>
      <c r="M60" s="8"/>
      <c r="N60" s="8">
        <v>1</v>
      </c>
      <c r="O60" s="8"/>
      <c r="P60" s="8"/>
      <c r="Q60" s="8"/>
      <c r="R60" s="8"/>
      <c r="S60" s="8"/>
      <c r="T60" s="8"/>
      <c r="U60" s="8"/>
      <c r="V60" s="8"/>
      <c r="W60" s="8">
        <f t="shared" si="4"/>
        <v>1</v>
      </c>
      <c r="X60" s="9">
        <f t="shared" si="5"/>
        <v>0.16666666666666666</v>
      </c>
    </row>
    <row r="61" spans="1:24" x14ac:dyDescent="0.3">
      <c r="A61" s="4" t="str">
        <f>VLOOKUP(G61,Data!$A:$G,2,0)</f>
        <v>Souvik Maity</v>
      </c>
      <c r="B61" s="4" t="str">
        <f>VLOOKUP(G61,Data!$A:$G,3,0)</f>
        <v>Active</v>
      </c>
      <c r="C61" s="4" t="str">
        <f>VLOOKUP(G61,Data!$A:$G,4,0)</f>
        <v>Hooghly</v>
      </c>
      <c r="D61" s="4" t="str">
        <f>VLOOKUP(G61,Data!$A:$G,5,0)</f>
        <v>Kamarpara</v>
      </c>
      <c r="E61" s="4" t="str">
        <f>VLOOKUP(G61,Data!$A:$G,6,0)</f>
        <v>Mithu Ghosh</v>
      </c>
      <c r="F61" s="10" t="str">
        <f>VLOOKUP(G61,Data!$A:$G,7,0)</f>
        <v>3390312440</v>
      </c>
      <c r="G61" s="5">
        <v>23432</v>
      </c>
      <c r="H61" s="5" t="str">
        <f>VLOOKUP(G61,'FI txn'!$G:$X,18,0)</f>
        <v>&gt; 450</v>
      </c>
      <c r="I61" s="7">
        <f>VLOOKUP(G61,'FI txn'!$G:$H,2,0)</f>
        <v>6</v>
      </c>
      <c r="J61" s="7">
        <f t="shared" si="3"/>
        <v>72</v>
      </c>
      <c r="K61" s="8"/>
      <c r="L61" s="8"/>
      <c r="M61" s="8">
        <v>1</v>
      </c>
      <c r="N61" s="8"/>
      <c r="O61" s="8"/>
      <c r="P61" s="8"/>
      <c r="Q61" s="8"/>
      <c r="R61" s="8"/>
      <c r="S61" s="8"/>
      <c r="T61" s="8"/>
      <c r="U61" s="8"/>
      <c r="V61" s="8"/>
      <c r="W61" s="8">
        <f t="shared" si="4"/>
        <v>1</v>
      </c>
      <c r="X61" s="9">
        <f t="shared" si="5"/>
        <v>0.16666666666666666</v>
      </c>
    </row>
    <row r="62" spans="1:24" x14ac:dyDescent="0.3">
      <c r="A62" s="4" t="str">
        <f>VLOOKUP(G62,Data!$A:$G,2,0)</f>
        <v>Under Office (W Medinipur)</v>
      </c>
      <c r="B62" s="4" t="str">
        <f>VLOOKUP(G62,Data!$A:$G,3,0)</f>
        <v>Active</v>
      </c>
      <c r="C62" s="4" t="str">
        <f>VLOOKUP(G62,Data!$A:$G,4,0)</f>
        <v>Hooghly</v>
      </c>
      <c r="D62" s="4" t="str">
        <f>VLOOKUP(G62,Data!$A:$G,5,0)</f>
        <v>Banka</v>
      </c>
      <c r="E62" s="4" t="str">
        <f>VLOOKUP(G62,Data!$A:$G,6,0)</f>
        <v>Shampa Mandal</v>
      </c>
      <c r="F62" s="10" t="str">
        <f>VLOOKUP(G62,Data!$A:$G,7,0)</f>
        <v>2390312439</v>
      </c>
      <c r="G62" s="5">
        <v>23431</v>
      </c>
      <c r="H62" s="5" t="str">
        <f>VLOOKUP(G62,'FI txn'!$G:$X,18,0)</f>
        <v>&gt; 150</v>
      </c>
      <c r="I62" s="7">
        <f>VLOOKUP(G62,'FI txn'!$G:$H,2,0)</f>
        <v>6</v>
      </c>
      <c r="J62" s="7">
        <f t="shared" si="3"/>
        <v>72</v>
      </c>
      <c r="K62" s="8">
        <v>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>
        <f t="shared" si="4"/>
        <v>1</v>
      </c>
      <c r="X62" s="9">
        <f t="shared" si="5"/>
        <v>0.16666666666666666</v>
      </c>
    </row>
    <row r="63" spans="1:24" x14ac:dyDescent="0.3">
      <c r="A63" s="4" t="str">
        <f>VLOOKUP(G63,Data!$A:$G,2,0)</f>
        <v>Santanu Bera</v>
      </c>
      <c r="B63" s="4" t="str">
        <f>VLOOKUP(G63,Data!$A:$G,3,0)</f>
        <v>Active</v>
      </c>
      <c r="C63" s="4" t="str">
        <f>VLOOKUP(G63,Data!$A:$G,4,0)</f>
        <v>Hooghly</v>
      </c>
      <c r="D63" s="4" t="str">
        <f>VLOOKUP(G63,Data!$A:$G,5,0)</f>
        <v>Tamluk</v>
      </c>
      <c r="E63" s="4" t="str">
        <f>VLOOKUP(G63,Data!$A:$G,6,0)</f>
        <v>Soumen Baichar</v>
      </c>
      <c r="F63" s="10" t="str">
        <f>VLOOKUP(G63,Data!$A:$G,7,0)</f>
        <v>2390314474</v>
      </c>
      <c r="G63" s="5">
        <v>26530</v>
      </c>
      <c r="H63" s="5" t="str">
        <f>VLOOKUP(G63,'FI txn'!$G:$X,18,0)</f>
        <v>&lt; 150</v>
      </c>
      <c r="I63" s="7">
        <f>VLOOKUP(G63,'FI txn'!$G:$H,2,0)</f>
        <v>6</v>
      </c>
      <c r="J63" s="7">
        <f t="shared" si="3"/>
        <v>72</v>
      </c>
      <c r="K63" s="8">
        <v>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>
        <f t="shared" si="4"/>
        <v>1</v>
      </c>
      <c r="X63" s="9">
        <f t="shared" si="5"/>
        <v>0.16666666666666666</v>
      </c>
    </row>
    <row r="64" spans="1:24" x14ac:dyDescent="0.3">
      <c r="A64" s="4" t="str">
        <f>VLOOKUP(G64,Data!$A:$G,2,0)</f>
        <v>Souvik Maity</v>
      </c>
      <c r="B64" s="4" t="str">
        <f>VLOOKUP(G64,Data!$A:$G,3,0)</f>
        <v>Active</v>
      </c>
      <c r="C64" s="4" t="str">
        <f>VLOOKUP(G64,Data!$A:$G,4,0)</f>
        <v>Hooghly</v>
      </c>
      <c r="D64" s="4" t="str">
        <f>VLOOKUP(G64,Data!$A:$G,5,0)</f>
        <v>Mayapur</v>
      </c>
      <c r="E64" s="4" t="str">
        <f>VLOOKUP(G64,Data!$A:$G,6,0)</f>
        <v>Ruma Rana</v>
      </c>
      <c r="F64" s="10" t="str">
        <f>VLOOKUP(G64,Data!$A:$G,7,0)</f>
        <v>8410316172</v>
      </c>
      <c r="G64" s="5">
        <v>29749</v>
      </c>
      <c r="H64" s="5" t="str">
        <f>VLOOKUP(G64,'FI txn'!$G:$X,18,0)</f>
        <v>&lt; 150</v>
      </c>
      <c r="I64" s="7">
        <f>VLOOKUP(G64,'FI txn'!$G:$H,2,0)</f>
        <v>1</v>
      </c>
      <c r="J64" s="7">
        <f t="shared" si="3"/>
        <v>12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>
        <f t="shared" si="5"/>
        <v>0</v>
      </c>
    </row>
    <row r="65" spans="1:24" x14ac:dyDescent="0.3">
      <c r="A65" s="4" t="str">
        <f>VLOOKUP(G65,Data!$A:$G,2,0)</f>
        <v>Mousumi Sarkar</v>
      </c>
      <c r="B65" s="4" t="str">
        <f>VLOOKUP(G65,Data!$A:$G,3,0)</f>
        <v>Active</v>
      </c>
      <c r="C65" s="4" t="str">
        <f>VLOOKUP(G65,Data!$A:$G,4,0)</f>
        <v>Saltlake</v>
      </c>
      <c r="D65" s="4" t="str">
        <f>VLOOKUP(G65,Data!$A:$G,5,0)</f>
        <v>Hingalganj</v>
      </c>
      <c r="E65" s="4" t="str">
        <f>VLOOKUP(G65,Data!$A:$G,6,0)</f>
        <v>Khairulla Mistri</v>
      </c>
      <c r="F65" s="10" t="str">
        <f>VLOOKUP(G65,Data!$A:$G,7,0)</f>
        <v>8410316210</v>
      </c>
      <c r="G65" s="5">
        <v>29799</v>
      </c>
      <c r="H65" s="5" t="str">
        <f>VLOOKUP(G65,'FI txn'!$G:$X,18,0)</f>
        <v>&lt; 150</v>
      </c>
      <c r="I65" s="7">
        <f>VLOOKUP(G65,'FI txn'!$G:$H,2,0)</f>
        <v>2</v>
      </c>
      <c r="J65" s="7">
        <f t="shared" si="3"/>
        <v>24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9">
        <f t="shared" si="5"/>
        <v>0</v>
      </c>
    </row>
    <row r="66" spans="1:24" x14ac:dyDescent="0.3">
      <c r="A66" s="4" t="str">
        <f>VLOOKUP(G66,Data!$A:$G,2,0)</f>
        <v>Santanu Bera</v>
      </c>
      <c r="B66" s="4" t="str">
        <f>VLOOKUP(G66,Data!$A:$G,3,0)</f>
        <v>Active</v>
      </c>
      <c r="C66" s="4" t="str">
        <f>VLOOKUP(G66,Data!$A:$G,4,0)</f>
        <v>Hooghly</v>
      </c>
      <c r="D66" s="4" t="str">
        <f>VLOOKUP(G66,Data!$A:$G,5,0)</f>
        <v>Panskura</v>
      </c>
      <c r="E66" s="4" t="str">
        <f>VLOOKUP(G66,Data!$A:$G,6,0)</f>
        <v>Kartik Maity</v>
      </c>
      <c r="F66" s="10" t="str">
        <f>VLOOKUP(G66,Data!$A:$G,7,0)</f>
        <v>2380311666</v>
      </c>
      <c r="G66" s="5">
        <v>22404</v>
      </c>
      <c r="H66" s="5" t="str">
        <f>VLOOKUP(G66,'FI txn'!$G:$X,18,0)</f>
        <v>&gt; 450</v>
      </c>
      <c r="I66" s="7">
        <f>VLOOKUP(G66,'FI txn'!$G:$H,2,0)</f>
        <v>6</v>
      </c>
      <c r="J66" s="7">
        <f t="shared" ref="J66:J97" si="6">I66*12</f>
        <v>72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>
        <f t="shared" si="5"/>
        <v>0</v>
      </c>
    </row>
    <row r="67" spans="1:24" x14ac:dyDescent="0.3">
      <c r="A67" s="4" t="str">
        <f>VLOOKUP(G67,Data!$A:$G,2,0)</f>
        <v>Santanu Bera</v>
      </c>
      <c r="B67" s="4" t="str">
        <f>VLOOKUP(G67,Data!$A:$G,3,0)</f>
        <v>Active</v>
      </c>
      <c r="C67" s="4" t="str">
        <f>VLOOKUP(G67,Data!$A:$G,4,0)</f>
        <v>Hooghly</v>
      </c>
      <c r="D67" s="4" t="str">
        <f>VLOOKUP(G67,Data!$A:$G,5,0)</f>
        <v>Contai</v>
      </c>
      <c r="E67" s="4" t="str">
        <f>VLOOKUP(G67,Data!$A:$G,6,0)</f>
        <v>Subhankar Sahoo</v>
      </c>
      <c r="F67" s="10" t="str">
        <f>VLOOKUP(G67,Data!$A:$G,7,0)</f>
        <v>2380314983</v>
      </c>
      <c r="G67" s="5">
        <v>27249</v>
      </c>
      <c r="H67" s="5" t="str">
        <f>VLOOKUP(G67,'FI txn'!$G:$X,18,0)</f>
        <v>&lt; 150</v>
      </c>
      <c r="I67" s="7">
        <f>VLOOKUP(G67,'FI txn'!$G:$H,2,0)</f>
        <v>6</v>
      </c>
      <c r="J67" s="7">
        <f t="shared" si="6"/>
        <v>72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9">
        <f t="shared" si="5"/>
        <v>0</v>
      </c>
    </row>
    <row r="68" spans="1:24" x14ac:dyDescent="0.3">
      <c r="A68" s="4" t="str">
        <f>VLOOKUP(G68,Data!$A:$G,2,0)</f>
        <v>Sunil Biswas</v>
      </c>
      <c r="B68" s="4" t="str">
        <f>VLOOKUP(G68,Data!$A:$G,3,0)</f>
        <v>Inactive</v>
      </c>
      <c r="C68" s="4" t="str">
        <f>VLOOKUP(G68,Data!$A:$G,4,0)</f>
        <v>Durgapur</v>
      </c>
      <c r="D68" s="4" t="str">
        <f>VLOOKUP(G68,Data!$A:$G,5,0)</f>
        <v>Santipur</v>
      </c>
      <c r="E68" s="4" t="str">
        <f>VLOOKUP(G68,Data!$A:$G,6,0)</f>
        <v>Dipanwita Das</v>
      </c>
      <c r="F68" s="10" t="str">
        <f>VLOOKUP(G68,Data!$A:$G,7,0)</f>
        <v>2430315569</v>
      </c>
      <c r="G68" s="5">
        <v>28483</v>
      </c>
      <c r="H68" s="5" t="str">
        <f>VLOOKUP(G68,'FI txn'!$G:$X,18,0)</f>
        <v>&lt; 150</v>
      </c>
      <c r="I68" s="7">
        <f>VLOOKUP(G68,'FI txn'!$G:$H,2,0)</f>
        <v>5</v>
      </c>
      <c r="J68" s="7">
        <f t="shared" si="6"/>
        <v>60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>
        <f t="shared" si="5"/>
        <v>0</v>
      </c>
    </row>
    <row r="69" spans="1:24" x14ac:dyDescent="0.3">
      <c r="A69" s="4" t="str">
        <f>VLOOKUP(G69,Data!$A:$G,2,0)</f>
        <v>Manindra Nath Barman</v>
      </c>
      <c r="B69" s="4" t="str">
        <f>VLOOKUP(G69,Data!$A:$G,3,0)</f>
        <v>Inactive</v>
      </c>
      <c r="C69" s="4" t="str">
        <f>VLOOKUP(G69,Data!$A:$G,4,0)</f>
        <v>Siliguri</v>
      </c>
      <c r="D69" s="4" t="str">
        <f>VLOOKUP(G69,Data!$A:$G,5,0)</f>
        <v>Barobisha</v>
      </c>
      <c r="E69" s="4" t="str">
        <f>VLOOKUP(G69,Data!$A:$G,6,0)</f>
        <v>Virendra Narayan Nag</v>
      </c>
      <c r="F69" s="10" t="str">
        <f>VLOOKUP(G69,Data!$A:$G,7,0)</f>
        <v>8967601707</v>
      </c>
      <c r="G69" s="5">
        <v>29526</v>
      </c>
      <c r="H69" s="5" t="str">
        <f>VLOOKUP(G69,'FI txn'!$G:$X,18,0)</f>
        <v>&lt; 150</v>
      </c>
      <c r="I69" s="7">
        <f>VLOOKUP(G69,'FI txn'!$G:$H,2,0)</f>
        <v>3</v>
      </c>
      <c r="J69" s="7">
        <f t="shared" si="6"/>
        <v>36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9"/>
    </row>
    <row r="70" spans="1:24" x14ac:dyDescent="0.3">
      <c r="A70" s="4" t="str">
        <f>VLOOKUP(G70,Data!$A:$G,2,0)</f>
        <v>Santanu Bera</v>
      </c>
      <c r="B70" s="4" t="str">
        <f>VLOOKUP(G70,Data!$A:$G,3,0)</f>
        <v>Active</v>
      </c>
      <c r="C70" s="4" t="str">
        <f>VLOOKUP(G70,Data!$A:$G,4,0)</f>
        <v>Hooghly</v>
      </c>
      <c r="D70" s="4" t="str">
        <f>VLOOKUP(G70,Data!$A:$G,5,0)</f>
        <v>Panskura</v>
      </c>
      <c r="E70" s="4" t="str">
        <f>VLOOKUP(G70,Data!$A:$G,6,0)</f>
        <v>Prasanta Ghorai</v>
      </c>
      <c r="F70" s="10" t="str">
        <f>VLOOKUP(G70,Data!$A:$G,7,0)</f>
        <v>9635383167</v>
      </c>
      <c r="G70" s="5">
        <v>29527</v>
      </c>
      <c r="H70" s="5">
        <f>VLOOKUP(G70,'FI txn'!$G:$X,18,0)</f>
        <v>0</v>
      </c>
      <c r="I70" s="7">
        <f>VLOOKUP(G70,'FI txn'!$G:$H,2,0)</f>
        <v>4</v>
      </c>
      <c r="J70" s="7">
        <f t="shared" si="6"/>
        <v>48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>
        <f t="shared" ref="X70:X90" si="7">W70/I70</f>
        <v>0</v>
      </c>
    </row>
    <row r="71" spans="1:24" x14ac:dyDescent="0.3">
      <c r="A71" s="4" t="str">
        <f>VLOOKUP(G71,Data!$A:$G,2,0)</f>
        <v>Sunil Biswas</v>
      </c>
      <c r="B71" s="4" t="str">
        <f>VLOOKUP(G71,Data!$A:$G,3,0)</f>
        <v>Active</v>
      </c>
      <c r="C71" s="4" t="str">
        <f>VLOOKUP(G71,Data!$A:$G,4,0)</f>
        <v>Durgapur</v>
      </c>
      <c r="D71" s="4" t="str">
        <f>VLOOKUP(G71,Data!$A:$G,5,0)</f>
        <v>Ranaghat</v>
      </c>
      <c r="E71" s="4" t="str">
        <f>VLOOKUP(G71,Data!$A:$G,6,0)</f>
        <v>Sagari Ghosh</v>
      </c>
      <c r="F71" s="10" t="str">
        <f>VLOOKUP(G71,Data!$A:$G,7,0)</f>
        <v>2430314519</v>
      </c>
      <c r="G71" s="5">
        <v>26595</v>
      </c>
      <c r="H71" s="5" t="str">
        <f>VLOOKUP(G71,'FI txn'!$G:$X,18,0)</f>
        <v>&gt; 300</v>
      </c>
      <c r="I71" s="7">
        <f>VLOOKUP(G71,'FI txn'!$G:$H,2,0)</f>
        <v>6</v>
      </c>
      <c r="J71" s="7">
        <f t="shared" si="6"/>
        <v>72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9">
        <f t="shared" si="7"/>
        <v>0</v>
      </c>
    </row>
    <row r="72" spans="1:24" x14ac:dyDescent="0.3">
      <c r="A72" s="4" t="str">
        <f>VLOOKUP(G72,Data!$A:$G,2,0)</f>
        <v>Sunil Biswas</v>
      </c>
      <c r="B72" s="4" t="str">
        <f>VLOOKUP(G72,Data!$A:$G,3,0)</f>
        <v>Active</v>
      </c>
      <c r="C72" s="4" t="str">
        <f>VLOOKUP(G72,Data!$A:$G,4,0)</f>
        <v>Durgapur</v>
      </c>
      <c r="D72" s="4" t="str">
        <f>VLOOKUP(G72,Data!$A:$G,5,0)</f>
        <v>Santipur</v>
      </c>
      <c r="E72" s="4" t="str">
        <f>VLOOKUP(G72,Data!$A:$G,6,0)</f>
        <v>Sahabul Mandal</v>
      </c>
      <c r="F72" s="10" t="str">
        <f>VLOOKUP(G72,Data!$A:$G,7,0)</f>
        <v>2430315156</v>
      </c>
      <c r="G72" s="5">
        <v>27630</v>
      </c>
      <c r="H72" s="5" t="str">
        <f>VLOOKUP(G72,'FI txn'!$G:$X,18,0)</f>
        <v>&gt; 600</v>
      </c>
      <c r="I72" s="7">
        <f>VLOOKUP(G72,'FI txn'!$G:$H,2,0)</f>
        <v>6</v>
      </c>
      <c r="J72" s="7">
        <f t="shared" si="6"/>
        <v>72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>
        <f t="shared" si="7"/>
        <v>0</v>
      </c>
    </row>
    <row r="73" spans="1:24" x14ac:dyDescent="0.3">
      <c r="A73" s="4" t="str">
        <f>VLOOKUP(G73,Data!$A:$G,2,0)</f>
        <v>Souvik Maity</v>
      </c>
      <c r="B73" s="4" t="str">
        <f>VLOOKUP(G73,Data!$A:$G,3,0)</f>
        <v>Active</v>
      </c>
      <c r="C73" s="4" t="str">
        <f>VLOOKUP(G73,Data!$A:$G,4,0)</f>
        <v>Hooghly</v>
      </c>
      <c r="D73" s="4" t="str">
        <f>VLOOKUP(G73,Data!$A:$G,5,0)</f>
        <v>Khanakul</v>
      </c>
      <c r="E73" s="4" t="str">
        <f>VLOOKUP(G73,Data!$A:$G,6,0)</f>
        <v>Susobhan Patra</v>
      </c>
      <c r="F73" s="10" t="str">
        <f>VLOOKUP(G73,Data!$A:$G,7,0)</f>
        <v>3390312968</v>
      </c>
      <c r="G73" s="5">
        <v>24153</v>
      </c>
      <c r="H73" s="5" t="str">
        <f>VLOOKUP(G73,'FI txn'!$G:$X,18,0)</f>
        <v>&gt; 450</v>
      </c>
      <c r="I73" s="7">
        <f>VLOOKUP(G73,'FI txn'!$G:$H,2,0)</f>
        <v>6</v>
      </c>
      <c r="J73" s="7">
        <f t="shared" si="6"/>
        <v>72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9">
        <f t="shared" si="7"/>
        <v>0</v>
      </c>
    </row>
    <row r="74" spans="1:24" x14ac:dyDescent="0.3">
      <c r="A74" s="4" t="str">
        <f>VLOOKUP(G74,Data!$A:$G,2,0)</f>
        <v>Souvik Maity</v>
      </c>
      <c r="B74" s="4" t="str">
        <f>VLOOKUP(G74,Data!$A:$G,3,0)</f>
        <v>Active</v>
      </c>
      <c r="C74" s="4" t="str">
        <f>VLOOKUP(G74,Data!$A:$G,4,0)</f>
        <v>Hooghly</v>
      </c>
      <c r="D74" s="4" t="str">
        <f>VLOOKUP(G74,Data!$A:$G,5,0)</f>
        <v>Sahapur</v>
      </c>
      <c r="E74" s="4" t="str">
        <f>VLOOKUP(G74,Data!$A:$G,6,0)</f>
        <v>Bishal Maity</v>
      </c>
      <c r="F74" s="10" t="str">
        <f>VLOOKUP(G74,Data!$A:$G,7,0)</f>
        <v>3390312548</v>
      </c>
      <c r="G74" s="5">
        <v>23565</v>
      </c>
      <c r="H74" s="5" t="str">
        <f>VLOOKUP(G74,'FI txn'!$G:$X,18,0)</f>
        <v>&gt; 150</v>
      </c>
      <c r="I74" s="7">
        <f>VLOOKUP(G74,'FI txn'!$G:$H,2,0)</f>
        <v>6</v>
      </c>
      <c r="J74" s="7">
        <f t="shared" si="6"/>
        <v>72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>
        <f t="shared" si="7"/>
        <v>0</v>
      </c>
    </row>
    <row r="75" spans="1:24" x14ac:dyDescent="0.3">
      <c r="A75" s="4" t="str">
        <f>VLOOKUP(G75,Data!$A:$G,2,0)</f>
        <v>Souvik Maity</v>
      </c>
      <c r="B75" s="4" t="str">
        <f>VLOOKUP(G75,Data!$A:$G,3,0)</f>
        <v>Active</v>
      </c>
      <c r="C75" s="4" t="str">
        <f>VLOOKUP(G75,Data!$A:$G,4,0)</f>
        <v>Hooghly</v>
      </c>
      <c r="D75" s="4" t="str">
        <f>VLOOKUP(G75,Data!$A:$G,5,0)</f>
        <v>Khanakul</v>
      </c>
      <c r="E75" s="4" t="str">
        <f>VLOOKUP(G75,Data!$A:$G,6,0)</f>
        <v>Sahanaj Parvin</v>
      </c>
      <c r="F75" s="10" t="str">
        <f>VLOOKUP(G75,Data!$A:$G,7,0)</f>
        <v>3390312801</v>
      </c>
      <c r="G75" s="5">
        <v>23969</v>
      </c>
      <c r="H75" s="5" t="str">
        <f>VLOOKUP(G75,'FI txn'!$G:$X,18,0)</f>
        <v>&gt; 450</v>
      </c>
      <c r="I75" s="7">
        <f>VLOOKUP(G75,'FI txn'!$G:$H,2,0)</f>
        <v>6</v>
      </c>
      <c r="J75" s="7">
        <f t="shared" si="6"/>
        <v>72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>
        <f t="shared" si="7"/>
        <v>0</v>
      </c>
    </row>
    <row r="76" spans="1:24" x14ac:dyDescent="0.3">
      <c r="A76" s="4" t="str">
        <f>VLOOKUP(G76,Data!$A:$G,2,0)</f>
        <v>Under Office (W Medinipur)</v>
      </c>
      <c r="B76" s="4" t="str">
        <f>VLOOKUP(G76,Data!$A:$G,3,0)</f>
        <v>Active</v>
      </c>
      <c r="C76" s="4" t="str">
        <f>VLOOKUP(G76,Data!$A:$G,4,0)</f>
        <v>Hooghly</v>
      </c>
      <c r="D76" s="4" t="str">
        <f>VLOOKUP(G76,Data!$A:$G,5,0)</f>
        <v>Banka</v>
      </c>
      <c r="E76" s="4" t="str">
        <f>VLOOKUP(G76,Data!$A:$G,6,0)</f>
        <v>Subhajit Chanda</v>
      </c>
      <c r="F76" s="10" t="str">
        <f>VLOOKUP(G76,Data!$A:$G,7,0)</f>
        <v>2390312543</v>
      </c>
      <c r="G76" s="5">
        <v>23560</v>
      </c>
      <c r="H76" s="5" t="str">
        <f>VLOOKUP(G76,'FI txn'!$G:$X,18,0)</f>
        <v>&gt; 300</v>
      </c>
      <c r="I76" s="7">
        <f>VLOOKUP(G76,'FI txn'!$G:$H,2,0)</f>
        <v>6</v>
      </c>
      <c r="J76" s="7">
        <f t="shared" si="6"/>
        <v>72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>
        <f t="shared" si="7"/>
        <v>0</v>
      </c>
    </row>
    <row r="77" spans="1:24" x14ac:dyDescent="0.3">
      <c r="A77" s="4" t="str">
        <f>VLOOKUP(G77,Data!$A:$G,2,0)</f>
        <v>Under Office (Birbhum)</v>
      </c>
      <c r="B77" s="4" t="str">
        <f>VLOOKUP(G77,Data!$A:$G,3,0)</f>
        <v>Active</v>
      </c>
      <c r="C77" s="4" t="str">
        <f>VLOOKUP(G77,Data!$A:$G,4,0)</f>
        <v>Siliguri</v>
      </c>
      <c r="D77" s="4" t="str">
        <f>VLOOKUP(G77,Data!$A:$G,5,0)</f>
        <v>Dharampur</v>
      </c>
      <c r="E77" s="4" t="str">
        <f>VLOOKUP(G77,Data!$A:$G,6,0)</f>
        <v>Md Zulfikar Ali</v>
      </c>
      <c r="F77" s="10" t="str">
        <f>VLOOKUP(G77,Data!$A:$G,7,0)</f>
        <v>0140315201</v>
      </c>
      <c r="G77" s="5">
        <v>27792</v>
      </c>
      <c r="H77" s="5" t="str">
        <f>VLOOKUP(G77,'FI txn'!$G:$X,18,0)</f>
        <v>&gt; 300</v>
      </c>
      <c r="I77" s="7">
        <f>VLOOKUP(G77,'FI txn'!$G:$H,2,0)</f>
        <v>6</v>
      </c>
      <c r="J77" s="7">
        <f t="shared" si="6"/>
        <v>72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>
        <f t="shared" si="7"/>
        <v>0</v>
      </c>
    </row>
    <row r="78" spans="1:24" x14ac:dyDescent="0.3">
      <c r="A78" s="4" t="str">
        <f>VLOOKUP(G78,Data!$A:$G,2,0)</f>
        <v>Avi Sk</v>
      </c>
      <c r="B78" s="4" t="str">
        <f>VLOOKUP(G78,Data!$A:$G,3,0)</f>
        <v>Active</v>
      </c>
      <c r="C78" s="4" t="str">
        <f>VLOOKUP(G78,Data!$A:$G,4,0)</f>
        <v>Siliguri</v>
      </c>
      <c r="D78" s="4" t="str">
        <f>VLOOKUP(G78,Data!$A:$G,5,0)</f>
        <v>Kanupur</v>
      </c>
      <c r="E78" s="4" t="str">
        <f>VLOOKUP(G78,Data!$A:$G,6,0)</f>
        <v>Shobhan Majhi</v>
      </c>
      <c r="F78" s="10" t="str">
        <f>VLOOKUP(G78,Data!$A:$G,7,0)</f>
        <v>2410311257</v>
      </c>
      <c r="G78" s="5">
        <v>21926</v>
      </c>
      <c r="H78" s="5" t="str">
        <f>VLOOKUP(G78,'FI txn'!$G:$X,18,0)</f>
        <v>&gt; 150</v>
      </c>
      <c r="I78" s="7">
        <f>VLOOKUP(G78,'FI txn'!$G:$H,2,0)</f>
        <v>6</v>
      </c>
      <c r="J78" s="7">
        <f t="shared" si="6"/>
        <v>72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>
        <f t="shared" si="7"/>
        <v>0</v>
      </c>
    </row>
    <row r="79" spans="1:24" x14ac:dyDescent="0.3">
      <c r="A79" s="4" t="str">
        <f>VLOOKUP(G79,Data!$A:$G,2,0)</f>
        <v>Under Office (W Medinipur)</v>
      </c>
      <c r="B79" s="4" t="str">
        <f>VLOOKUP(G79,Data!$A:$G,3,0)</f>
        <v>Active</v>
      </c>
      <c r="C79" s="4" t="str">
        <f>VLOOKUP(G79,Data!$A:$G,4,0)</f>
        <v>Hooghly</v>
      </c>
      <c r="D79" s="4" t="str">
        <f>VLOOKUP(G79,Data!$A:$G,5,0)</f>
        <v>Chandrakona</v>
      </c>
      <c r="E79" s="4" t="str">
        <f>VLOOKUP(G79,Data!$A:$G,6,0)</f>
        <v>Mani Dhara</v>
      </c>
      <c r="F79" s="10" t="str">
        <f>VLOOKUP(G79,Data!$A:$G,7,0)</f>
        <v>2390313180</v>
      </c>
      <c r="G79" s="5">
        <v>24494</v>
      </c>
      <c r="H79" s="5" t="str">
        <f>VLOOKUP(G79,'FI txn'!$G:$X,18,0)</f>
        <v>&gt; 300</v>
      </c>
      <c r="I79" s="7">
        <f>VLOOKUP(G79,'FI txn'!$G:$H,2,0)</f>
        <v>6</v>
      </c>
      <c r="J79" s="7">
        <f t="shared" si="6"/>
        <v>72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>
        <f t="shared" si="7"/>
        <v>0</v>
      </c>
    </row>
    <row r="80" spans="1:24" x14ac:dyDescent="0.3">
      <c r="A80" s="4" t="str">
        <f>VLOOKUP(G80,Data!$A:$G,2,0)</f>
        <v>Pijush Singha</v>
      </c>
      <c r="B80" s="4" t="str">
        <f>VLOOKUP(G80,Data!$A:$G,3,0)</f>
        <v>Active</v>
      </c>
      <c r="C80" s="4" t="str">
        <f>VLOOKUP(G80,Data!$A:$G,4,0)</f>
        <v>Siliguri</v>
      </c>
      <c r="D80" s="4" t="str">
        <f>VLOOKUP(G80,Data!$A:$G,5,0)</f>
        <v>Nabagram</v>
      </c>
      <c r="E80" s="4" t="str">
        <f>VLOOKUP(G80,Data!$A:$G,6,0)</f>
        <v>Sahabuddin Ahmed</v>
      </c>
      <c r="F80" s="10" t="str">
        <f>VLOOKUP(G80,Data!$A:$G,7,0)</f>
        <v>2410312329</v>
      </c>
      <c r="G80" s="5">
        <v>23270</v>
      </c>
      <c r="H80" s="5" t="str">
        <f>VLOOKUP(G80,'FI txn'!$G:$X,18,0)</f>
        <v>&gt; 150</v>
      </c>
      <c r="I80" s="7">
        <f>VLOOKUP(G80,'FI txn'!$G:$H,2,0)</f>
        <v>6</v>
      </c>
      <c r="J80" s="7">
        <f t="shared" si="6"/>
        <v>72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>
        <f t="shared" si="7"/>
        <v>0</v>
      </c>
    </row>
    <row r="81" spans="1:24" x14ac:dyDescent="0.3">
      <c r="A81" s="4" t="str">
        <f>VLOOKUP(G81,Data!$A:$G,2,0)</f>
        <v>Sunil Biswas</v>
      </c>
      <c r="B81" s="4" t="str">
        <f>VLOOKUP(G81,Data!$A:$G,3,0)</f>
        <v>Active</v>
      </c>
      <c r="C81" s="4" t="str">
        <f>VLOOKUP(G81,Data!$A:$G,4,0)</f>
        <v>Durgapur</v>
      </c>
      <c r="D81" s="4" t="str">
        <f>VLOOKUP(G81,Data!$A:$G,5,0)</f>
        <v>Badkulla</v>
      </c>
      <c r="E81" s="4" t="str">
        <f>VLOOKUP(G81,Data!$A:$G,6,0)</f>
        <v>Swapan Kumar Biswas</v>
      </c>
      <c r="F81" s="10" t="str">
        <f>VLOOKUP(G81,Data!$A:$G,7,0)</f>
        <v>2430315186</v>
      </c>
      <c r="G81" s="5">
        <v>27732</v>
      </c>
      <c r="H81" s="5" t="str">
        <f>VLOOKUP(G81,'FI txn'!$G:$X,18,0)</f>
        <v>&gt; 150</v>
      </c>
      <c r="I81" s="7">
        <f>VLOOKUP(G81,'FI txn'!$G:$H,2,0)</f>
        <v>6</v>
      </c>
      <c r="J81" s="7">
        <f t="shared" si="6"/>
        <v>72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>
        <f t="shared" si="7"/>
        <v>0</v>
      </c>
    </row>
    <row r="82" spans="1:24" x14ac:dyDescent="0.3">
      <c r="A82" s="4" t="str">
        <f>VLOOKUP(G82,Data!$A:$G,2,0)</f>
        <v>Under Office (W Medinipur)</v>
      </c>
      <c r="B82" s="4" t="str">
        <f>VLOOKUP(G82,Data!$A:$G,3,0)</f>
        <v>Active</v>
      </c>
      <c r="C82" s="4" t="str">
        <f>VLOOKUP(G82,Data!$A:$G,4,0)</f>
        <v>Hooghly</v>
      </c>
      <c r="D82" s="4" t="str">
        <f>VLOOKUP(G82,Data!$A:$G,5,0)</f>
        <v>Kharar</v>
      </c>
      <c r="E82" s="4" t="str">
        <f>VLOOKUP(G82,Data!$A:$G,6,0)</f>
        <v>Pinki Ghosh</v>
      </c>
      <c r="F82" s="10" t="str">
        <f>VLOOKUP(G82,Data!$A:$G,7,0)</f>
        <v>2390311944</v>
      </c>
      <c r="G82" s="5">
        <v>29368</v>
      </c>
      <c r="H82" s="5" t="str">
        <f>VLOOKUP(G82,'FI txn'!$G:$X,18,0)</f>
        <v>&gt; 300</v>
      </c>
      <c r="I82" s="7">
        <f>VLOOKUP(G82,'FI txn'!$G:$H,2,0)</f>
        <v>6</v>
      </c>
      <c r="J82" s="7">
        <f t="shared" si="6"/>
        <v>72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>
        <f t="shared" si="7"/>
        <v>0</v>
      </c>
    </row>
    <row r="83" spans="1:24" x14ac:dyDescent="0.3">
      <c r="A83" s="4" t="str">
        <f>VLOOKUP(G83,Data!$A:$G,2,0)</f>
        <v>Sunil Biswas</v>
      </c>
      <c r="B83" s="4" t="str">
        <f>VLOOKUP(G83,Data!$A:$G,3,0)</f>
        <v>Active</v>
      </c>
      <c r="C83" s="4" t="str">
        <f>VLOOKUP(G83,Data!$A:$G,4,0)</f>
        <v>Durgapur</v>
      </c>
      <c r="D83" s="4" t="str">
        <f>VLOOKUP(G83,Data!$A:$G,5,0)</f>
        <v>Santipur</v>
      </c>
      <c r="E83" s="4" t="str">
        <f>VLOOKUP(G83,Data!$A:$G,6,0)</f>
        <v>Najmira Khatun</v>
      </c>
      <c r="F83" s="10" t="str">
        <f>VLOOKUP(G83,Data!$A:$G,7,0)</f>
        <v>2430315335</v>
      </c>
      <c r="G83" s="5">
        <v>28075</v>
      </c>
      <c r="H83" s="5" t="str">
        <f>VLOOKUP(G83,'FI txn'!$G:$X,18,0)</f>
        <v>&lt; 150</v>
      </c>
      <c r="I83" s="7">
        <f>VLOOKUP(G83,'FI txn'!$G:$H,2,0)</f>
        <v>6</v>
      </c>
      <c r="J83" s="7">
        <f t="shared" si="6"/>
        <v>72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>
        <f t="shared" si="7"/>
        <v>0</v>
      </c>
    </row>
    <row r="84" spans="1:24" x14ac:dyDescent="0.3">
      <c r="A84" s="4" t="str">
        <f>VLOOKUP(G84,Data!$A:$G,2,0)</f>
        <v>Souvik Maity</v>
      </c>
      <c r="B84" s="4" t="str">
        <f>VLOOKUP(G84,Data!$A:$G,3,0)</f>
        <v>Active</v>
      </c>
      <c r="C84" s="4" t="str">
        <f>VLOOKUP(G84,Data!$A:$G,4,0)</f>
        <v>Hooghly</v>
      </c>
      <c r="D84" s="4" t="str">
        <f>VLOOKUP(G84,Data!$A:$G,5,0)</f>
        <v>Dasghara</v>
      </c>
      <c r="E84" s="4" t="str">
        <f>VLOOKUP(G84,Data!$A:$G,6,0)</f>
        <v>Sabir Amed</v>
      </c>
      <c r="F84" s="10" t="str">
        <f>VLOOKUP(G84,Data!$A:$G,7,0)</f>
        <v>3390312282</v>
      </c>
      <c r="G84" s="5">
        <v>23214</v>
      </c>
      <c r="H84" s="5" t="str">
        <f>VLOOKUP(G84,'FI txn'!$G:$X,18,0)</f>
        <v>&lt; 150</v>
      </c>
      <c r="I84" s="7">
        <f>VLOOKUP(G84,'FI txn'!$G:$H,2,0)</f>
        <v>6</v>
      </c>
      <c r="J84" s="7">
        <f t="shared" si="6"/>
        <v>72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>
        <f t="shared" si="7"/>
        <v>0</v>
      </c>
    </row>
    <row r="85" spans="1:24" x14ac:dyDescent="0.3">
      <c r="A85" s="4" t="str">
        <f>VLOOKUP(G85,Data!$A:$G,2,0)</f>
        <v>Souvik Maity</v>
      </c>
      <c r="B85" s="4" t="str">
        <f>VLOOKUP(G85,Data!$A:$G,3,0)</f>
        <v>Active</v>
      </c>
      <c r="C85" s="4" t="str">
        <f>VLOOKUP(G85,Data!$A:$G,4,0)</f>
        <v>Hooghly</v>
      </c>
      <c r="D85" s="4" t="str">
        <f>VLOOKUP(G85,Data!$A:$G,5,0)</f>
        <v>Saidpur</v>
      </c>
      <c r="E85" s="4" t="str">
        <f>VLOOKUP(G85,Data!$A:$G,6,0)</f>
        <v>Puja Manna</v>
      </c>
      <c r="F85" s="10" t="str">
        <f>VLOOKUP(G85,Data!$A:$G,7,0)</f>
        <v>3390311696</v>
      </c>
      <c r="G85" s="5">
        <v>22453</v>
      </c>
      <c r="H85" s="5" t="str">
        <f>VLOOKUP(G85,'FI txn'!$G:$X,18,0)</f>
        <v>&lt; 150</v>
      </c>
      <c r="I85" s="7">
        <f>VLOOKUP(G85,'FI txn'!$G:$H,2,0)</f>
        <v>6</v>
      </c>
      <c r="J85" s="7">
        <f t="shared" si="6"/>
        <v>72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>
        <f t="shared" si="7"/>
        <v>0</v>
      </c>
    </row>
    <row r="86" spans="1:24" x14ac:dyDescent="0.3">
      <c r="A86" s="4" t="str">
        <f>VLOOKUP(G86,Data!$A:$G,2,0)</f>
        <v>Sunil Biswas</v>
      </c>
      <c r="B86" s="4" t="str">
        <f>VLOOKUP(G86,Data!$A:$G,3,0)</f>
        <v>Active</v>
      </c>
      <c r="C86" s="4" t="str">
        <f>VLOOKUP(G86,Data!$A:$G,4,0)</f>
        <v>Durgapur</v>
      </c>
      <c r="D86" s="4" t="str">
        <f>VLOOKUP(G86,Data!$A:$G,5,0)</f>
        <v>Santipur</v>
      </c>
      <c r="E86" s="4" t="str">
        <f>VLOOKUP(G86,Data!$A:$G,6,0)</f>
        <v>Partha Dey</v>
      </c>
      <c r="F86" s="10" t="str">
        <f>VLOOKUP(G86,Data!$A:$G,7,0)</f>
        <v>2430315570</v>
      </c>
      <c r="G86" s="5">
        <v>29089</v>
      </c>
      <c r="H86" s="5" t="str">
        <f>VLOOKUP(G86,'FI txn'!$G:$X,18,0)</f>
        <v>&lt; 150</v>
      </c>
      <c r="I86" s="7">
        <f>VLOOKUP(G86,'FI txn'!$G:$H,2,0)</f>
        <v>6</v>
      </c>
      <c r="J86" s="7">
        <f t="shared" si="6"/>
        <v>72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>
        <f t="shared" si="7"/>
        <v>0</v>
      </c>
    </row>
    <row r="87" spans="1:24" x14ac:dyDescent="0.3">
      <c r="A87" s="4" t="str">
        <f>VLOOKUP(G87,Data!$A:$G,2,0)</f>
        <v>Manindra Nath Barman</v>
      </c>
      <c r="B87" s="4" t="str">
        <f>VLOOKUP(G87,Data!$A:$G,3,0)</f>
        <v>Inactive</v>
      </c>
      <c r="C87" s="4" t="str">
        <f>VLOOKUP(G87,Data!$A:$G,4,0)</f>
        <v>Siliguri</v>
      </c>
      <c r="D87" s="4" t="str">
        <f>VLOOKUP(G87,Data!$A:$G,5,0)</f>
        <v>Buxa Forest Craja</v>
      </c>
      <c r="E87" s="4" t="str">
        <f>VLOOKUP(G87,Data!$A:$G,6,0)</f>
        <v>Pankaj Tiwari</v>
      </c>
      <c r="F87" s="10" t="str">
        <f>VLOOKUP(G87,Data!$A:$G,7,0)</f>
        <v>9490310077</v>
      </c>
      <c r="G87" s="12">
        <v>20503</v>
      </c>
      <c r="H87" s="5" t="str">
        <f>VLOOKUP(G87,'FI txn'!$G:$X,18,0)</f>
        <v>&lt; 150</v>
      </c>
      <c r="I87" s="7">
        <f>VLOOKUP(G87,'FI txn'!$G:$H,2,0)</f>
        <v>4</v>
      </c>
      <c r="J87" s="7">
        <f t="shared" si="6"/>
        <v>48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>
        <f t="shared" si="7"/>
        <v>0</v>
      </c>
    </row>
    <row r="88" spans="1:24" x14ac:dyDescent="0.3">
      <c r="A88" s="4" t="str">
        <f>VLOOKUP(G88,Data!$A:$G,2,0)</f>
        <v>Manindra Nath Barman</v>
      </c>
      <c r="B88" s="4" t="str">
        <f>VLOOKUP(G88,Data!$A:$G,3,0)</f>
        <v>Inactive</v>
      </c>
      <c r="C88" s="4" t="str">
        <f>VLOOKUP(G88,Data!$A:$G,4,0)</f>
        <v>Siliguri</v>
      </c>
      <c r="D88" s="4" t="str">
        <f>VLOOKUP(G88,Data!$A:$G,5,0)</f>
        <v>Buxa Forest Craja</v>
      </c>
      <c r="E88" s="4" t="str">
        <f>VLOOKUP(G88,Data!$A:$G,6,0)</f>
        <v xml:space="preserve">Md Khalique Ansari </v>
      </c>
      <c r="F88" s="10" t="str">
        <f>VLOOKUP(G88,Data!$A:$G,7,0)</f>
        <v>9490315684</v>
      </c>
      <c r="G88" s="5">
        <v>28825</v>
      </c>
      <c r="H88" s="5" t="str">
        <f>VLOOKUP(G88,'FI txn'!$G:$X,18,0)</f>
        <v>&lt; 150</v>
      </c>
      <c r="I88" s="7">
        <f>VLOOKUP(G88,'FI txn'!$G:$H,2,0)</f>
        <v>5</v>
      </c>
      <c r="J88" s="7">
        <f t="shared" si="6"/>
        <v>60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>
        <f t="shared" si="7"/>
        <v>0</v>
      </c>
    </row>
    <row r="89" spans="1:24" x14ac:dyDescent="0.3">
      <c r="A89" s="4" t="str">
        <f>VLOOKUP(G89,Data!$A:$G,2,0)</f>
        <v>Chandi Charan Mahato</v>
      </c>
      <c r="B89" s="4" t="str">
        <f>VLOOKUP(G89,Data!$A:$G,3,0)</f>
        <v>Inactive</v>
      </c>
      <c r="C89" s="4" t="str">
        <f>VLOOKUP(G89,Data!$A:$G,4,0)</f>
        <v>Durgapur</v>
      </c>
      <c r="D89" s="4" t="str">
        <f>VLOOKUP(G89,Data!$A:$G,5,0)</f>
        <v>Patrasayer</v>
      </c>
      <c r="E89" s="4" t="str">
        <f>VLOOKUP(G89,Data!$A:$G,6,0)</f>
        <v xml:space="preserve">Manorama Chakraborty Roy </v>
      </c>
      <c r="F89" s="10" t="str">
        <f>VLOOKUP(G89,Data!$A:$G,7,0)</f>
        <v>2160315496</v>
      </c>
      <c r="G89" s="5">
        <v>28305</v>
      </c>
      <c r="H89" s="5" t="str">
        <f>VLOOKUP(G89,'FI txn'!$G:$X,18,0)</f>
        <v>&lt; 150</v>
      </c>
      <c r="I89" s="7">
        <f>VLOOKUP(G89,'FI txn'!$G:$H,2,0)</f>
        <v>4</v>
      </c>
      <c r="J89" s="7">
        <f t="shared" si="6"/>
        <v>48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>
        <f t="shared" si="7"/>
        <v>0</v>
      </c>
    </row>
    <row r="90" spans="1:24" x14ac:dyDescent="0.3">
      <c r="A90" s="4" t="str">
        <f>VLOOKUP(G90,Data!$A:$G,2,0)</f>
        <v>Under Office (Birbhum)</v>
      </c>
      <c r="B90" s="4" t="str">
        <f>VLOOKUP(G90,Data!$A:$G,3,0)</f>
        <v>Inactive</v>
      </c>
      <c r="C90" s="4" t="str">
        <f>VLOOKUP(G90,Data!$A:$G,4,0)</f>
        <v>Siliguri</v>
      </c>
      <c r="D90" s="4" t="str">
        <f>VLOOKUP(G90,Data!$A:$G,5,0)</f>
        <v>Lohapur</v>
      </c>
      <c r="E90" s="4" t="str">
        <f>VLOOKUP(G90,Data!$A:$G,6,0)</f>
        <v>Suraj Fulmali</v>
      </c>
      <c r="F90" s="10" t="str">
        <f>VLOOKUP(G90,Data!$A:$G,7,0)</f>
        <v>0140311327</v>
      </c>
      <c r="G90" s="5">
        <v>27437</v>
      </c>
      <c r="H90" s="5" t="str">
        <f>VLOOKUP(G90,'FI txn'!$G:$X,18,0)</f>
        <v>&lt; 150</v>
      </c>
      <c r="I90" s="7">
        <f>VLOOKUP(G90,'FI txn'!$G:$H,2,0)</f>
        <v>2</v>
      </c>
      <c r="J90" s="7">
        <f t="shared" si="6"/>
        <v>24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>
        <f t="shared" si="7"/>
        <v>0</v>
      </c>
    </row>
    <row r="91" spans="1:24" x14ac:dyDescent="0.3">
      <c r="A91" s="4" t="str">
        <f>VLOOKUP(G91,Data!$A:$G,2,0)</f>
        <v>Sunil Biswas</v>
      </c>
      <c r="B91" s="4" t="str">
        <f>VLOOKUP(G91,Data!$A:$G,3,0)</f>
        <v>Inactive</v>
      </c>
      <c r="C91" s="4" t="str">
        <f>VLOOKUP(G91,Data!$A:$G,4,0)</f>
        <v>Durgapur</v>
      </c>
      <c r="D91" s="4" t="str">
        <f>VLOOKUP(G91,Data!$A:$G,5,0)</f>
        <v>Hridaypur</v>
      </c>
      <c r="E91" s="4" t="str">
        <f>VLOOKUP(G91,Data!$A:$G,6,0)</f>
        <v>Nitish Mondal</v>
      </c>
      <c r="F91" s="10" t="str">
        <f>VLOOKUP(G91,Data!$A:$G,7,0)</f>
        <v>8942919438</v>
      </c>
      <c r="G91" s="5">
        <v>29524</v>
      </c>
      <c r="H91" s="5" t="str">
        <f>VLOOKUP(G91,'FI txn'!$G:$X,18,0)</f>
        <v>&lt; 150</v>
      </c>
      <c r="I91" s="7">
        <f>VLOOKUP(G91,'FI txn'!$G:$H,2,0)</f>
        <v>1</v>
      </c>
      <c r="J91" s="7">
        <f t="shared" si="6"/>
        <v>12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</row>
    <row r="92" spans="1:24" x14ac:dyDescent="0.3">
      <c r="A92" s="4" t="str">
        <f>VLOOKUP(G92,Data!$A:$G,2,0)</f>
        <v>Souvik Maity</v>
      </c>
      <c r="B92" s="4" t="str">
        <f>VLOOKUP(G92,Data!$A:$G,3,0)</f>
        <v>Inactive</v>
      </c>
      <c r="C92" s="4" t="str">
        <f>VLOOKUP(G92,Data!$A:$G,4,0)</f>
        <v>Hooghly</v>
      </c>
      <c r="D92" s="4" t="str">
        <f>VLOOKUP(G92,Data!$A:$G,5,0)</f>
        <v>Mangrul</v>
      </c>
      <c r="E92" s="4" t="str">
        <f>VLOOKUP(G92,Data!$A:$G,6,0)</f>
        <v>Prasenjit Ghosh</v>
      </c>
      <c r="F92" s="10" t="str">
        <f>VLOOKUP(G92,Data!$A:$G,7,0)</f>
        <v>2390311944</v>
      </c>
      <c r="G92" s="5">
        <v>22771</v>
      </c>
      <c r="H92" s="5" t="e">
        <f>VLOOKUP(G92,'FI txn'!$G:$X,18,0)</f>
        <v>#DIV/0!</v>
      </c>
      <c r="I92" s="7">
        <f>VLOOKUP(G92,'FI txn'!$G:$H,2,0)</f>
        <v>0</v>
      </c>
      <c r="J92" s="7">
        <f t="shared" si="6"/>
        <v>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 t="e">
        <f t="shared" ref="X92:X104" si="8">W92/I92</f>
        <v>#DIV/0!</v>
      </c>
    </row>
    <row r="93" spans="1:24" x14ac:dyDescent="0.3">
      <c r="A93" s="4" t="str">
        <f>VLOOKUP(G93,Data!$A:$G,2,0)</f>
        <v>Under Office (Birbhum)</v>
      </c>
      <c r="B93" s="4" t="str">
        <f>VLOOKUP(G93,Data!$A:$G,3,0)</f>
        <v>Inactive</v>
      </c>
      <c r="C93" s="4" t="str">
        <f>VLOOKUP(G93,Data!$A:$G,4,0)</f>
        <v>Siliguri</v>
      </c>
      <c r="D93" s="4" t="str">
        <f>VLOOKUP(G93,Data!$A:$G,5,0)</f>
        <v>Mangaldihi</v>
      </c>
      <c r="E93" s="4" t="str">
        <f>VLOOKUP(G93,Data!$A:$G,6,0)</f>
        <v>Swarup Sadhu</v>
      </c>
      <c r="F93" s="10" t="str">
        <f>VLOOKUP(G93,Data!$A:$G,7,0)</f>
        <v>0140311670</v>
      </c>
      <c r="G93" s="5">
        <v>22424</v>
      </c>
      <c r="H93" s="5" t="e">
        <f>VLOOKUP(G93,'FI txn'!$G:$X,18,0)</f>
        <v>#DIV/0!</v>
      </c>
      <c r="I93" s="7">
        <f>VLOOKUP(G93,'FI txn'!$G:$H,2,0)</f>
        <v>0</v>
      </c>
      <c r="J93" s="7">
        <f t="shared" si="6"/>
        <v>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 t="e">
        <f t="shared" si="8"/>
        <v>#DIV/0!</v>
      </c>
    </row>
    <row r="94" spans="1:24" x14ac:dyDescent="0.3">
      <c r="A94" s="4" t="str">
        <f>VLOOKUP(G94,Data!$A:$G,2,0)</f>
        <v>Santanu Bera</v>
      </c>
      <c r="B94" s="4" t="str">
        <f>VLOOKUP(G94,Data!$A:$G,3,0)</f>
        <v>Inactive</v>
      </c>
      <c r="C94" s="4" t="str">
        <f>VLOOKUP(G94,Data!$A:$G,4,0)</f>
        <v>Hooghly</v>
      </c>
      <c r="D94" s="4" t="str">
        <f>VLOOKUP(G94,Data!$A:$G,5,0)</f>
        <v>Contai</v>
      </c>
      <c r="E94" s="4" t="str">
        <f>VLOOKUP(G94,Data!$A:$G,6,0)</f>
        <v>Sulekha Das</v>
      </c>
      <c r="F94" s="10" t="str">
        <f>VLOOKUP(G94,Data!$A:$G,7,0)</f>
        <v>2380314986</v>
      </c>
      <c r="G94" s="12">
        <v>27252</v>
      </c>
      <c r="H94" s="5" t="str">
        <f>VLOOKUP(G94,'FI txn'!$G:$X,18,0)</f>
        <v>Nill</v>
      </c>
      <c r="I94" s="7">
        <f>VLOOKUP(G94,'FI txn'!$G:$H,2,0)</f>
        <v>0</v>
      </c>
      <c r="J94" s="7">
        <f t="shared" si="6"/>
        <v>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 t="e">
        <f t="shared" si="8"/>
        <v>#DIV/0!</v>
      </c>
    </row>
    <row r="95" spans="1:24" x14ac:dyDescent="0.3">
      <c r="A95" s="4" t="str">
        <f>VLOOKUP(G95,Data!$A:$G,2,0)</f>
        <v>Souvik Maity</v>
      </c>
      <c r="B95" s="4" t="str">
        <f>VLOOKUP(G95,Data!$A:$G,3,0)</f>
        <v>Inactive</v>
      </c>
      <c r="C95" s="4" t="str">
        <f>VLOOKUP(G95,Data!$A:$G,4,0)</f>
        <v>Hooghly</v>
      </c>
      <c r="D95" s="4" t="str">
        <f>VLOOKUP(G95,Data!$A:$G,5,0)</f>
        <v>Mayapur</v>
      </c>
      <c r="E95" s="4" t="str">
        <f>VLOOKUP(G95,Data!$A:$G,6,0)</f>
        <v>Falguni Samanta</v>
      </c>
      <c r="F95" s="10" t="str">
        <f>VLOOKUP(G95,Data!$A:$G,7,0)</f>
        <v>3390311256</v>
      </c>
      <c r="G95" s="12">
        <v>21925</v>
      </c>
      <c r="H95" s="5" t="str">
        <f>VLOOKUP(G95,'FI txn'!$G:$X,18,0)</f>
        <v>Nill</v>
      </c>
      <c r="I95" s="7">
        <f>VLOOKUP(G95,'FI txn'!$G:$H,2,0)</f>
        <v>0</v>
      </c>
      <c r="J95" s="7">
        <f t="shared" si="6"/>
        <v>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 t="e">
        <f t="shared" si="8"/>
        <v>#DIV/0!</v>
      </c>
    </row>
    <row r="96" spans="1:24" x14ac:dyDescent="0.3">
      <c r="A96" s="4" t="str">
        <f>VLOOKUP(G96,Data!$A:$G,2,0)</f>
        <v>Chandi Charan Mahato</v>
      </c>
      <c r="B96" s="4" t="str">
        <f>VLOOKUP(G96,Data!$A:$G,3,0)</f>
        <v>Inactive</v>
      </c>
      <c r="C96" s="4" t="str">
        <f>VLOOKUP(G96,Data!$A:$G,4,0)</f>
        <v>Durgapur</v>
      </c>
      <c r="D96" s="4" t="str">
        <f>VLOOKUP(G96,Data!$A:$G,5,0)</f>
        <v>Layekbandh</v>
      </c>
      <c r="E96" s="4" t="str">
        <f>VLOOKUP(G96,Data!$A:$G,6,0)</f>
        <v>Debasis Dey</v>
      </c>
      <c r="F96" s="10" t="str">
        <f>VLOOKUP(G96,Data!$A:$G,7,0)</f>
        <v>2160315158</v>
      </c>
      <c r="G96" s="12">
        <v>27632</v>
      </c>
      <c r="H96" s="5" t="str">
        <f>VLOOKUP(G96,'FI txn'!$G:$X,18,0)</f>
        <v>Nill</v>
      </c>
      <c r="I96" s="7">
        <f>VLOOKUP(G96,'FI txn'!$G:$H,2,0)</f>
        <v>0</v>
      </c>
      <c r="J96" s="7">
        <f t="shared" si="6"/>
        <v>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 t="e">
        <f t="shared" si="8"/>
        <v>#DIV/0!</v>
      </c>
    </row>
    <row r="97" spans="1:24" x14ac:dyDescent="0.3">
      <c r="A97" s="4" t="str">
        <f>VLOOKUP(G97,Data!$A:$G,2,0)</f>
        <v>Manindra Nath Barman</v>
      </c>
      <c r="B97" s="4" t="str">
        <f>VLOOKUP(G97,Data!$A:$G,3,0)</f>
        <v>Inactive</v>
      </c>
      <c r="C97" s="4" t="str">
        <f>VLOOKUP(G97,Data!$A:$G,4,0)</f>
        <v>Siliguri</v>
      </c>
      <c r="D97" s="4" t="str">
        <f>VLOOKUP(G97,Data!$A:$G,5,0)</f>
        <v>Maynaguri</v>
      </c>
      <c r="E97" s="4" t="str">
        <f>VLOOKUP(G97,Data!$A:$G,6,0)</f>
        <v>Biswajit Roy</v>
      </c>
      <c r="F97" s="10" t="str">
        <f>VLOOKUP(G97,Data!$A:$G,7,0)</f>
        <v>2310311260</v>
      </c>
      <c r="G97" s="12">
        <v>21929</v>
      </c>
      <c r="H97" s="5" t="str">
        <f>VLOOKUP(G97,'FI txn'!$G:$X,18,0)</f>
        <v>Nill</v>
      </c>
      <c r="I97" s="7">
        <f>VLOOKUP(G97,'FI txn'!$G:$H,2,0)</f>
        <v>0</v>
      </c>
      <c r="J97" s="7">
        <f t="shared" si="6"/>
        <v>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 t="e">
        <f t="shared" si="8"/>
        <v>#DIV/0!</v>
      </c>
    </row>
    <row r="98" spans="1:24" x14ac:dyDescent="0.3">
      <c r="A98" s="4" t="str">
        <f>VLOOKUP(G98,Data!$A:$G,2,0)</f>
        <v>Santanu Bera</v>
      </c>
      <c r="B98" s="4" t="str">
        <f>VLOOKUP(G98,Data!$A:$G,3,0)</f>
        <v>Inactive</v>
      </c>
      <c r="C98" s="4" t="str">
        <f>VLOOKUP(G98,Data!$A:$G,4,0)</f>
        <v>Hooghly</v>
      </c>
      <c r="D98" s="4" t="str">
        <f>VLOOKUP(G98,Data!$A:$G,5,0)</f>
        <v>Contai</v>
      </c>
      <c r="E98" s="4" t="str">
        <f>VLOOKUP(G98,Data!$A:$G,6,0)</f>
        <v>Narayan Ojha</v>
      </c>
      <c r="F98" s="10" t="str">
        <f>VLOOKUP(G98,Data!$A:$G,7,0)</f>
        <v>2380314459</v>
      </c>
      <c r="G98" s="12">
        <v>26507</v>
      </c>
      <c r="H98" s="5" t="str">
        <f>VLOOKUP(G98,'FI txn'!$G:$X,18,0)</f>
        <v>Nill</v>
      </c>
      <c r="I98" s="7">
        <f>VLOOKUP(G98,'FI txn'!$G:$H,2,0)</f>
        <v>0</v>
      </c>
      <c r="J98" s="7">
        <f t="shared" ref="J98:J129" si="9">I98*12</f>
        <v>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 t="e">
        <f t="shared" si="8"/>
        <v>#DIV/0!</v>
      </c>
    </row>
    <row r="99" spans="1:24" x14ac:dyDescent="0.3">
      <c r="A99" s="4" t="str">
        <f>VLOOKUP(G99,Data!$A:$G,2,0)</f>
        <v>Souvik Maity</v>
      </c>
      <c r="B99" s="4" t="str">
        <f>VLOOKUP(G99,Data!$A:$G,3,0)</f>
        <v>Inactive</v>
      </c>
      <c r="C99" s="4" t="str">
        <f>VLOOKUP(G99,Data!$A:$G,4,0)</f>
        <v>Hooghly</v>
      </c>
      <c r="D99" s="4" t="str">
        <f>VLOOKUP(G99,Data!$A:$G,5,0)</f>
        <v>Arambagh</v>
      </c>
      <c r="E99" s="4" t="str">
        <f>VLOOKUP(G99,Data!$A:$G,6,0)</f>
        <v>Sk Momin Uddin</v>
      </c>
      <c r="F99" s="10" t="str">
        <f>VLOOKUP(G99,Data!$A:$G,7,0)</f>
        <v>3390313207</v>
      </c>
      <c r="G99" s="12">
        <v>24527</v>
      </c>
      <c r="H99" s="5" t="str">
        <f>VLOOKUP(G99,'FI txn'!$G:$X,18,0)</f>
        <v>Nill</v>
      </c>
      <c r="I99" s="7">
        <f>VLOOKUP(G99,'FI txn'!$G:$H,2,0)</f>
        <v>0</v>
      </c>
      <c r="J99" s="7">
        <f t="shared" si="9"/>
        <v>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 t="e">
        <f t="shared" si="8"/>
        <v>#DIV/0!</v>
      </c>
    </row>
    <row r="100" spans="1:24" x14ac:dyDescent="0.3">
      <c r="A100" s="4" t="str">
        <f>VLOOKUP(G100,Data!$A:$G,2,0)</f>
        <v>Under Office (Birbhum)</v>
      </c>
      <c r="B100" s="4" t="str">
        <f>VLOOKUP(G100,Data!$A:$G,3,0)</f>
        <v>Inactive</v>
      </c>
      <c r="C100" s="4" t="str">
        <f>VLOOKUP(G100,Data!$A:$G,4,0)</f>
        <v>Siliguri</v>
      </c>
      <c r="D100" s="4" t="str">
        <f>VLOOKUP(G100,Data!$A:$G,5,0)</f>
        <v>Koytha</v>
      </c>
      <c r="E100" s="4" t="str">
        <f>VLOOKUP(G100,Data!$A:$G,6,0)</f>
        <v>Tamarul Sk</v>
      </c>
      <c r="F100" s="10" t="str">
        <f>VLOOKUP(G100,Data!$A:$G,7,0)</f>
        <v>0140311624</v>
      </c>
      <c r="G100" s="12">
        <v>22361</v>
      </c>
      <c r="H100" s="5" t="str">
        <f>VLOOKUP(G100,'FI txn'!$G:$X,18,0)</f>
        <v>Nill</v>
      </c>
      <c r="I100" s="7">
        <f>VLOOKUP(G100,'FI txn'!$G:$H,2,0)</f>
        <v>0</v>
      </c>
      <c r="J100" s="7">
        <f t="shared" si="9"/>
        <v>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 t="e">
        <f t="shared" si="8"/>
        <v>#DIV/0!</v>
      </c>
    </row>
    <row r="101" spans="1:24" x14ac:dyDescent="0.3">
      <c r="A101" s="4" t="str">
        <f>VLOOKUP(G101,Data!$A:$G,2,0)</f>
        <v>Under Office (Birbhum)</v>
      </c>
      <c r="B101" s="4" t="str">
        <f>VLOOKUP(G101,Data!$A:$G,3,0)</f>
        <v>Inactive</v>
      </c>
      <c r="C101" s="4" t="str">
        <f>VLOOKUP(G101,Data!$A:$G,4,0)</f>
        <v>Siliguri</v>
      </c>
      <c r="D101" s="4" t="str">
        <f>VLOOKUP(G101,Data!$A:$G,5,0)</f>
        <v>Mangaldihi</v>
      </c>
      <c r="E101" s="4" t="str">
        <f>VLOOKUP(G101,Data!$A:$G,6,0)</f>
        <v>Sk Khairul Hossain</v>
      </c>
      <c r="F101" s="10" t="str">
        <f>VLOOKUP(G101,Data!$A:$G,7,0)</f>
        <v>0140310490</v>
      </c>
      <c r="G101" s="12">
        <v>20983</v>
      </c>
      <c r="H101" s="5" t="str">
        <f>VLOOKUP(G101,'FI txn'!$G:$X,18,0)</f>
        <v>Nill</v>
      </c>
      <c r="I101" s="7">
        <f>VLOOKUP(G101,'FI txn'!$G:$H,2,0)</f>
        <v>0</v>
      </c>
      <c r="J101" s="7">
        <f t="shared" si="9"/>
        <v>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 t="e">
        <f t="shared" si="8"/>
        <v>#DIV/0!</v>
      </c>
    </row>
    <row r="102" spans="1:24" x14ac:dyDescent="0.3">
      <c r="A102" s="4" t="str">
        <f>VLOOKUP(G102,Data!$A:$G,2,0)</f>
        <v>Sunil Biswas</v>
      </c>
      <c r="B102" s="4" t="str">
        <f>VLOOKUP(G102,Data!$A:$G,3,0)</f>
        <v>Inactive</v>
      </c>
      <c r="C102" s="4" t="str">
        <f>VLOOKUP(G102,Data!$A:$G,4,0)</f>
        <v>Durgapur</v>
      </c>
      <c r="D102" s="4" t="str">
        <f>VLOOKUP(G102,Data!$A:$G,5,0)</f>
        <v>Hridaypur</v>
      </c>
      <c r="E102" s="4" t="str">
        <f>VLOOKUP(G102,Data!$A:$G,6,0)</f>
        <v>Saiful Sekh</v>
      </c>
      <c r="F102" s="10" t="str">
        <f>VLOOKUP(G102,Data!$A:$G,7,0)</f>
        <v>2430314735</v>
      </c>
      <c r="G102" s="12">
        <v>26881</v>
      </c>
      <c r="H102" s="5" t="str">
        <f>VLOOKUP(G102,'FI txn'!$G:$X,18,0)</f>
        <v>Nill</v>
      </c>
      <c r="I102" s="7">
        <f>VLOOKUP(G102,'FI txn'!$G:$H,2,0)</f>
        <v>0</v>
      </c>
      <c r="J102" s="7">
        <f t="shared" si="9"/>
        <v>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 t="e">
        <f t="shared" si="8"/>
        <v>#DIV/0!</v>
      </c>
    </row>
    <row r="103" spans="1:24" x14ac:dyDescent="0.3">
      <c r="A103" s="4" t="str">
        <f>VLOOKUP(G103,Data!$A:$G,2,0)</f>
        <v>Sunil Biswas</v>
      </c>
      <c r="B103" s="4" t="str">
        <f>VLOOKUP(G103,Data!$A:$G,3,0)</f>
        <v>Inactive</v>
      </c>
      <c r="C103" s="4" t="str">
        <f>VLOOKUP(G103,Data!$A:$G,4,0)</f>
        <v>Durgapur</v>
      </c>
      <c r="D103" s="4" t="str">
        <f>VLOOKUP(G103,Data!$A:$G,5,0)</f>
        <v>Badkulla</v>
      </c>
      <c r="E103" s="4" t="str">
        <f>VLOOKUP(G103,Data!$A:$G,6,0)</f>
        <v>Amit Sikder</v>
      </c>
      <c r="F103" s="10" t="str">
        <f>VLOOKUP(G103,Data!$A:$G,7,0)</f>
        <v>2430315185</v>
      </c>
      <c r="G103" s="5">
        <v>27731</v>
      </c>
      <c r="H103" s="5" t="str">
        <f>VLOOKUP(G103,'FI txn'!$G:$X,18,0)</f>
        <v>&lt; 150</v>
      </c>
      <c r="I103" s="7">
        <f>VLOOKUP(G103,'FI txn'!$G:$H,2,0)</f>
        <v>2</v>
      </c>
      <c r="J103" s="7">
        <f t="shared" si="9"/>
        <v>24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9">
        <f t="shared" si="8"/>
        <v>0</v>
      </c>
    </row>
    <row r="104" spans="1:24" x14ac:dyDescent="0.3">
      <c r="A104" s="4" t="str">
        <f>VLOOKUP(G104,Data!$A:$G,2,0)</f>
        <v>Chandi Charan Mahato</v>
      </c>
      <c r="B104" s="4" t="str">
        <f>VLOOKUP(G104,Data!$A:$G,3,0)</f>
        <v>Inactive</v>
      </c>
      <c r="C104" s="4" t="str">
        <f>VLOOKUP(G104,Data!$A:$G,4,0)</f>
        <v>Durgapur</v>
      </c>
      <c r="D104" s="4" t="str">
        <f>VLOOKUP(G104,Data!$A:$G,5,0)</f>
        <v>Kotulpur</v>
      </c>
      <c r="E104" s="4" t="str">
        <f>VLOOKUP(G104,Data!$A:$G,6,0)</f>
        <v>Sayan Dutta</v>
      </c>
      <c r="F104" s="10" t="str">
        <f>VLOOKUP(G104,Data!$A:$G,7,0)</f>
        <v>2160315608</v>
      </c>
      <c r="G104" s="12">
        <v>28601</v>
      </c>
      <c r="H104" s="5" t="str">
        <f>VLOOKUP(G104,'FI txn'!$G:$X,18,0)</f>
        <v>&lt; 150</v>
      </c>
      <c r="I104" s="7">
        <f>VLOOKUP(G104,'FI txn'!$G:$H,2,0)</f>
        <v>1</v>
      </c>
      <c r="J104" s="7">
        <f t="shared" si="9"/>
        <v>12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9">
        <f t="shared" si="8"/>
        <v>0</v>
      </c>
    </row>
  </sheetData>
  <conditionalFormatting sqref="E1">
    <cfRule type="duplicateValues" dxfId="177" priority="24"/>
    <cfRule type="duplicateValues" dxfId="176" priority="25"/>
    <cfRule type="duplicateValues" dxfId="175" priority="26"/>
    <cfRule type="duplicateValues" dxfId="174" priority="27"/>
    <cfRule type="duplicateValues" dxfId="173" priority="28"/>
    <cfRule type="duplicateValues" dxfId="172" priority="29"/>
    <cfRule type="duplicateValues" dxfId="171" priority="30"/>
  </conditionalFormatting>
  <conditionalFormatting sqref="E105:E1048576">
    <cfRule type="duplicateValues" dxfId="170" priority="44"/>
    <cfRule type="duplicateValues" dxfId="169" priority="45"/>
  </conditionalFormatting>
  <conditionalFormatting sqref="F105:F1048576">
    <cfRule type="duplicateValues" dxfId="168" priority="31"/>
  </conditionalFormatting>
  <conditionalFormatting sqref="G1:G105 G191:G1048576">
    <cfRule type="duplicateValues" dxfId="167" priority="1"/>
  </conditionalFormatting>
  <conditionalFormatting sqref="G105:H105 G191:H1048576 H106:H190">
    <cfRule type="duplicateValues" dxfId="166" priority="32"/>
    <cfRule type="duplicateValues" dxfId="165" priority="33"/>
  </conditionalFormatting>
  <conditionalFormatting sqref="G105:H105 H106:H184">
    <cfRule type="duplicateValues" dxfId="164" priority="34"/>
    <cfRule type="duplicateValues" dxfId="163" priority="41"/>
  </conditionalFormatting>
  <conditionalFormatting sqref="G191:H1048576 H185:H190">
    <cfRule type="duplicateValues" dxfId="162" priority="35"/>
    <cfRule type="duplicateValues" dxfId="161" priority="36"/>
    <cfRule type="duplicateValues" dxfId="160" priority="37"/>
    <cfRule type="duplicateValues" dxfId="159" priority="38"/>
    <cfRule type="duplicateValues" dxfId="158" priority="39"/>
    <cfRule type="duplicateValues" dxfId="157" priority="40"/>
    <cfRule type="duplicateValues" dxfId="156" priority="42"/>
    <cfRule type="duplicateValues" dxfId="155" priority="43"/>
  </conditionalFormatting>
  <conditionalFormatting sqref="W2:W104">
    <cfRule type="top10" dxfId="154" priority="279" rank="3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4B88-87F7-482F-8852-E6D9F8C17818}">
  <dimension ref="A3:AD18"/>
  <sheetViews>
    <sheetView topLeftCell="S1" workbookViewId="0">
      <selection activeCell="AC22" sqref="AC22"/>
    </sheetView>
  </sheetViews>
  <sheetFormatPr defaultRowHeight="14.4" x14ac:dyDescent="0.3"/>
  <cols>
    <col min="1" max="1" width="23.77734375" bestFit="1" customWidth="1"/>
    <col min="2" max="2" width="12.77734375" bestFit="1" customWidth="1"/>
    <col min="3" max="3" width="13.21875" bestFit="1" customWidth="1"/>
    <col min="4" max="4" width="14" bestFit="1" customWidth="1"/>
    <col min="5" max="5" width="13.109375" bestFit="1" customWidth="1"/>
    <col min="6" max="6" width="12.33203125" bestFit="1" customWidth="1"/>
    <col min="7" max="7" width="13.5546875" bestFit="1" customWidth="1"/>
    <col min="8" max="8" width="13.33203125" bestFit="1" customWidth="1"/>
    <col min="9" max="9" width="13.109375" bestFit="1" customWidth="1"/>
    <col min="10" max="10" width="13.6640625" bestFit="1" customWidth="1"/>
    <col min="11" max="11" width="13.33203125" bestFit="1" customWidth="1"/>
    <col min="12" max="12" width="12.88671875" bestFit="1" customWidth="1"/>
    <col min="13" max="13" width="13.21875" bestFit="1" customWidth="1"/>
    <col min="14" max="14" width="13.6640625" bestFit="1" customWidth="1"/>
    <col min="15" max="15" width="15.33203125" bestFit="1" customWidth="1"/>
    <col min="17" max="17" width="23.77734375" bestFit="1" customWidth="1"/>
    <col min="18" max="18" width="14.5546875" bestFit="1" customWidth="1"/>
    <col min="19" max="19" width="15.33203125" bestFit="1" customWidth="1"/>
    <col min="20" max="20" width="14.44140625" bestFit="1" customWidth="1"/>
    <col min="21" max="21" width="13.77734375" bestFit="1" customWidth="1"/>
    <col min="22" max="22" width="14.88671875" bestFit="1" customWidth="1"/>
    <col min="23" max="23" width="14.6640625" bestFit="1" customWidth="1"/>
    <col min="24" max="24" width="14.44140625" bestFit="1" customWidth="1"/>
    <col min="25" max="25" width="15" bestFit="1" customWidth="1"/>
    <col min="26" max="26" width="14.6640625" bestFit="1" customWidth="1"/>
    <col min="27" max="27" width="14.33203125" bestFit="1" customWidth="1"/>
    <col min="28" max="28" width="14.5546875" bestFit="1" customWidth="1"/>
    <col min="29" max="29" width="15" bestFit="1" customWidth="1"/>
    <col min="30" max="30" width="16.6640625" bestFit="1" customWidth="1"/>
    <col min="31" max="31" width="15.44140625" bestFit="1" customWidth="1"/>
  </cols>
  <sheetData>
    <row r="3" spans="1:30" x14ac:dyDescent="0.3">
      <c r="A3" s="31" t="s">
        <v>289</v>
      </c>
      <c r="B3" t="s">
        <v>290</v>
      </c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 t="s">
        <v>296</v>
      </c>
      <c r="I3" t="s">
        <v>297</v>
      </c>
      <c r="J3" t="s">
        <v>298</v>
      </c>
      <c r="K3" t="s">
        <v>299</v>
      </c>
      <c r="L3" t="s">
        <v>300</v>
      </c>
      <c r="M3" t="s">
        <v>301</v>
      </c>
      <c r="N3" t="s">
        <v>302</v>
      </c>
      <c r="O3" t="s">
        <v>324</v>
      </c>
      <c r="Q3" s="31" t="s">
        <v>289</v>
      </c>
      <c r="R3" t="s">
        <v>304</v>
      </c>
      <c r="S3" t="s">
        <v>305</v>
      </c>
      <c r="T3" t="s">
        <v>306</v>
      </c>
      <c r="U3" t="s">
        <v>307</v>
      </c>
      <c r="V3" t="s">
        <v>308</v>
      </c>
      <c r="W3" t="s">
        <v>309</v>
      </c>
      <c r="X3" t="s">
        <v>310</v>
      </c>
      <c r="Y3" t="s">
        <v>311</v>
      </c>
      <c r="Z3" t="s">
        <v>312</v>
      </c>
      <c r="AA3" t="s">
        <v>313</v>
      </c>
      <c r="AB3" t="s">
        <v>314</v>
      </c>
      <c r="AC3" t="s">
        <v>315</v>
      </c>
      <c r="AD3" t="s">
        <v>341</v>
      </c>
    </row>
    <row r="4" spans="1:30" x14ac:dyDescent="0.3">
      <c r="A4" s="32" t="s">
        <v>99</v>
      </c>
      <c r="B4" s="33">
        <v>432</v>
      </c>
      <c r="C4" s="276">
        <v>4</v>
      </c>
      <c r="D4" s="276">
        <v>9</v>
      </c>
      <c r="E4" s="276">
        <v>19</v>
      </c>
      <c r="F4" s="276">
        <v>21</v>
      </c>
      <c r="G4" s="276">
        <v>11</v>
      </c>
      <c r="H4" s="276">
        <v>8</v>
      </c>
      <c r="I4" s="276"/>
      <c r="J4" s="276"/>
      <c r="K4" s="276"/>
      <c r="L4" s="276"/>
      <c r="M4" s="276"/>
      <c r="N4" s="276"/>
      <c r="O4" s="33">
        <v>72</v>
      </c>
      <c r="Q4" s="32" t="s">
        <v>99</v>
      </c>
      <c r="R4" s="276">
        <v>2</v>
      </c>
      <c r="S4" s="276">
        <v>2</v>
      </c>
      <c r="T4" s="276">
        <v>3</v>
      </c>
      <c r="U4" s="276">
        <v>3</v>
      </c>
      <c r="V4" s="276">
        <v>3</v>
      </c>
      <c r="W4" s="276">
        <v>1</v>
      </c>
      <c r="X4" s="276"/>
      <c r="Y4" s="276"/>
      <c r="Z4" s="276"/>
      <c r="AA4" s="276"/>
      <c r="AB4" s="276"/>
      <c r="AC4" s="276"/>
      <c r="AD4" s="276">
        <v>3</v>
      </c>
    </row>
    <row r="5" spans="1:30" x14ac:dyDescent="0.3">
      <c r="A5" s="32" t="s">
        <v>97</v>
      </c>
      <c r="B5" s="33">
        <v>672</v>
      </c>
      <c r="C5" s="276">
        <v>55</v>
      </c>
      <c r="D5" s="276">
        <v>75</v>
      </c>
      <c r="E5" s="276">
        <v>34</v>
      </c>
      <c r="F5" s="276">
        <v>27</v>
      </c>
      <c r="G5" s="276">
        <v>51</v>
      </c>
      <c r="H5" s="276">
        <v>6</v>
      </c>
      <c r="I5" s="276"/>
      <c r="J5" s="276"/>
      <c r="K5" s="276"/>
      <c r="L5" s="276"/>
      <c r="M5" s="276"/>
      <c r="N5" s="276"/>
      <c r="O5" s="33">
        <v>248</v>
      </c>
      <c r="Q5" s="32" t="s">
        <v>97</v>
      </c>
      <c r="R5" s="276">
        <v>4</v>
      </c>
      <c r="S5" s="276">
        <v>5</v>
      </c>
      <c r="T5" s="276">
        <v>4</v>
      </c>
      <c r="U5" s="276">
        <v>2</v>
      </c>
      <c r="V5" s="276">
        <v>4</v>
      </c>
      <c r="W5" s="276">
        <v>2</v>
      </c>
      <c r="X5" s="276"/>
      <c r="Y5" s="276"/>
      <c r="Z5" s="276"/>
      <c r="AA5" s="276"/>
      <c r="AB5" s="276"/>
      <c r="AC5" s="276"/>
      <c r="AD5" s="276">
        <v>5</v>
      </c>
    </row>
    <row r="6" spans="1:30" x14ac:dyDescent="0.3">
      <c r="A6" s="32" t="s">
        <v>93</v>
      </c>
      <c r="B6" s="33">
        <v>768</v>
      </c>
      <c r="C6" s="276">
        <v>43</v>
      </c>
      <c r="D6" s="276">
        <v>58</v>
      </c>
      <c r="E6" s="276">
        <v>66</v>
      </c>
      <c r="F6" s="276">
        <v>75</v>
      </c>
      <c r="G6" s="276">
        <v>68</v>
      </c>
      <c r="H6" s="276">
        <v>8</v>
      </c>
      <c r="I6" s="276"/>
      <c r="J6" s="276"/>
      <c r="K6" s="276"/>
      <c r="L6" s="276"/>
      <c r="M6" s="276"/>
      <c r="N6" s="276"/>
      <c r="O6" s="33">
        <v>318</v>
      </c>
      <c r="Q6" s="32" t="s">
        <v>93</v>
      </c>
      <c r="R6" s="276">
        <v>3</v>
      </c>
      <c r="S6" s="276">
        <v>3</v>
      </c>
      <c r="T6" s="276">
        <v>4</v>
      </c>
      <c r="U6" s="276">
        <v>5</v>
      </c>
      <c r="V6" s="276">
        <v>6</v>
      </c>
      <c r="W6" s="276">
        <v>4</v>
      </c>
      <c r="X6" s="276"/>
      <c r="Y6" s="276"/>
      <c r="Z6" s="276"/>
      <c r="AA6" s="276"/>
      <c r="AB6" s="276"/>
      <c r="AC6" s="276"/>
      <c r="AD6" s="276">
        <v>6</v>
      </c>
    </row>
    <row r="7" spans="1:30" x14ac:dyDescent="0.3">
      <c r="A7" s="32" t="s">
        <v>101</v>
      </c>
      <c r="B7" s="33">
        <v>288</v>
      </c>
      <c r="C7" s="276">
        <v>22</v>
      </c>
      <c r="D7" s="276">
        <v>45</v>
      </c>
      <c r="E7" s="276">
        <v>22</v>
      </c>
      <c r="F7" s="276">
        <v>33</v>
      </c>
      <c r="G7" s="276">
        <v>25</v>
      </c>
      <c r="H7" s="276">
        <v>8</v>
      </c>
      <c r="I7" s="276"/>
      <c r="J7" s="276"/>
      <c r="K7" s="276"/>
      <c r="L7" s="276"/>
      <c r="M7" s="276"/>
      <c r="N7" s="276"/>
      <c r="O7" s="33">
        <v>155</v>
      </c>
      <c r="Q7" s="32" t="s">
        <v>101</v>
      </c>
      <c r="R7" s="276">
        <v>2</v>
      </c>
      <c r="S7" s="276">
        <v>2</v>
      </c>
      <c r="T7" s="276">
        <v>2</v>
      </c>
      <c r="U7" s="276">
        <v>2</v>
      </c>
      <c r="V7" s="276">
        <v>2</v>
      </c>
      <c r="W7" s="276">
        <v>2</v>
      </c>
      <c r="X7" s="276"/>
      <c r="Y7" s="276"/>
      <c r="Z7" s="276"/>
      <c r="AA7" s="276"/>
      <c r="AB7" s="276"/>
      <c r="AC7" s="276"/>
      <c r="AD7" s="276">
        <v>2</v>
      </c>
    </row>
    <row r="8" spans="1:30" x14ac:dyDescent="0.3">
      <c r="A8" s="32" t="s">
        <v>102</v>
      </c>
      <c r="B8" s="33">
        <v>432</v>
      </c>
      <c r="C8" s="276">
        <v>12</v>
      </c>
      <c r="D8" s="276">
        <v>51</v>
      </c>
      <c r="E8" s="276">
        <v>42</v>
      </c>
      <c r="F8" s="276">
        <v>28</v>
      </c>
      <c r="G8" s="276">
        <v>42</v>
      </c>
      <c r="H8" s="276">
        <v>8</v>
      </c>
      <c r="I8" s="276"/>
      <c r="J8" s="276"/>
      <c r="K8" s="276"/>
      <c r="L8" s="276"/>
      <c r="M8" s="276"/>
      <c r="N8" s="276"/>
      <c r="O8" s="33">
        <v>183</v>
      </c>
      <c r="Q8" s="32" t="s">
        <v>102</v>
      </c>
      <c r="R8" s="276">
        <v>3</v>
      </c>
      <c r="S8" s="276">
        <v>3</v>
      </c>
      <c r="T8" s="276">
        <v>3</v>
      </c>
      <c r="U8" s="276">
        <v>3</v>
      </c>
      <c r="V8" s="276">
        <v>3</v>
      </c>
      <c r="W8" s="276">
        <v>3</v>
      </c>
      <c r="X8" s="276"/>
      <c r="Y8" s="276"/>
      <c r="Z8" s="276"/>
      <c r="AA8" s="276"/>
      <c r="AB8" s="276"/>
      <c r="AC8" s="276"/>
      <c r="AD8" s="276">
        <v>3</v>
      </c>
    </row>
    <row r="9" spans="1:30" x14ac:dyDescent="0.3">
      <c r="A9" s="32" t="s">
        <v>100</v>
      </c>
      <c r="B9" s="33">
        <v>288</v>
      </c>
      <c r="C9" s="276">
        <v>8</v>
      </c>
      <c r="D9" s="276">
        <v>22</v>
      </c>
      <c r="E9" s="276">
        <v>21</v>
      </c>
      <c r="F9" s="276">
        <v>26</v>
      </c>
      <c r="G9" s="276">
        <v>6</v>
      </c>
      <c r="H9" s="276">
        <v>8</v>
      </c>
      <c r="I9" s="276"/>
      <c r="J9" s="276"/>
      <c r="K9" s="276"/>
      <c r="L9" s="276"/>
      <c r="M9" s="276"/>
      <c r="N9" s="276"/>
      <c r="O9" s="33">
        <v>91</v>
      </c>
      <c r="Q9" s="32" t="s">
        <v>100</v>
      </c>
      <c r="R9" s="276">
        <v>1</v>
      </c>
      <c r="S9" s="276">
        <v>2</v>
      </c>
      <c r="T9" s="276">
        <v>2</v>
      </c>
      <c r="U9" s="276">
        <v>2</v>
      </c>
      <c r="V9" s="276">
        <v>2</v>
      </c>
      <c r="W9" s="276">
        <v>2</v>
      </c>
      <c r="X9" s="276"/>
      <c r="Y9" s="276"/>
      <c r="Z9" s="276"/>
      <c r="AA9" s="276"/>
      <c r="AB9" s="276"/>
      <c r="AC9" s="276"/>
      <c r="AD9" s="276">
        <v>2</v>
      </c>
    </row>
    <row r="10" spans="1:30" x14ac:dyDescent="0.3">
      <c r="A10" s="32" t="s">
        <v>103</v>
      </c>
      <c r="B10" s="33">
        <v>144</v>
      </c>
      <c r="C10" s="276">
        <v>10</v>
      </c>
      <c r="D10" s="276">
        <v>18</v>
      </c>
      <c r="E10" s="276">
        <v>7</v>
      </c>
      <c r="F10" s="276">
        <v>8</v>
      </c>
      <c r="G10" s="276">
        <v>10</v>
      </c>
      <c r="H10" s="276">
        <v>1</v>
      </c>
      <c r="I10" s="276"/>
      <c r="J10" s="276"/>
      <c r="K10" s="276"/>
      <c r="L10" s="276"/>
      <c r="M10" s="276"/>
      <c r="N10" s="276"/>
      <c r="O10" s="33">
        <v>54</v>
      </c>
      <c r="Q10" s="32" t="s">
        <v>103</v>
      </c>
      <c r="R10" s="276">
        <v>1</v>
      </c>
      <c r="S10" s="276">
        <v>1</v>
      </c>
      <c r="T10" s="276">
        <v>1</v>
      </c>
      <c r="U10" s="276">
        <v>1</v>
      </c>
      <c r="V10" s="276">
        <v>1</v>
      </c>
      <c r="W10" s="276">
        <v>1</v>
      </c>
      <c r="X10" s="276"/>
      <c r="Y10" s="276"/>
      <c r="Z10" s="276"/>
      <c r="AA10" s="276"/>
      <c r="AB10" s="276"/>
      <c r="AC10" s="276"/>
      <c r="AD10" s="276">
        <v>1</v>
      </c>
    </row>
    <row r="11" spans="1:30" x14ac:dyDescent="0.3">
      <c r="A11" s="32" t="s">
        <v>95</v>
      </c>
      <c r="B11" s="33">
        <v>816</v>
      </c>
      <c r="C11" s="276">
        <v>8</v>
      </c>
      <c r="D11" s="276">
        <v>16</v>
      </c>
      <c r="E11" s="276">
        <v>13</v>
      </c>
      <c r="F11" s="276">
        <v>26</v>
      </c>
      <c r="G11" s="276">
        <v>5</v>
      </c>
      <c r="H11" s="276">
        <v>1</v>
      </c>
      <c r="I11" s="276"/>
      <c r="J11" s="276"/>
      <c r="K11" s="276"/>
      <c r="L11" s="276"/>
      <c r="M11" s="276"/>
      <c r="N11" s="276"/>
      <c r="O11" s="33">
        <v>69</v>
      </c>
      <c r="Q11" s="32" t="s">
        <v>95</v>
      </c>
      <c r="R11" s="276">
        <v>3</v>
      </c>
      <c r="S11" s="276">
        <v>4</v>
      </c>
      <c r="T11" s="276">
        <v>3</v>
      </c>
      <c r="U11" s="276">
        <v>5</v>
      </c>
      <c r="V11" s="276">
        <v>2</v>
      </c>
      <c r="W11" s="276">
        <v>1</v>
      </c>
      <c r="X11" s="276"/>
      <c r="Y11" s="276"/>
      <c r="Z11" s="276"/>
      <c r="AA11" s="276"/>
      <c r="AB11" s="276"/>
      <c r="AC11" s="276"/>
      <c r="AD11" s="276">
        <v>5</v>
      </c>
    </row>
    <row r="12" spans="1:30" x14ac:dyDescent="0.3">
      <c r="A12" s="32" t="s">
        <v>98</v>
      </c>
      <c r="B12" s="33">
        <v>432</v>
      </c>
      <c r="C12" s="276">
        <v>25</v>
      </c>
      <c r="D12" s="276">
        <v>25</v>
      </c>
      <c r="E12" s="276">
        <v>29</v>
      </c>
      <c r="F12" s="276">
        <v>91</v>
      </c>
      <c r="G12" s="276">
        <v>49</v>
      </c>
      <c r="H12" s="276">
        <v>2</v>
      </c>
      <c r="I12" s="276"/>
      <c r="J12" s="276"/>
      <c r="K12" s="276"/>
      <c r="L12" s="276"/>
      <c r="M12" s="276"/>
      <c r="N12" s="276"/>
      <c r="O12" s="33">
        <v>221</v>
      </c>
      <c r="Q12" s="32" t="s">
        <v>98</v>
      </c>
      <c r="R12" s="276">
        <v>3</v>
      </c>
      <c r="S12" s="276">
        <v>3</v>
      </c>
      <c r="T12" s="276">
        <v>3</v>
      </c>
      <c r="U12" s="276">
        <v>3</v>
      </c>
      <c r="V12" s="276">
        <v>3</v>
      </c>
      <c r="W12" s="276">
        <v>2</v>
      </c>
      <c r="X12" s="276"/>
      <c r="Y12" s="276"/>
      <c r="Z12" s="276"/>
      <c r="AA12" s="276"/>
      <c r="AB12" s="276"/>
      <c r="AC12" s="276"/>
      <c r="AD12" s="276">
        <v>3</v>
      </c>
    </row>
    <row r="13" spans="1:30" x14ac:dyDescent="0.3">
      <c r="A13" s="32" t="s">
        <v>96</v>
      </c>
      <c r="B13" s="33">
        <v>1776</v>
      </c>
      <c r="C13" s="276">
        <v>57</v>
      </c>
      <c r="D13" s="276">
        <v>311</v>
      </c>
      <c r="E13" s="276">
        <v>125</v>
      </c>
      <c r="F13" s="276">
        <v>212</v>
      </c>
      <c r="G13" s="276">
        <v>103</v>
      </c>
      <c r="H13" s="276">
        <v>15</v>
      </c>
      <c r="I13" s="276"/>
      <c r="J13" s="276"/>
      <c r="K13" s="276"/>
      <c r="L13" s="276"/>
      <c r="M13" s="276"/>
      <c r="N13" s="276"/>
      <c r="O13" s="33">
        <v>823</v>
      </c>
      <c r="Q13" s="32" t="s">
        <v>96</v>
      </c>
      <c r="R13" s="276">
        <v>9</v>
      </c>
      <c r="S13" s="276">
        <v>10</v>
      </c>
      <c r="T13" s="276">
        <v>11</v>
      </c>
      <c r="U13" s="276">
        <v>12</v>
      </c>
      <c r="V13" s="276">
        <v>11</v>
      </c>
      <c r="W13" s="276">
        <v>7</v>
      </c>
      <c r="X13" s="276"/>
      <c r="Y13" s="276"/>
      <c r="Z13" s="276"/>
      <c r="AA13" s="276"/>
      <c r="AB13" s="276"/>
      <c r="AC13" s="276"/>
      <c r="AD13" s="276">
        <v>14</v>
      </c>
    </row>
    <row r="14" spans="1:30" x14ac:dyDescent="0.3">
      <c r="A14" s="32" t="s">
        <v>345</v>
      </c>
      <c r="B14" s="33">
        <v>912</v>
      </c>
      <c r="C14" s="276">
        <v>29</v>
      </c>
      <c r="D14" s="276">
        <v>29</v>
      </c>
      <c r="E14" s="276">
        <v>50</v>
      </c>
      <c r="F14" s="276">
        <v>36</v>
      </c>
      <c r="G14" s="276">
        <v>32</v>
      </c>
      <c r="H14" s="276">
        <v>8</v>
      </c>
      <c r="I14" s="276"/>
      <c r="J14" s="276"/>
      <c r="K14" s="276"/>
      <c r="L14" s="276"/>
      <c r="M14" s="276"/>
      <c r="N14" s="276"/>
      <c r="O14" s="33">
        <v>184</v>
      </c>
      <c r="Q14" s="32" t="s">
        <v>345</v>
      </c>
      <c r="R14" s="276">
        <v>5</v>
      </c>
      <c r="S14" s="276">
        <v>5</v>
      </c>
      <c r="T14" s="276">
        <v>5</v>
      </c>
      <c r="U14" s="276">
        <v>6</v>
      </c>
      <c r="V14" s="276">
        <v>6</v>
      </c>
      <c r="W14" s="276">
        <v>4</v>
      </c>
      <c r="X14" s="276"/>
      <c r="Y14" s="276"/>
      <c r="Z14" s="276"/>
      <c r="AA14" s="276"/>
      <c r="AB14" s="276"/>
      <c r="AC14" s="276"/>
      <c r="AD14" s="276">
        <v>6</v>
      </c>
    </row>
    <row r="15" spans="1:30" x14ac:dyDescent="0.3">
      <c r="A15" s="32" t="s">
        <v>449</v>
      </c>
      <c r="B15" s="33">
        <v>48</v>
      </c>
      <c r="C15" s="276"/>
      <c r="D15" s="276"/>
      <c r="E15" s="276"/>
      <c r="F15" s="276"/>
      <c r="G15" s="276"/>
      <c r="H15" s="276"/>
      <c r="I15" s="276"/>
      <c r="J15" s="276"/>
      <c r="K15" s="276"/>
      <c r="L15" s="276"/>
      <c r="M15" s="276"/>
      <c r="N15" s="276"/>
      <c r="O15" s="33"/>
      <c r="Q15" s="32" t="s">
        <v>449</v>
      </c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</row>
    <row r="16" spans="1:30" x14ac:dyDescent="0.3">
      <c r="A16" s="32" t="s">
        <v>455</v>
      </c>
      <c r="B16" s="33">
        <v>2208</v>
      </c>
      <c r="C16" s="276">
        <v>95</v>
      </c>
      <c r="D16" s="276">
        <v>240</v>
      </c>
      <c r="E16" s="276">
        <v>186</v>
      </c>
      <c r="F16" s="276">
        <v>165</v>
      </c>
      <c r="G16" s="276">
        <v>118</v>
      </c>
      <c r="H16" s="276">
        <v>17</v>
      </c>
      <c r="I16" s="276"/>
      <c r="J16" s="276"/>
      <c r="K16" s="276"/>
      <c r="L16" s="276"/>
      <c r="M16" s="276"/>
      <c r="N16" s="276"/>
      <c r="O16" s="33">
        <v>821</v>
      </c>
      <c r="Q16" s="32" t="s">
        <v>455</v>
      </c>
      <c r="R16" s="276">
        <v>14</v>
      </c>
      <c r="S16" s="276">
        <v>15</v>
      </c>
      <c r="T16" s="276">
        <v>13</v>
      </c>
      <c r="U16" s="276">
        <v>12</v>
      </c>
      <c r="V16" s="276">
        <v>14</v>
      </c>
      <c r="W16" s="276">
        <v>7</v>
      </c>
      <c r="X16" s="276"/>
      <c r="Y16" s="276"/>
      <c r="Z16" s="276"/>
      <c r="AA16" s="276"/>
      <c r="AB16" s="276"/>
      <c r="AC16" s="276"/>
      <c r="AD16" s="276">
        <v>16</v>
      </c>
    </row>
    <row r="17" spans="1:30" x14ac:dyDescent="0.3">
      <c r="A17" s="32" t="s">
        <v>457</v>
      </c>
      <c r="B17" s="33">
        <v>2736</v>
      </c>
      <c r="C17" s="276">
        <v>76</v>
      </c>
      <c r="D17" s="276">
        <v>236</v>
      </c>
      <c r="E17" s="276">
        <v>147</v>
      </c>
      <c r="F17" s="276">
        <v>164</v>
      </c>
      <c r="G17" s="276">
        <v>176</v>
      </c>
      <c r="H17" s="276">
        <v>34</v>
      </c>
      <c r="I17" s="276"/>
      <c r="J17" s="276"/>
      <c r="K17" s="276"/>
      <c r="L17" s="276"/>
      <c r="M17" s="276"/>
      <c r="N17" s="276"/>
      <c r="O17" s="33">
        <v>833</v>
      </c>
      <c r="Q17" s="32" t="s">
        <v>457</v>
      </c>
      <c r="R17" s="276">
        <v>14</v>
      </c>
      <c r="S17" s="276">
        <v>19</v>
      </c>
      <c r="T17" s="276">
        <v>17</v>
      </c>
      <c r="U17" s="276">
        <v>16</v>
      </c>
      <c r="V17" s="276">
        <v>17</v>
      </c>
      <c r="W17" s="276">
        <v>11</v>
      </c>
      <c r="X17" s="276"/>
      <c r="Y17" s="276"/>
      <c r="Z17" s="276"/>
      <c r="AA17" s="276"/>
      <c r="AB17" s="276"/>
      <c r="AC17" s="276"/>
      <c r="AD17" s="276">
        <v>19</v>
      </c>
    </row>
    <row r="18" spans="1:30" x14ac:dyDescent="0.3">
      <c r="A18" s="32" t="s">
        <v>283</v>
      </c>
      <c r="B18" s="33">
        <v>11952</v>
      </c>
      <c r="C18" s="276">
        <v>444</v>
      </c>
      <c r="D18" s="276">
        <v>1135</v>
      </c>
      <c r="E18" s="276">
        <v>761</v>
      </c>
      <c r="F18" s="276">
        <v>912</v>
      </c>
      <c r="G18" s="276">
        <v>696</v>
      </c>
      <c r="H18" s="276">
        <v>124</v>
      </c>
      <c r="I18" s="276"/>
      <c r="J18" s="276"/>
      <c r="K18" s="276"/>
      <c r="L18" s="276"/>
      <c r="M18" s="276"/>
      <c r="N18" s="276"/>
      <c r="O18" s="33">
        <v>4072</v>
      </c>
      <c r="Q18" s="32" t="s">
        <v>283</v>
      </c>
      <c r="R18" s="276">
        <v>64</v>
      </c>
      <c r="S18" s="276">
        <v>74</v>
      </c>
      <c r="T18" s="276">
        <v>71</v>
      </c>
      <c r="U18" s="276">
        <v>72</v>
      </c>
      <c r="V18" s="276">
        <v>74</v>
      </c>
      <c r="W18" s="276">
        <v>47</v>
      </c>
      <c r="X18" s="276"/>
      <c r="Y18" s="276"/>
      <c r="Z18" s="276"/>
      <c r="AA18" s="276"/>
      <c r="AB18" s="276"/>
      <c r="AC18" s="276"/>
      <c r="AD18" s="276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6F2C-FA55-48AD-9F5D-6002E82F1AD0}">
  <dimension ref="A2:M19"/>
  <sheetViews>
    <sheetView workbookViewId="0">
      <selection activeCell="O7" sqref="O7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5.44140625" bestFit="1" customWidth="1"/>
    <col min="4" max="5" width="6.44140625" bestFit="1" customWidth="1"/>
    <col min="6" max="9" width="5.44140625" bestFit="1" customWidth="1"/>
    <col min="10" max="10" width="3.6640625" bestFit="1" customWidth="1"/>
    <col min="11" max="11" width="2" bestFit="1" customWidth="1"/>
    <col min="12" max="12" width="7.5546875" bestFit="1" customWidth="1"/>
    <col min="13" max="13" width="10.77734375" bestFit="1" customWidth="1"/>
  </cols>
  <sheetData>
    <row r="2" spans="1:13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3" x14ac:dyDescent="0.3">
      <c r="A3" s="31" t="s">
        <v>324</v>
      </c>
      <c r="B3" s="31" t="s">
        <v>326</v>
      </c>
    </row>
    <row r="4" spans="1:13" x14ac:dyDescent="0.3">
      <c r="A4" s="31" t="s">
        <v>289</v>
      </c>
      <c r="B4" t="s">
        <v>364</v>
      </c>
      <c r="C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 t="s">
        <v>371</v>
      </c>
      <c r="J4" t="s">
        <v>363</v>
      </c>
      <c r="K4">
        <v>0</v>
      </c>
      <c r="L4" t="s">
        <v>432</v>
      </c>
      <c r="M4" t="s">
        <v>283</v>
      </c>
    </row>
    <row r="5" spans="1:13" x14ac:dyDescent="0.3">
      <c r="A5" s="32" t="s">
        <v>99</v>
      </c>
      <c r="B5" s="276"/>
      <c r="C5" s="276">
        <v>34</v>
      </c>
      <c r="D5" s="276"/>
      <c r="E5" s="276"/>
      <c r="F5" s="276"/>
      <c r="G5" s="276"/>
      <c r="H5" s="276">
        <v>38</v>
      </c>
      <c r="I5" s="276"/>
      <c r="J5" s="276"/>
      <c r="K5" s="276"/>
      <c r="L5" s="276"/>
      <c r="M5" s="276">
        <v>72</v>
      </c>
    </row>
    <row r="6" spans="1:13" x14ac:dyDescent="0.3">
      <c r="A6" s="32" t="s">
        <v>97</v>
      </c>
      <c r="B6" s="276">
        <v>25</v>
      </c>
      <c r="C6" s="276"/>
      <c r="D6" s="276"/>
      <c r="E6" s="276"/>
      <c r="F6" s="276">
        <v>223</v>
      </c>
      <c r="G6" s="276"/>
      <c r="H6" s="276"/>
      <c r="I6" s="276"/>
      <c r="J6" s="276"/>
      <c r="K6" s="276"/>
      <c r="L6" s="276"/>
      <c r="M6" s="276">
        <v>248</v>
      </c>
    </row>
    <row r="7" spans="1:13" x14ac:dyDescent="0.3">
      <c r="A7" s="32" t="s">
        <v>93</v>
      </c>
      <c r="B7" s="276">
        <v>68</v>
      </c>
      <c r="C7" s="276">
        <v>250</v>
      </c>
      <c r="D7" s="276"/>
      <c r="E7" s="276"/>
      <c r="F7" s="276"/>
      <c r="G7" s="276"/>
      <c r="H7" s="276"/>
      <c r="I7" s="276"/>
      <c r="J7" s="276"/>
      <c r="K7" s="276"/>
      <c r="L7" s="276"/>
      <c r="M7" s="276">
        <v>318</v>
      </c>
    </row>
    <row r="8" spans="1:13" x14ac:dyDescent="0.3">
      <c r="A8" s="32" t="s">
        <v>101</v>
      </c>
      <c r="B8" s="276">
        <v>129</v>
      </c>
      <c r="C8" s="276">
        <v>26</v>
      </c>
      <c r="D8" s="276"/>
      <c r="E8" s="276"/>
      <c r="F8" s="276"/>
      <c r="G8" s="276"/>
      <c r="H8" s="276"/>
      <c r="I8" s="276"/>
      <c r="J8" s="276"/>
      <c r="K8" s="276"/>
      <c r="L8" s="276"/>
      <c r="M8" s="276">
        <v>155</v>
      </c>
    </row>
    <row r="9" spans="1:13" x14ac:dyDescent="0.3">
      <c r="A9" s="32" t="s">
        <v>102</v>
      </c>
      <c r="B9" s="276"/>
      <c r="C9" s="276"/>
      <c r="D9" s="276"/>
      <c r="E9" s="276"/>
      <c r="F9" s="276">
        <v>30</v>
      </c>
      <c r="G9" s="276">
        <v>84</v>
      </c>
      <c r="H9" s="276"/>
      <c r="I9" s="276">
        <v>69</v>
      </c>
      <c r="J9" s="276"/>
      <c r="K9" s="276"/>
      <c r="L9" s="276"/>
      <c r="M9" s="276">
        <v>183</v>
      </c>
    </row>
    <row r="10" spans="1:13" x14ac:dyDescent="0.3">
      <c r="A10" s="32" t="s">
        <v>100</v>
      </c>
      <c r="B10" s="276"/>
      <c r="C10" s="276"/>
      <c r="D10" s="276"/>
      <c r="E10" s="276"/>
      <c r="F10" s="276"/>
      <c r="G10" s="276">
        <v>47</v>
      </c>
      <c r="H10" s="276"/>
      <c r="I10" s="276">
        <v>44</v>
      </c>
      <c r="J10" s="276"/>
      <c r="K10" s="276"/>
      <c r="L10" s="276"/>
      <c r="M10" s="276">
        <v>91</v>
      </c>
    </row>
    <row r="11" spans="1:13" x14ac:dyDescent="0.3">
      <c r="A11" s="32" t="s">
        <v>103</v>
      </c>
      <c r="B11" s="276"/>
      <c r="C11" s="276">
        <v>54</v>
      </c>
      <c r="D11" s="276"/>
      <c r="E11" s="276"/>
      <c r="F11" s="276"/>
      <c r="G11" s="276"/>
      <c r="H11" s="276"/>
      <c r="I11" s="276"/>
      <c r="J11" s="276"/>
      <c r="K11" s="276"/>
      <c r="L11" s="276"/>
      <c r="M11" s="276">
        <v>54</v>
      </c>
    </row>
    <row r="12" spans="1:13" x14ac:dyDescent="0.3">
      <c r="A12" s="32" t="s">
        <v>95</v>
      </c>
      <c r="B12" s="276">
        <v>31</v>
      </c>
      <c r="C12" s="276"/>
      <c r="D12" s="276"/>
      <c r="E12" s="276"/>
      <c r="F12" s="276"/>
      <c r="G12" s="276">
        <v>37</v>
      </c>
      <c r="H12" s="276"/>
      <c r="I12" s="276"/>
      <c r="J12" s="276"/>
      <c r="K12" s="276">
        <v>1</v>
      </c>
      <c r="L12" s="276"/>
      <c r="M12" s="276">
        <v>69</v>
      </c>
    </row>
    <row r="13" spans="1:13" x14ac:dyDescent="0.3">
      <c r="A13" s="32" t="s">
        <v>98</v>
      </c>
      <c r="B13" s="276">
        <v>44</v>
      </c>
      <c r="C13" s="276">
        <v>145</v>
      </c>
      <c r="D13" s="276"/>
      <c r="E13" s="276"/>
      <c r="F13" s="276"/>
      <c r="G13" s="276">
        <v>32</v>
      </c>
      <c r="H13" s="276"/>
      <c r="I13" s="276"/>
      <c r="J13" s="276"/>
      <c r="K13" s="276"/>
      <c r="L13" s="276"/>
      <c r="M13" s="276">
        <v>221</v>
      </c>
    </row>
    <row r="14" spans="1:13" x14ac:dyDescent="0.3">
      <c r="A14" s="32" t="s">
        <v>96</v>
      </c>
      <c r="B14" s="276">
        <v>140</v>
      </c>
      <c r="C14" s="276">
        <v>93</v>
      </c>
      <c r="D14" s="276"/>
      <c r="E14" s="276"/>
      <c r="F14" s="276">
        <v>525</v>
      </c>
      <c r="G14" s="276"/>
      <c r="H14" s="276">
        <v>65</v>
      </c>
      <c r="I14" s="276"/>
      <c r="J14" s="276"/>
      <c r="K14" s="276"/>
      <c r="L14" s="276"/>
      <c r="M14" s="276">
        <v>823</v>
      </c>
    </row>
    <row r="15" spans="1:13" x14ac:dyDescent="0.3">
      <c r="A15" s="32" t="s">
        <v>345</v>
      </c>
      <c r="B15" s="276"/>
      <c r="C15" s="276"/>
      <c r="D15" s="276"/>
      <c r="E15" s="276"/>
      <c r="F15" s="276">
        <v>65</v>
      </c>
      <c r="G15" s="276">
        <v>13</v>
      </c>
      <c r="H15" s="276">
        <v>15</v>
      </c>
      <c r="I15" s="276">
        <v>91</v>
      </c>
      <c r="J15" s="276"/>
      <c r="K15" s="276"/>
      <c r="L15" s="276"/>
      <c r="M15" s="276">
        <v>184</v>
      </c>
    </row>
    <row r="16" spans="1:13" x14ac:dyDescent="0.3">
      <c r="A16" s="32" t="s">
        <v>449</v>
      </c>
      <c r="B16" s="276"/>
      <c r="C16" s="276"/>
      <c r="D16" s="276"/>
      <c r="E16" s="276"/>
      <c r="F16" s="276"/>
      <c r="G16" s="276"/>
      <c r="H16" s="276"/>
      <c r="I16" s="276"/>
      <c r="J16" s="276"/>
      <c r="K16" s="276"/>
      <c r="L16" s="276"/>
      <c r="M16" s="276"/>
    </row>
    <row r="17" spans="1:13" x14ac:dyDescent="0.3">
      <c r="A17" s="32" t="s">
        <v>455</v>
      </c>
      <c r="B17" s="276">
        <v>15</v>
      </c>
      <c r="C17" s="276">
        <v>72</v>
      </c>
      <c r="D17" s="276">
        <v>153</v>
      </c>
      <c r="E17" s="276"/>
      <c r="F17" s="276">
        <v>47</v>
      </c>
      <c r="G17" s="276">
        <v>197</v>
      </c>
      <c r="H17" s="276">
        <v>336</v>
      </c>
      <c r="I17" s="276"/>
      <c r="J17" s="276">
        <v>1</v>
      </c>
      <c r="K17" s="276"/>
      <c r="L17" s="276"/>
      <c r="M17" s="276">
        <v>821</v>
      </c>
    </row>
    <row r="18" spans="1:13" x14ac:dyDescent="0.3">
      <c r="A18" s="32" t="s">
        <v>457</v>
      </c>
      <c r="B18" s="276">
        <v>114</v>
      </c>
      <c r="C18" s="276">
        <v>114</v>
      </c>
      <c r="D18" s="276">
        <v>44</v>
      </c>
      <c r="E18" s="276">
        <v>140</v>
      </c>
      <c r="F18" s="276">
        <v>88</v>
      </c>
      <c r="G18" s="276">
        <v>257</v>
      </c>
      <c r="H18" s="276">
        <v>6</v>
      </c>
      <c r="I18" s="276">
        <v>70</v>
      </c>
      <c r="J18" s="276"/>
      <c r="K18" s="276"/>
      <c r="L18" s="276"/>
      <c r="M18" s="276">
        <v>833</v>
      </c>
    </row>
    <row r="19" spans="1:13" x14ac:dyDescent="0.3">
      <c r="A19" s="32" t="s">
        <v>283</v>
      </c>
      <c r="B19" s="276">
        <v>566</v>
      </c>
      <c r="C19" s="276">
        <v>788</v>
      </c>
      <c r="D19" s="276">
        <v>197</v>
      </c>
      <c r="E19" s="276">
        <v>140</v>
      </c>
      <c r="F19" s="276">
        <v>978</v>
      </c>
      <c r="G19" s="276">
        <v>667</v>
      </c>
      <c r="H19" s="276">
        <v>460</v>
      </c>
      <c r="I19" s="276">
        <v>274</v>
      </c>
      <c r="J19" s="276">
        <v>1</v>
      </c>
      <c r="K19" s="276">
        <v>1</v>
      </c>
      <c r="L19" s="276"/>
      <c r="M19" s="276">
        <v>4072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528C-99A3-4141-A613-195A6FA479B7}">
  <dimension ref="A3:N8"/>
  <sheetViews>
    <sheetView workbookViewId="0">
      <selection activeCell="K14" sqref="K14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4" bestFit="1" customWidth="1"/>
    <col min="4" max="4" width="13.109375" bestFit="1" customWidth="1"/>
    <col min="5" max="5" width="12.33203125" bestFit="1" customWidth="1"/>
    <col min="6" max="6" width="13.5546875" bestFit="1" customWidth="1"/>
    <col min="7" max="7" width="13.33203125" bestFit="1" customWidth="1"/>
    <col min="8" max="8" width="13.109375" bestFit="1" customWidth="1"/>
    <col min="9" max="9" width="13.6640625" bestFit="1" customWidth="1"/>
    <col min="10" max="10" width="13.33203125" bestFit="1" customWidth="1"/>
    <col min="11" max="11" width="12.88671875" bestFit="1" customWidth="1"/>
    <col min="12" max="12" width="13.21875" bestFit="1" customWidth="1"/>
    <col min="13" max="13" width="13.6640625" bestFit="1" customWidth="1"/>
    <col min="14" max="14" width="15.33203125" bestFit="1" customWidth="1"/>
  </cols>
  <sheetData>
    <row r="3" spans="1:14" x14ac:dyDescent="0.3">
      <c r="A3" s="31" t="s">
        <v>289</v>
      </c>
      <c r="B3" t="s">
        <v>291</v>
      </c>
      <c r="C3" t="s">
        <v>292</v>
      </c>
      <c r="D3" t="s">
        <v>293</v>
      </c>
      <c r="E3" t="s">
        <v>294</v>
      </c>
      <c r="F3" t="s">
        <v>295</v>
      </c>
      <c r="G3" t="s">
        <v>296</v>
      </c>
      <c r="H3" t="s">
        <v>297</v>
      </c>
      <c r="I3" t="s">
        <v>298</v>
      </c>
      <c r="J3" t="s">
        <v>299</v>
      </c>
      <c r="K3" t="s">
        <v>300</v>
      </c>
      <c r="L3" t="s">
        <v>301</v>
      </c>
      <c r="M3" t="s">
        <v>302</v>
      </c>
      <c r="N3" t="s">
        <v>324</v>
      </c>
    </row>
    <row r="4" spans="1:14" x14ac:dyDescent="0.3">
      <c r="A4" s="32" t="s">
        <v>278</v>
      </c>
      <c r="B4" s="276">
        <v>124</v>
      </c>
      <c r="C4" s="276">
        <v>437</v>
      </c>
      <c r="D4" s="276">
        <v>201</v>
      </c>
      <c r="E4" s="276">
        <v>267</v>
      </c>
      <c r="F4" s="276">
        <v>196</v>
      </c>
      <c r="G4" s="276">
        <v>29</v>
      </c>
      <c r="H4" s="276"/>
      <c r="I4" s="276"/>
      <c r="J4" s="276"/>
      <c r="K4" s="276"/>
      <c r="L4" s="276"/>
      <c r="M4" s="276"/>
      <c r="N4" s="276">
        <v>1254</v>
      </c>
    </row>
    <row r="5" spans="1:14" x14ac:dyDescent="0.3">
      <c r="A5" s="32" t="s">
        <v>276</v>
      </c>
      <c r="B5" s="276">
        <v>179</v>
      </c>
      <c r="C5" s="276">
        <v>492</v>
      </c>
      <c r="D5" s="276">
        <v>346</v>
      </c>
      <c r="E5" s="276">
        <v>355</v>
      </c>
      <c r="F5" s="276">
        <v>299</v>
      </c>
      <c r="G5" s="276">
        <v>52</v>
      </c>
      <c r="H5" s="276"/>
      <c r="I5" s="276"/>
      <c r="J5" s="276"/>
      <c r="K5" s="276"/>
      <c r="L5" s="276"/>
      <c r="M5" s="276"/>
      <c r="N5" s="276">
        <v>1723</v>
      </c>
    </row>
    <row r="6" spans="1:14" x14ac:dyDescent="0.3">
      <c r="A6" s="32" t="s">
        <v>277</v>
      </c>
      <c r="B6" s="276">
        <v>141</v>
      </c>
      <c r="C6" s="276">
        <v>206</v>
      </c>
      <c r="D6" s="276">
        <v>214</v>
      </c>
      <c r="E6" s="276">
        <v>290</v>
      </c>
      <c r="F6" s="276">
        <v>201</v>
      </c>
      <c r="G6" s="276">
        <v>43</v>
      </c>
      <c r="H6" s="276"/>
      <c r="I6" s="276"/>
      <c r="J6" s="276"/>
      <c r="K6" s="276"/>
      <c r="L6" s="276"/>
      <c r="M6" s="276"/>
      <c r="N6" s="276">
        <v>1095</v>
      </c>
    </row>
    <row r="7" spans="1:14" x14ac:dyDescent="0.3">
      <c r="A7" s="32" t="s">
        <v>450</v>
      </c>
      <c r="B7" s="276"/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</row>
    <row r="8" spans="1:14" x14ac:dyDescent="0.3">
      <c r="A8" s="32" t="s">
        <v>283</v>
      </c>
      <c r="B8" s="276">
        <v>444</v>
      </c>
      <c r="C8" s="276">
        <v>1135</v>
      </c>
      <c r="D8" s="276">
        <v>761</v>
      </c>
      <c r="E8" s="276">
        <v>912</v>
      </c>
      <c r="F8" s="276">
        <v>696</v>
      </c>
      <c r="G8" s="276">
        <v>124</v>
      </c>
      <c r="H8" s="276"/>
      <c r="I8" s="276"/>
      <c r="J8" s="276"/>
      <c r="K8" s="276"/>
      <c r="L8" s="276"/>
      <c r="M8" s="276"/>
      <c r="N8" s="276">
        <v>4072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E74D-BBE4-49CA-BF42-A7886C36B147}">
  <sheetPr codeName="Sheet5"/>
  <dimension ref="A1:X104"/>
  <sheetViews>
    <sheetView workbookViewId="0">
      <pane ySplit="1" topLeftCell="A2" activePane="bottomLeft" state="frozen"/>
      <selection pane="bottomLeft" activeCell="O2" sqref="O2:O104"/>
    </sheetView>
  </sheetViews>
  <sheetFormatPr defaultRowHeight="14.4" x14ac:dyDescent="0.3"/>
  <cols>
    <col min="1" max="1" width="21.109375" style="2" bestFit="1" customWidth="1"/>
    <col min="2" max="2" width="7.77734375" style="2" bestFit="1" customWidth="1"/>
    <col min="3" max="3" width="8.88671875" style="2" bestFit="1" customWidth="1"/>
    <col min="4" max="4" width="16.88671875" style="2" bestFit="1" customWidth="1"/>
    <col min="5" max="5" width="25.5546875" style="2" bestFit="1" customWidth="1"/>
    <col min="6" max="6" width="11" style="11" bestFit="1" customWidth="1"/>
    <col min="7" max="7" width="8.33203125" style="6" bestFit="1" customWidth="1"/>
    <col min="8" max="8" width="12.44140625" style="6" bestFit="1" customWidth="1"/>
    <col min="9" max="9" width="6.77734375" bestFit="1" customWidth="1"/>
    <col min="10" max="10" width="6.77734375" customWidth="1"/>
    <col min="11" max="12" width="7.44140625" bestFit="1" customWidth="1"/>
    <col min="13" max="13" width="6.5546875" bestFit="1" customWidth="1"/>
    <col min="14" max="14" width="6" bestFit="1" customWidth="1"/>
    <col min="15" max="15" width="7" bestFit="1" customWidth="1"/>
    <col min="16" max="16" width="6.77734375" bestFit="1" customWidth="1"/>
    <col min="17" max="17" width="6.5546875" bestFit="1" customWidth="1"/>
    <col min="18" max="18" width="7.109375" bestFit="1" customWidth="1"/>
    <col min="19" max="19" width="6.77734375" bestFit="1" customWidth="1"/>
    <col min="20" max="20" width="6.44140625" bestFit="1" customWidth="1"/>
    <col min="21" max="21" width="6.77734375" bestFit="1" customWidth="1"/>
    <col min="22" max="22" width="7.109375" bestFit="1" customWidth="1"/>
    <col min="23" max="23" width="11.21875" bestFit="1" customWidth="1"/>
    <col min="24" max="24" width="8" bestFit="1" customWidth="1"/>
  </cols>
  <sheetData>
    <row r="1" spans="1:24" x14ac:dyDescent="0.3">
      <c r="A1" s="13" t="s">
        <v>264</v>
      </c>
      <c r="B1" s="13" t="s">
        <v>271</v>
      </c>
      <c r="C1" s="13" t="s">
        <v>272</v>
      </c>
      <c r="D1" s="13" t="s">
        <v>263</v>
      </c>
      <c r="E1" s="13" t="s">
        <v>265</v>
      </c>
      <c r="F1" s="14" t="s">
        <v>266</v>
      </c>
      <c r="G1" s="1" t="s">
        <v>267</v>
      </c>
      <c r="H1" s="1" t="s">
        <v>374</v>
      </c>
      <c r="I1" s="15" t="s">
        <v>268</v>
      </c>
      <c r="J1" s="15" t="s">
        <v>280</v>
      </c>
      <c r="K1" s="15">
        <v>46113</v>
      </c>
      <c r="L1" s="15">
        <v>46143</v>
      </c>
      <c r="M1" s="15">
        <v>46174</v>
      </c>
      <c r="N1" s="15">
        <v>46204</v>
      </c>
      <c r="O1" s="15">
        <v>46235</v>
      </c>
      <c r="P1" s="15">
        <v>46266</v>
      </c>
      <c r="Q1" s="15">
        <v>46296</v>
      </c>
      <c r="R1" s="15">
        <v>46327</v>
      </c>
      <c r="S1" s="15">
        <v>46357</v>
      </c>
      <c r="T1" s="15">
        <v>46388</v>
      </c>
      <c r="U1" s="15">
        <v>46419</v>
      </c>
      <c r="V1" s="15">
        <v>46447</v>
      </c>
      <c r="W1" s="13" t="s">
        <v>318</v>
      </c>
      <c r="X1" s="15" t="s">
        <v>270</v>
      </c>
    </row>
    <row r="2" spans="1:24" x14ac:dyDescent="0.3">
      <c r="A2" s="4" t="str">
        <f>VLOOKUP(G2,Data!$A:$G,2,0)</f>
        <v>Under Office (W Medinipur)</v>
      </c>
      <c r="B2" s="4" t="str">
        <f>VLOOKUP(G2,Data!$A:$G,3,0)</f>
        <v>Active</v>
      </c>
      <c r="C2" s="4" t="str">
        <f>VLOOKUP(G2,Data!$A:$G,4,0)</f>
        <v>Hooghly</v>
      </c>
      <c r="D2" s="4" t="str">
        <f>VLOOKUP(G2,Data!$A:$G,5,0)</f>
        <v>Guiadaha</v>
      </c>
      <c r="E2" s="4" t="str">
        <f>VLOOKUP(G2,Data!$A:$G,6,0)</f>
        <v>Munmun Chakraborty</v>
      </c>
      <c r="F2" s="10" t="str">
        <f>VLOOKUP(G2,Data!$A:$G,7,0)</f>
        <v>2390312218</v>
      </c>
      <c r="G2" s="5">
        <v>23142</v>
      </c>
      <c r="H2" s="5" t="str">
        <f>VLOOKUP(G2,'FI txn'!$G:$X,18,0)</f>
        <v>&gt; 450</v>
      </c>
      <c r="I2" s="7">
        <f>VLOOKUP(G2,'FI txn'!$G:$H,2,0)</f>
        <v>6</v>
      </c>
      <c r="J2" s="7">
        <f t="shared" ref="J2:J33" si="0">I2*24</f>
        <v>144</v>
      </c>
      <c r="K2" s="8">
        <v>18</v>
      </c>
      <c r="L2" s="8">
        <v>8</v>
      </c>
      <c r="M2" s="8">
        <v>8</v>
      </c>
      <c r="N2" s="8">
        <v>23</v>
      </c>
      <c r="O2" s="8">
        <v>36</v>
      </c>
      <c r="P2" s="8">
        <v>2</v>
      </c>
      <c r="Q2" s="8"/>
      <c r="R2" s="8"/>
      <c r="S2" s="8"/>
      <c r="T2" s="8"/>
      <c r="U2" s="8"/>
      <c r="V2" s="8"/>
      <c r="W2" s="8">
        <f t="shared" ref="W2:W33" si="1">SUM(K2:V2)</f>
        <v>95</v>
      </c>
      <c r="X2" s="9">
        <f t="shared" ref="X2:X28" si="2">W2/I2</f>
        <v>15.833333333333334</v>
      </c>
    </row>
    <row r="3" spans="1:24" x14ac:dyDescent="0.3">
      <c r="A3" s="4" t="str">
        <f>VLOOKUP(G3,Data!$A:$G,2,0)</f>
        <v>Under Office (W Medinipur)</v>
      </c>
      <c r="B3" s="4" t="str">
        <f>VLOOKUP(G3,Data!$A:$G,3,0)</f>
        <v>Active</v>
      </c>
      <c r="C3" s="4" t="str">
        <f>VLOOKUP(G3,Data!$A:$G,4,0)</f>
        <v>Hooghly</v>
      </c>
      <c r="D3" s="4" t="str">
        <f>VLOOKUP(G3,Data!$A:$G,5,0)</f>
        <v>Nayabasat</v>
      </c>
      <c r="E3" s="4" t="str">
        <f>VLOOKUP(G3,Data!$A:$G,6,0)</f>
        <v>Mousumi Chanda Dey</v>
      </c>
      <c r="F3" s="10" t="str">
        <f>VLOOKUP(G3,Data!$A:$G,7,0)</f>
        <v>2390315855</v>
      </c>
      <c r="G3" s="5">
        <v>29123</v>
      </c>
      <c r="H3" s="5" t="str">
        <f>VLOOKUP(G3,'FI txn'!$G:$X,18,0)</f>
        <v>&gt; 450</v>
      </c>
      <c r="I3" s="7">
        <f>VLOOKUP(G3,'FI txn'!$G:$H,2,0)</f>
        <v>6</v>
      </c>
      <c r="J3" s="7">
        <f t="shared" si="0"/>
        <v>144</v>
      </c>
      <c r="K3" s="8">
        <v>9</v>
      </c>
      <c r="L3" s="8">
        <v>38</v>
      </c>
      <c r="M3" s="8">
        <v>8</v>
      </c>
      <c r="N3" s="8">
        <v>34</v>
      </c>
      <c r="O3" s="8">
        <v>31</v>
      </c>
      <c r="P3" s="8">
        <v>13</v>
      </c>
      <c r="Q3" s="8"/>
      <c r="R3" s="8"/>
      <c r="S3" s="8"/>
      <c r="T3" s="8"/>
      <c r="U3" s="8"/>
      <c r="V3" s="8"/>
      <c r="W3" s="8">
        <f t="shared" si="1"/>
        <v>133</v>
      </c>
      <c r="X3" s="9">
        <f t="shared" si="2"/>
        <v>22.166666666666668</v>
      </c>
    </row>
    <row r="4" spans="1:24" x14ac:dyDescent="0.3">
      <c r="A4" s="4" t="str">
        <f>VLOOKUP(G4,Data!$A:$G,2,0)</f>
        <v>Souvik Maity</v>
      </c>
      <c r="B4" s="4" t="str">
        <f>VLOOKUP(G4,Data!$A:$G,3,0)</f>
        <v>Active</v>
      </c>
      <c r="C4" s="4" t="str">
        <f>VLOOKUP(G4,Data!$A:$G,4,0)</f>
        <v>Hooghly</v>
      </c>
      <c r="D4" s="4" t="str">
        <f>VLOOKUP(G4,Data!$A:$G,5,0)</f>
        <v>Jirat</v>
      </c>
      <c r="E4" s="4" t="str">
        <f>VLOOKUP(G4,Data!$A:$G,6,0)</f>
        <v>Sahadeb Chakraborty</v>
      </c>
      <c r="F4" s="10" t="str">
        <f>VLOOKUP(G4,Data!$A:$G,7,0)</f>
        <v>3390314204</v>
      </c>
      <c r="G4" s="5">
        <v>26084</v>
      </c>
      <c r="H4" s="5" t="str">
        <f>VLOOKUP(G4,'FI txn'!$G:$X,18,0)</f>
        <v>&gt; 600</v>
      </c>
      <c r="I4" s="7">
        <f>VLOOKUP(G4,'FI txn'!$G:$H,2,0)</f>
        <v>6</v>
      </c>
      <c r="J4" s="7">
        <f t="shared" si="0"/>
        <v>144</v>
      </c>
      <c r="K4" s="8">
        <v>33</v>
      </c>
      <c r="L4" s="8">
        <v>57</v>
      </c>
      <c r="M4" s="8">
        <v>47</v>
      </c>
      <c r="N4" s="8">
        <v>45</v>
      </c>
      <c r="O4" s="8">
        <v>30</v>
      </c>
      <c r="P4" s="8">
        <v>5</v>
      </c>
      <c r="Q4" s="8"/>
      <c r="R4" s="8"/>
      <c r="S4" s="8"/>
      <c r="T4" s="8"/>
      <c r="U4" s="8"/>
      <c r="V4" s="8"/>
      <c r="W4" s="8">
        <f t="shared" si="1"/>
        <v>217</v>
      </c>
      <c r="X4" s="9">
        <f t="shared" si="2"/>
        <v>36.166666666666664</v>
      </c>
    </row>
    <row r="5" spans="1:24" x14ac:dyDescent="0.3">
      <c r="A5" s="4" t="str">
        <f>VLOOKUP(G5,Data!$A:$G,2,0)</f>
        <v>Chandi Charan Mahato</v>
      </c>
      <c r="B5" s="4" t="str">
        <f>VLOOKUP(G5,Data!$A:$G,3,0)</f>
        <v>Active</v>
      </c>
      <c r="C5" s="4" t="str">
        <f>VLOOKUP(G5,Data!$A:$G,4,0)</f>
        <v>Durgapur</v>
      </c>
      <c r="D5" s="4" t="str">
        <f>VLOOKUP(G5,Data!$A:$G,5,0)</f>
        <v>Anara</v>
      </c>
      <c r="E5" s="4" t="str">
        <f>VLOOKUP(G5,Data!$A:$G,6,0)</f>
        <v>Biswajit Majee</v>
      </c>
      <c r="F5" s="10" t="str">
        <f>VLOOKUP(G5,Data!$A:$G,7,0)</f>
        <v>2460314961</v>
      </c>
      <c r="G5" s="5">
        <v>27219</v>
      </c>
      <c r="H5" s="5" t="str">
        <f>VLOOKUP(G5,'FI txn'!$G:$X,18,0)</f>
        <v>&gt; 300</v>
      </c>
      <c r="I5" s="7">
        <f>VLOOKUP(G5,'FI txn'!$G:$H,2,0)</f>
        <v>6</v>
      </c>
      <c r="J5" s="7">
        <f t="shared" si="0"/>
        <v>144</v>
      </c>
      <c r="K5" s="8">
        <v>38</v>
      </c>
      <c r="L5" s="8">
        <v>38</v>
      </c>
      <c r="M5" s="8">
        <v>16</v>
      </c>
      <c r="N5" s="8">
        <v>17</v>
      </c>
      <c r="O5" s="8">
        <v>30</v>
      </c>
      <c r="P5" s="8">
        <v>4</v>
      </c>
      <c r="Q5" s="8"/>
      <c r="R5" s="8"/>
      <c r="S5" s="8"/>
      <c r="T5" s="8"/>
      <c r="U5" s="8"/>
      <c r="V5" s="8"/>
      <c r="W5" s="8">
        <f t="shared" si="1"/>
        <v>143</v>
      </c>
      <c r="X5" s="9">
        <f t="shared" si="2"/>
        <v>23.833333333333332</v>
      </c>
    </row>
    <row r="6" spans="1:24" x14ac:dyDescent="0.3">
      <c r="A6" s="4" t="str">
        <f>VLOOKUP(G6,Data!$A:$G,2,0)</f>
        <v>Sunil Biswas</v>
      </c>
      <c r="B6" s="4" t="str">
        <f>VLOOKUP(G6,Data!$A:$G,3,0)</f>
        <v>Active</v>
      </c>
      <c r="C6" s="4" t="str">
        <f>VLOOKUP(G6,Data!$A:$G,4,0)</f>
        <v>Durgapur</v>
      </c>
      <c r="D6" s="4" t="str">
        <f>VLOOKUP(G6,Data!$A:$G,5,0)</f>
        <v>Hridaypur</v>
      </c>
      <c r="E6" s="4" t="str">
        <f>VLOOKUP(G6,Data!$A:$G,6,0)</f>
        <v xml:space="preserve">Injamul Rahaman </v>
      </c>
      <c r="F6" s="10" t="str">
        <f>VLOOKUP(G6,Data!$A:$G,7,0)</f>
        <v>2430314512</v>
      </c>
      <c r="G6" s="5">
        <v>26588</v>
      </c>
      <c r="H6" s="5" t="str">
        <f>VLOOKUP(G6,'FI txn'!$G:$X,18,0)</f>
        <v>&gt; 300</v>
      </c>
      <c r="I6" s="7">
        <f>VLOOKUP(G6,'FI txn'!$G:$H,2,0)</f>
        <v>6</v>
      </c>
      <c r="J6" s="7">
        <f t="shared" si="0"/>
        <v>144</v>
      </c>
      <c r="K6" s="8">
        <v>20</v>
      </c>
      <c r="L6" s="8">
        <v>86</v>
      </c>
      <c r="M6" s="8">
        <v>33</v>
      </c>
      <c r="N6" s="8">
        <v>50</v>
      </c>
      <c r="O6" s="8">
        <v>29</v>
      </c>
      <c r="P6" s="8">
        <v>3</v>
      </c>
      <c r="Q6" s="8"/>
      <c r="R6" s="8"/>
      <c r="S6" s="8"/>
      <c r="T6" s="8"/>
      <c r="U6" s="8"/>
      <c r="V6" s="8"/>
      <c r="W6" s="8">
        <f t="shared" si="1"/>
        <v>221</v>
      </c>
      <c r="X6" s="9">
        <f t="shared" si="2"/>
        <v>36.833333333333336</v>
      </c>
    </row>
    <row r="7" spans="1:24" x14ac:dyDescent="0.3">
      <c r="A7" s="4" t="str">
        <f>VLOOKUP(G7,Data!$A:$G,2,0)</f>
        <v>Manindra Nath Barman</v>
      </c>
      <c r="B7" s="4" t="str">
        <f>VLOOKUP(G7,Data!$A:$G,3,0)</f>
        <v>Active</v>
      </c>
      <c r="C7" s="4" t="str">
        <f>VLOOKUP(G7,Data!$A:$G,4,0)</f>
        <v>Siliguri</v>
      </c>
      <c r="D7" s="4" t="str">
        <f>VLOOKUP(G7,Data!$A:$G,5,0)</f>
        <v>Damanpur</v>
      </c>
      <c r="E7" s="4" t="str">
        <f>VLOOKUP(G7,Data!$A:$G,6,0)</f>
        <v>Biplab Barman</v>
      </c>
      <c r="F7" s="10" t="str">
        <f>VLOOKUP(G7,Data!$A:$G,7,0)</f>
        <v>9490310566</v>
      </c>
      <c r="G7" s="5">
        <v>21091</v>
      </c>
      <c r="H7" s="5" t="str">
        <f>VLOOKUP(G7,'FI txn'!$G:$X,18,0)</f>
        <v>&gt; 150</v>
      </c>
      <c r="I7" s="7">
        <f>VLOOKUP(G7,'FI txn'!$G:$H,2,0)</f>
        <v>6</v>
      </c>
      <c r="J7" s="7">
        <f t="shared" si="0"/>
        <v>144</v>
      </c>
      <c r="K7" s="8">
        <v>31</v>
      </c>
      <c r="L7" s="8">
        <v>43</v>
      </c>
      <c r="M7" s="8">
        <v>30</v>
      </c>
      <c r="N7" s="8">
        <v>33</v>
      </c>
      <c r="O7" s="8">
        <v>25</v>
      </c>
      <c r="P7" s="8">
        <v>2</v>
      </c>
      <c r="Q7" s="8"/>
      <c r="R7" s="8"/>
      <c r="S7" s="8"/>
      <c r="T7" s="8"/>
      <c r="U7" s="8"/>
      <c r="V7" s="8"/>
      <c r="W7" s="8">
        <f t="shared" si="1"/>
        <v>164</v>
      </c>
      <c r="X7" s="9">
        <f t="shared" si="2"/>
        <v>27.333333333333332</v>
      </c>
    </row>
    <row r="8" spans="1:24" x14ac:dyDescent="0.3">
      <c r="A8" s="4" t="str">
        <f>VLOOKUP(G8,Data!$A:$G,2,0)</f>
        <v>Souvik Maity</v>
      </c>
      <c r="B8" s="4" t="str">
        <f>VLOOKUP(G8,Data!$A:$G,3,0)</f>
        <v>Active</v>
      </c>
      <c r="C8" s="4" t="str">
        <f>VLOOKUP(G8,Data!$A:$G,4,0)</f>
        <v>Hooghly</v>
      </c>
      <c r="D8" s="4" t="str">
        <f>VLOOKUP(G8,Data!$A:$G,5,0)</f>
        <v>Rajhati</v>
      </c>
      <c r="E8" s="4" t="str">
        <f>VLOOKUP(G8,Data!$A:$G,6,0)</f>
        <v>Arnnapurna Maji</v>
      </c>
      <c r="F8" s="10" t="str">
        <f>VLOOKUP(G8,Data!$A:$G,7,0)</f>
        <v>3390311610</v>
      </c>
      <c r="G8" s="5">
        <v>22346</v>
      </c>
      <c r="H8" s="5" t="str">
        <f>VLOOKUP(G8,'FI txn'!$G:$X,18,0)</f>
        <v>&gt; 1500</v>
      </c>
      <c r="I8" s="7">
        <f>VLOOKUP(G8,'FI txn'!$G:$H,2,0)</f>
        <v>6</v>
      </c>
      <c r="J8" s="7">
        <f t="shared" si="0"/>
        <v>144</v>
      </c>
      <c r="K8" s="8">
        <v>13</v>
      </c>
      <c r="L8" s="8">
        <v>60</v>
      </c>
      <c r="M8" s="8">
        <v>26</v>
      </c>
      <c r="N8" s="8">
        <v>28</v>
      </c>
      <c r="O8" s="8">
        <v>25</v>
      </c>
      <c r="P8" s="8">
        <v>1</v>
      </c>
      <c r="Q8" s="8"/>
      <c r="R8" s="8"/>
      <c r="S8" s="8"/>
      <c r="T8" s="8"/>
      <c r="U8" s="8"/>
      <c r="V8" s="8"/>
      <c r="W8" s="8">
        <f t="shared" si="1"/>
        <v>153</v>
      </c>
      <c r="X8" s="9">
        <f t="shared" si="2"/>
        <v>25.5</v>
      </c>
    </row>
    <row r="9" spans="1:24" x14ac:dyDescent="0.3">
      <c r="A9" s="4" t="str">
        <f>VLOOKUP(G9,Data!$A:$G,2,0)</f>
        <v>Under Office (W Medinipur)</v>
      </c>
      <c r="B9" s="4" t="str">
        <f>VLOOKUP(G9,Data!$A:$G,3,0)</f>
        <v>Active</v>
      </c>
      <c r="C9" s="4" t="str">
        <f>VLOOKUP(G9,Data!$A:$G,4,0)</f>
        <v>Hooghly</v>
      </c>
      <c r="D9" s="4" t="str">
        <f>VLOOKUP(G9,Data!$A:$G,5,0)</f>
        <v>Palaschabrighat</v>
      </c>
      <c r="E9" s="4" t="str">
        <f>VLOOKUP(G9,Data!$A:$G,6,0)</f>
        <v>Asima Bhunia</v>
      </c>
      <c r="F9" s="10" t="str">
        <f>VLOOKUP(G9,Data!$A:$G,7,0)</f>
        <v>2390311420</v>
      </c>
      <c r="G9" s="5">
        <v>22126</v>
      </c>
      <c r="H9" s="5" t="str">
        <f>VLOOKUP(G9,'FI txn'!$G:$X,18,0)</f>
        <v>&gt; 2000</v>
      </c>
      <c r="I9" s="7">
        <f>VLOOKUP(G9,'FI txn'!$G:$H,2,0)</f>
        <v>6</v>
      </c>
      <c r="J9" s="7">
        <f t="shared" si="0"/>
        <v>144</v>
      </c>
      <c r="K9" s="8">
        <v>2</v>
      </c>
      <c r="L9" s="8">
        <v>6</v>
      </c>
      <c r="M9" s="8">
        <v>13</v>
      </c>
      <c r="N9" s="8">
        <v>3</v>
      </c>
      <c r="O9" s="8">
        <v>24</v>
      </c>
      <c r="P9" s="8"/>
      <c r="Q9" s="8"/>
      <c r="R9" s="8"/>
      <c r="S9" s="8"/>
      <c r="T9" s="8"/>
      <c r="U9" s="8"/>
      <c r="V9" s="8"/>
      <c r="W9" s="8">
        <f t="shared" si="1"/>
        <v>48</v>
      </c>
      <c r="X9" s="9">
        <f t="shared" si="2"/>
        <v>8</v>
      </c>
    </row>
    <row r="10" spans="1:24" x14ac:dyDescent="0.3">
      <c r="A10" s="4" t="str">
        <f>VLOOKUP(G10,Data!$A:$G,2,0)</f>
        <v>Rajendra Kumar Bapari</v>
      </c>
      <c r="B10" s="4" t="str">
        <f>VLOOKUP(G10,Data!$A:$G,3,0)</f>
        <v>Active</v>
      </c>
      <c r="C10" s="4" t="str">
        <f>VLOOKUP(G10,Data!$A:$G,4,0)</f>
        <v>Durgapur</v>
      </c>
      <c r="D10" s="4" t="str">
        <f>VLOOKUP(G10,Data!$A:$G,5,0)</f>
        <v>Kushodanga</v>
      </c>
      <c r="E10" s="4" t="str">
        <f>VLOOKUP(G10,Data!$A:$G,6,0)</f>
        <v>Priti Das</v>
      </c>
      <c r="F10" s="10" t="str">
        <f>VLOOKUP(G10,Data!$A:$G,7,0)</f>
        <v>3390315408</v>
      </c>
      <c r="G10" s="5">
        <v>28176</v>
      </c>
      <c r="H10" s="5" t="str">
        <f>VLOOKUP(G10,'FI txn'!$G:$X,18,0)</f>
        <v>&gt; 900</v>
      </c>
      <c r="I10" s="7">
        <f>VLOOKUP(G10,'FI txn'!$G:$H,2,0)</f>
        <v>6</v>
      </c>
      <c r="J10" s="7">
        <f t="shared" si="0"/>
        <v>144</v>
      </c>
      <c r="K10" s="8">
        <v>3</v>
      </c>
      <c r="L10" s="8">
        <v>15</v>
      </c>
      <c r="M10" s="8">
        <v>15</v>
      </c>
      <c r="N10" s="8">
        <v>12</v>
      </c>
      <c r="O10" s="8">
        <v>21</v>
      </c>
      <c r="P10" s="8">
        <v>3</v>
      </c>
      <c r="Q10" s="8"/>
      <c r="R10" s="8"/>
      <c r="S10" s="8"/>
      <c r="T10" s="8"/>
      <c r="U10" s="8"/>
      <c r="V10" s="8"/>
      <c r="W10" s="8">
        <f t="shared" si="1"/>
        <v>69</v>
      </c>
      <c r="X10" s="9">
        <f t="shared" si="2"/>
        <v>11.5</v>
      </c>
    </row>
    <row r="11" spans="1:24" x14ac:dyDescent="0.3">
      <c r="A11" s="4" t="str">
        <f>VLOOKUP(G11,Data!$A:$G,2,0)</f>
        <v>Shyamalesh Sarkar</v>
      </c>
      <c r="B11" s="4" t="str">
        <f>VLOOKUP(G11,Data!$A:$G,3,0)</f>
        <v>Active</v>
      </c>
      <c r="C11" s="4" t="str">
        <f>VLOOKUP(G11,Data!$A:$G,4,0)</f>
        <v>Siliguri</v>
      </c>
      <c r="D11" s="4" t="str">
        <f>VLOOKUP(G11,Data!$A:$G,5,0)</f>
        <v>Sagardighi Square</v>
      </c>
      <c r="E11" s="4" t="str">
        <f>VLOOKUP(G11,Data!$A:$G,6,0)</f>
        <v>Rajani Roy</v>
      </c>
      <c r="F11" s="10" t="str">
        <f>VLOOKUP(G11,Data!$A:$G,7,0)</f>
        <v>2200310076</v>
      </c>
      <c r="G11" s="5">
        <v>20502</v>
      </c>
      <c r="H11" s="5" t="str">
        <f>VLOOKUP(G11,'FI txn'!$G:$X,18,0)</f>
        <v>&gt; 150</v>
      </c>
      <c r="I11" s="7">
        <f>VLOOKUP(G11,'FI txn'!$G:$H,2,0)</f>
        <v>6</v>
      </c>
      <c r="J11" s="7">
        <f t="shared" si="0"/>
        <v>144</v>
      </c>
      <c r="K11" s="8">
        <v>21</v>
      </c>
      <c r="L11" s="8">
        <v>22</v>
      </c>
      <c r="M11" s="8">
        <v>17</v>
      </c>
      <c r="N11" s="8">
        <v>63</v>
      </c>
      <c r="O11" s="8">
        <v>21</v>
      </c>
      <c r="P11" s="8">
        <v>1</v>
      </c>
      <c r="Q11" s="8"/>
      <c r="R11" s="8"/>
      <c r="S11" s="8"/>
      <c r="T11" s="8"/>
      <c r="U11" s="8"/>
      <c r="V11" s="8"/>
      <c r="W11" s="8">
        <f t="shared" si="1"/>
        <v>145</v>
      </c>
      <c r="X11" s="9">
        <f t="shared" si="2"/>
        <v>24.166666666666668</v>
      </c>
    </row>
    <row r="12" spans="1:24" x14ac:dyDescent="0.3">
      <c r="A12" s="4" t="str">
        <f>VLOOKUP(G12,Data!$A:$G,2,0)</f>
        <v>Sunil Biswas</v>
      </c>
      <c r="B12" s="4" t="str">
        <f>VLOOKUP(G12,Data!$A:$G,3,0)</f>
        <v>Active</v>
      </c>
      <c r="C12" s="4" t="str">
        <f>VLOOKUP(G12,Data!$A:$G,4,0)</f>
        <v>Durgapur</v>
      </c>
      <c r="D12" s="4" t="str">
        <f>VLOOKUP(G12,Data!$A:$G,5,0)</f>
        <v>Haringhata</v>
      </c>
      <c r="E12" s="4" t="str">
        <f>VLOOKUP(G12,Data!$A:$G,6,0)</f>
        <v>Eyakub Mondal</v>
      </c>
      <c r="F12" s="10" t="str">
        <f>VLOOKUP(G12,Data!$A:$G,7,0)</f>
        <v>2430315345</v>
      </c>
      <c r="G12" s="5">
        <v>28085</v>
      </c>
      <c r="H12" s="5" t="str">
        <f>VLOOKUP(G12,'FI txn'!$G:$X,18,0)</f>
        <v>&gt; 300</v>
      </c>
      <c r="I12" s="7">
        <f>VLOOKUP(G12,'FI txn'!$G:$H,2,0)</f>
        <v>6</v>
      </c>
      <c r="J12" s="7">
        <f t="shared" si="0"/>
        <v>144</v>
      </c>
      <c r="K12" s="8">
        <v>17</v>
      </c>
      <c r="L12" s="8">
        <v>158</v>
      </c>
      <c r="M12" s="8">
        <v>25</v>
      </c>
      <c r="N12" s="8">
        <v>58</v>
      </c>
      <c r="O12" s="8">
        <v>20</v>
      </c>
      <c r="P12" s="8">
        <v>2</v>
      </c>
      <c r="Q12" s="8"/>
      <c r="R12" s="8"/>
      <c r="S12" s="8"/>
      <c r="T12" s="8"/>
      <c r="U12" s="8"/>
      <c r="V12" s="8"/>
      <c r="W12" s="8">
        <f t="shared" si="1"/>
        <v>280</v>
      </c>
      <c r="X12" s="9">
        <f t="shared" si="2"/>
        <v>46.666666666666664</v>
      </c>
    </row>
    <row r="13" spans="1:24" x14ac:dyDescent="0.3">
      <c r="A13" s="4" t="str">
        <f>VLOOKUP(G13,Data!$A:$G,2,0)</f>
        <v>Pijush Singha</v>
      </c>
      <c r="B13" s="4" t="str">
        <f>VLOOKUP(G13,Data!$A:$G,3,0)</f>
        <v>Active</v>
      </c>
      <c r="C13" s="4" t="str">
        <f>VLOOKUP(G13,Data!$A:$G,4,0)</f>
        <v>Siliguri</v>
      </c>
      <c r="D13" s="4" t="str">
        <f>VLOOKUP(G13,Data!$A:$G,5,0)</f>
        <v>Dhuliyan</v>
      </c>
      <c r="E13" s="4" t="str">
        <f>VLOOKUP(G13,Data!$A:$G,6,0)</f>
        <v>Md Asraful Hoque</v>
      </c>
      <c r="F13" s="10" t="str">
        <f>VLOOKUP(G13,Data!$A:$G,7,0)</f>
        <v>2410313985</v>
      </c>
      <c r="G13" s="5">
        <v>25557</v>
      </c>
      <c r="H13" s="5" t="str">
        <f>VLOOKUP(G13,'FI txn'!$G:$X,18,0)</f>
        <v>&lt; 150</v>
      </c>
      <c r="I13" s="7">
        <f>VLOOKUP(G13,'FI txn'!$G:$H,2,0)</f>
        <v>6</v>
      </c>
      <c r="J13" s="7">
        <f t="shared" si="0"/>
        <v>144</v>
      </c>
      <c r="K13" s="8">
        <v>21</v>
      </c>
      <c r="L13" s="8">
        <v>41</v>
      </c>
      <c r="M13" s="8">
        <v>16</v>
      </c>
      <c r="N13" s="8">
        <v>25</v>
      </c>
      <c r="O13" s="8">
        <v>19</v>
      </c>
      <c r="P13" s="8">
        <v>7</v>
      </c>
      <c r="Q13" s="8"/>
      <c r="R13" s="8"/>
      <c r="S13" s="8"/>
      <c r="T13" s="8"/>
      <c r="U13" s="8"/>
      <c r="V13" s="8"/>
      <c r="W13" s="8">
        <f t="shared" si="1"/>
        <v>129</v>
      </c>
      <c r="X13" s="9">
        <f t="shared" si="2"/>
        <v>21.5</v>
      </c>
    </row>
    <row r="14" spans="1:24" x14ac:dyDescent="0.3">
      <c r="A14" s="4" t="str">
        <f>VLOOKUP(G14,Data!$A:$G,2,0)</f>
        <v>Under Office (W Medinipur)</v>
      </c>
      <c r="B14" s="4" t="str">
        <f>VLOOKUP(G14,Data!$A:$G,3,0)</f>
        <v>Active</v>
      </c>
      <c r="C14" s="4" t="str">
        <f>VLOOKUP(G14,Data!$A:$G,4,0)</f>
        <v>Hooghly</v>
      </c>
      <c r="D14" s="4" t="str">
        <f>VLOOKUP(G14,Data!$A:$G,5,0)</f>
        <v>Binpur</v>
      </c>
      <c r="E14" s="4" t="str">
        <f>VLOOKUP(G14,Data!$A:$G,6,0)</f>
        <v>Debika Singha Patra</v>
      </c>
      <c r="F14" s="10" t="str">
        <f>VLOOKUP(G14,Data!$A:$G,7,0)</f>
        <v>2390311962</v>
      </c>
      <c r="G14" s="5">
        <v>22789</v>
      </c>
      <c r="H14" s="5" t="str">
        <f>VLOOKUP(G14,'FI txn'!$G:$X,18,0)</f>
        <v>&gt; 2000</v>
      </c>
      <c r="I14" s="7">
        <f>VLOOKUP(G14,'FI txn'!$G:$H,2,0)</f>
        <v>6</v>
      </c>
      <c r="J14" s="7">
        <f t="shared" si="0"/>
        <v>144</v>
      </c>
      <c r="K14" s="8">
        <v>3</v>
      </c>
      <c r="L14" s="8">
        <v>15</v>
      </c>
      <c r="M14" s="8">
        <v>27</v>
      </c>
      <c r="N14" s="8">
        <v>23</v>
      </c>
      <c r="O14" s="8">
        <v>19</v>
      </c>
      <c r="P14" s="8">
        <v>5</v>
      </c>
      <c r="Q14" s="8"/>
      <c r="R14" s="8"/>
      <c r="S14" s="8"/>
      <c r="T14" s="8"/>
      <c r="U14" s="8"/>
      <c r="V14" s="8"/>
      <c r="W14" s="8">
        <f t="shared" si="1"/>
        <v>92</v>
      </c>
      <c r="X14" s="9">
        <f t="shared" si="2"/>
        <v>15.333333333333334</v>
      </c>
    </row>
    <row r="15" spans="1:24" x14ac:dyDescent="0.3">
      <c r="A15" s="4" t="str">
        <f>VLOOKUP(G15,Data!$A:$G,2,0)</f>
        <v>Manindra Nath Barman</v>
      </c>
      <c r="B15" s="4" t="str">
        <f>VLOOKUP(G15,Data!$A:$G,3,0)</f>
        <v>Active</v>
      </c>
      <c r="C15" s="4" t="str">
        <f>VLOOKUP(G15,Data!$A:$G,4,0)</f>
        <v>Siliguri</v>
      </c>
      <c r="D15" s="4" t="str">
        <f>VLOOKUP(G15,Data!$A:$G,5,0)</f>
        <v>Barobisha</v>
      </c>
      <c r="E15" s="4" t="str">
        <f>VLOOKUP(G15,Data!$A:$G,6,0)</f>
        <v>Md Akimuzzaman</v>
      </c>
      <c r="F15" s="10" t="str">
        <f>VLOOKUP(G15,Data!$A:$G,7,0)</f>
        <v>2310315481</v>
      </c>
      <c r="G15" s="5">
        <v>28270</v>
      </c>
      <c r="H15" s="5" t="str">
        <f>VLOOKUP(G15,'FI txn'!$G:$X,18,0)</f>
        <v>&gt; 150</v>
      </c>
      <c r="I15" s="7">
        <f>VLOOKUP(G15,'FI txn'!$G:$H,2,0)</f>
        <v>6</v>
      </c>
      <c r="J15" s="7">
        <f t="shared" si="0"/>
        <v>144</v>
      </c>
      <c r="K15" s="8">
        <v>8</v>
      </c>
      <c r="L15" s="8">
        <v>13</v>
      </c>
      <c r="M15" s="8">
        <v>23</v>
      </c>
      <c r="N15" s="8">
        <v>21</v>
      </c>
      <c r="O15" s="8">
        <v>17</v>
      </c>
      <c r="P15" s="8">
        <v>4</v>
      </c>
      <c r="Q15" s="8"/>
      <c r="R15" s="8"/>
      <c r="S15" s="8"/>
      <c r="T15" s="8"/>
      <c r="U15" s="8"/>
      <c r="V15" s="8"/>
      <c r="W15" s="8">
        <f t="shared" si="1"/>
        <v>86</v>
      </c>
      <c r="X15" s="9">
        <f t="shared" si="2"/>
        <v>14.333333333333334</v>
      </c>
    </row>
    <row r="16" spans="1:24" x14ac:dyDescent="0.3">
      <c r="A16" s="4" t="str">
        <f>VLOOKUP(G16,Data!$A:$G,2,0)</f>
        <v>Souvik Maity</v>
      </c>
      <c r="B16" s="4" t="str">
        <f>VLOOKUP(G16,Data!$A:$G,3,0)</f>
        <v>Active</v>
      </c>
      <c r="C16" s="4" t="str">
        <f>VLOOKUP(G16,Data!$A:$G,4,0)</f>
        <v>Hooghly</v>
      </c>
      <c r="D16" s="4" t="str">
        <f>VLOOKUP(G16,Data!$A:$G,5,0)</f>
        <v>Rajhati</v>
      </c>
      <c r="E16" s="4" t="str">
        <f>VLOOKUP(G16,Data!$A:$G,6,0)</f>
        <v>Santanu Ghosh</v>
      </c>
      <c r="F16" s="10" t="str">
        <f>VLOOKUP(G16,Data!$A:$G,7,0)</f>
        <v>3390314383</v>
      </c>
      <c r="G16" s="5">
        <v>26399</v>
      </c>
      <c r="H16" s="5" t="str">
        <f>VLOOKUP(G16,'FI txn'!$G:$X,18,0)</f>
        <v>&gt; 600</v>
      </c>
      <c r="I16" s="7">
        <f>VLOOKUP(G16,'FI txn'!$G:$H,2,0)</f>
        <v>6</v>
      </c>
      <c r="J16" s="7">
        <f t="shared" si="0"/>
        <v>144</v>
      </c>
      <c r="K16" s="8">
        <v>12</v>
      </c>
      <c r="L16" s="8">
        <v>30</v>
      </c>
      <c r="M16" s="8">
        <v>26</v>
      </c>
      <c r="N16" s="8">
        <v>30</v>
      </c>
      <c r="O16" s="8">
        <v>17</v>
      </c>
      <c r="P16" s="8">
        <v>4</v>
      </c>
      <c r="Q16" s="8"/>
      <c r="R16" s="8"/>
      <c r="S16" s="8"/>
      <c r="T16" s="8"/>
      <c r="U16" s="8"/>
      <c r="V16" s="8"/>
      <c r="W16" s="8">
        <f t="shared" si="1"/>
        <v>119</v>
      </c>
      <c r="X16" s="9">
        <f t="shared" si="2"/>
        <v>19.833333333333332</v>
      </c>
    </row>
    <row r="17" spans="1:24" x14ac:dyDescent="0.3">
      <c r="A17" s="4" t="str">
        <f>VLOOKUP(G17,Data!$A:$G,2,0)</f>
        <v>Shyamalesh Sarkar</v>
      </c>
      <c r="B17" s="4" t="str">
        <f>VLOOKUP(G17,Data!$A:$G,3,0)</f>
        <v>Active</v>
      </c>
      <c r="C17" s="4" t="str">
        <f>VLOOKUP(G17,Data!$A:$G,4,0)</f>
        <v>Siliguri</v>
      </c>
      <c r="D17" s="4" t="str">
        <f>VLOOKUP(G17,Data!$A:$G,5,0)</f>
        <v>Sagardighi Square</v>
      </c>
      <c r="E17" s="4" t="str">
        <f>VLOOKUP(G17,Data!$A:$G,6,0)</f>
        <v>Ajit Modak</v>
      </c>
      <c r="F17" s="10" t="str">
        <f>VLOOKUP(G17,Data!$A:$G,7,0)</f>
        <v>2200309916</v>
      </c>
      <c r="G17" s="5">
        <v>20322</v>
      </c>
      <c r="H17" s="5" t="str">
        <f>VLOOKUP(G17,'FI txn'!$G:$X,18,0)</f>
        <v>&gt; 450</v>
      </c>
      <c r="I17" s="7">
        <f>VLOOKUP(G17,'FI txn'!$G:$H,2,0)</f>
        <v>6</v>
      </c>
      <c r="J17" s="7">
        <f t="shared" si="0"/>
        <v>144</v>
      </c>
      <c r="K17" s="8">
        <v>1</v>
      </c>
      <c r="L17" s="8">
        <v>2</v>
      </c>
      <c r="M17" s="8">
        <v>4</v>
      </c>
      <c r="N17" s="8">
        <v>10</v>
      </c>
      <c r="O17" s="8">
        <v>15</v>
      </c>
      <c r="P17" s="8"/>
      <c r="Q17" s="8"/>
      <c r="R17" s="8"/>
      <c r="S17" s="8"/>
      <c r="T17" s="8"/>
      <c r="U17" s="8"/>
      <c r="V17" s="8"/>
      <c r="W17" s="8">
        <f t="shared" si="1"/>
        <v>32</v>
      </c>
      <c r="X17" s="9">
        <f t="shared" si="2"/>
        <v>5.333333333333333</v>
      </c>
    </row>
    <row r="18" spans="1:24" x14ac:dyDescent="0.3">
      <c r="A18" s="4" t="str">
        <f>VLOOKUP(G18,Data!$A:$G,2,0)</f>
        <v>Under Office (W Medinipur)</v>
      </c>
      <c r="B18" s="4" t="str">
        <f>VLOOKUP(G18,Data!$A:$G,3,0)</f>
        <v>Active</v>
      </c>
      <c r="C18" s="4" t="str">
        <f>VLOOKUP(G18,Data!$A:$G,4,0)</f>
        <v>Hooghly</v>
      </c>
      <c r="D18" s="4" t="str">
        <f>VLOOKUP(G18,Data!$A:$G,5,0)</f>
        <v>Jhargram</v>
      </c>
      <c r="E18" s="4" t="str">
        <f>VLOOKUP(G18,Data!$A:$G,6,0)</f>
        <v>Sk Imran</v>
      </c>
      <c r="F18" s="10" t="str">
        <f>VLOOKUP(G18,Data!$A:$G,7,0)</f>
        <v>2390311695</v>
      </c>
      <c r="G18" s="5">
        <v>22452</v>
      </c>
      <c r="H18" s="5" t="str">
        <f>VLOOKUP(G18,'FI txn'!$G:$X,18,0)</f>
        <v>&gt; 150</v>
      </c>
      <c r="I18" s="7">
        <f>VLOOKUP(G18,'FI txn'!$G:$H,2,0)</f>
        <v>6</v>
      </c>
      <c r="J18" s="7">
        <f t="shared" si="0"/>
        <v>144</v>
      </c>
      <c r="K18" s="8">
        <v>8</v>
      </c>
      <c r="L18" s="8">
        <v>21</v>
      </c>
      <c r="M18" s="8">
        <v>22</v>
      </c>
      <c r="N18" s="8">
        <v>15</v>
      </c>
      <c r="O18" s="8">
        <v>13</v>
      </c>
      <c r="P18" s="8">
        <v>5</v>
      </c>
      <c r="Q18" s="8"/>
      <c r="R18" s="8"/>
      <c r="S18" s="8"/>
      <c r="T18" s="8"/>
      <c r="U18" s="8"/>
      <c r="V18" s="8"/>
      <c r="W18" s="8">
        <f t="shared" si="1"/>
        <v>84</v>
      </c>
      <c r="X18" s="9">
        <f t="shared" si="2"/>
        <v>14</v>
      </c>
    </row>
    <row r="19" spans="1:24" x14ac:dyDescent="0.3">
      <c r="A19" s="4" t="str">
        <f>VLOOKUP(G19,Data!$A:$G,2,0)</f>
        <v>Souvik Maity</v>
      </c>
      <c r="B19" s="4" t="str">
        <f>VLOOKUP(G19,Data!$A:$G,3,0)</f>
        <v>Active</v>
      </c>
      <c r="C19" s="4" t="str">
        <f>VLOOKUP(G19,Data!$A:$G,4,0)</f>
        <v>Hooghly</v>
      </c>
      <c r="D19" s="4" t="str">
        <f>VLOOKUP(G19,Data!$A:$G,5,0)</f>
        <v>Sahapur</v>
      </c>
      <c r="E19" s="4" t="str">
        <f>VLOOKUP(G19,Data!$A:$G,6,0)</f>
        <v>Bishal Maity</v>
      </c>
      <c r="F19" s="10" t="str">
        <f>VLOOKUP(G19,Data!$A:$G,7,0)</f>
        <v>3390312548</v>
      </c>
      <c r="G19" s="5">
        <v>23565</v>
      </c>
      <c r="H19" s="5" t="str">
        <f>VLOOKUP(G19,'FI txn'!$G:$X,18,0)</f>
        <v>&gt; 150</v>
      </c>
      <c r="I19" s="7">
        <f>VLOOKUP(G19,'FI txn'!$G:$H,2,0)</f>
        <v>6</v>
      </c>
      <c r="J19" s="7">
        <f t="shared" si="0"/>
        <v>144</v>
      </c>
      <c r="K19" s="8">
        <v>4</v>
      </c>
      <c r="L19" s="8">
        <v>11</v>
      </c>
      <c r="M19" s="8">
        <v>10</v>
      </c>
      <c r="N19" s="8">
        <v>7</v>
      </c>
      <c r="O19" s="8">
        <v>13</v>
      </c>
      <c r="P19" s="8">
        <v>4</v>
      </c>
      <c r="Q19" s="8"/>
      <c r="R19" s="8"/>
      <c r="S19" s="8"/>
      <c r="T19" s="8"/>
      <c r="U19" s="8"/>
      <c r="V19" s="8"/>
      <c r="W19" s="8">
        <f t="shared" si="1"/>
        <v>49</v>
      </c>
      <c r="X19" s="9">
        <f t="shared" si="2"/>
        <v>8.1666666666666661</v>
      </c>
    </row>
    <row r="20" spans="1:24" x14ac:dyDescent="0.3">
      <c r="A20" s="4" t="str">
        <f>VLOOKUP(G20,Data!$A:$G,2,0)</f>
        <v>Rajendra Kumar Bapari</v>
      </c>
      <c r="B20" s="4" t="str">
        <f>VLOOKUP(G20,Data!$A:$G,3,0)</f>
        <v>Active</v>
      </c>
      <c r="C20" s="4" t="str">
        <f>VLOOKUP(G20,Data!$A:$G,4,0)</f>
        <v>Durgapur</v>
      </c>
      <c r="D20" s="4" t="str">
        <f>VLOOKUP(G20,Data!$A:$G,5,0)</f>
        <v>Patuli</v>
      </c>
      <c r="E20" s="4" t="str">
        <f>VLOOKUP(G20,Data!$A:$G,6,0)</f>
        <v>Satyajit Kar</v>
      </c>
      <c r="F20" s="10" t="str">
        <f>VLOOKUP(G20,Data!$A:$G,7,0)</f>
        <v>3390314928</v>
      </c>
      <c r="G20" s="5">
        <v>27154</v>
      </c>
      <c r="H20" s="5" t="str">
        <f>VLOOKUP(G20,'FI txn'!$G:$X,18,0)</f>
        <v>&gt; 450</v>
      </c>
      <c r="I20" s="7">
        <f>VLOOKUP(G20,'FI txn'!$G:$H,2,0)</f>
        <v>6</v>
      </c>
      <c r="J20" s="7">
        <f t="shared" si="0"/>
        <v>144</v>
      </c>
      <c r="K20" s="8">
        <v>8</v>
      </c>
      <c r="L20" s="8">
        <v>30</v>
      </c>
      <c r="M20" s="8">
        <v>23</v>
      </c>
      <c r="N20" s="8">
        <v>6</v>
      </c>
      <c r="O20" s="8">
        <v>13</v>
      </c>
      <c r="P20" s="8">
        <v>4</v>
      </c>
      <c r="Q20" s="8"/>
      <c r="R20" s="8"/>
      <c r="S20" s="8"/>
      <c r="T20" s="8"/>
      <c r="U20" s="8"/>
      <c r="V20" s="8"/>
      <c r="W20" s="8">
        <f t="shared" si="1"/>
        <v>84</v>
      </c>
      <c r="X20" s="9">
        <f t="shared" si="2"/>
        <v>14</v>
      </c>
    </row>
    <row r="21" spans="1:24" x14ac:dyDescent="0.3">
      <c r="A21" s="4" t="str">
        <f>VLOOKUP(G21,Data!$A:$G,2,0)</f>
        <v>Shyamalesh Sarkar</v>
      </c>
      <c r="B21" s="4" t="str">
        <f>VLOOKUP(G21,Data!$A:$G,3,0)</f>
        <v>Active</v>
      </c>
      <c r="C21" s="4" t="str">
        <f>VLOOKUP(G21,Data!$A:$G,4,0)</f>
        <v>Siliguri</v>
      </c>
      <c r="D21" s="4" t="str">
        <f>VLOOKUP(G21,Data!$A:$G,5,0)</f>
        <v>Sagardighi Square</v>
      </c>
      <c r="E21" s="4" t="str">
        <f>VLOOKUP(G21,Data!$A:$G,6,0)</f>
        <v xml:space="preserve">Khurshid Alom </v>
      </c>
      <c r="F21" s="10" t="str">
        <f>VLOOKUP(G21,Data!$A:$G,7,0)</f>
        <v>2200311941</v>
      </c>
      <c r="G21" s="5">
        <v>22768</v>
      </c>
      <c r="H21" s="5" t="str">
        <f>VLOOKUP(G21,'FI txn'!$G:$X,18,0)</f>
        <v>&lt; 150</v>
      </c>
      <c r="I21" s="7">
        <f>VLOOKUP(G21,'FI txn'!$G:$H,2,0)</f>
        <v>6</v>
      </c>
      <c r="J21" s="7">
        <f t="shared" si="0"/>
        <v>144</v>
      </c>
      <c r="K21" s="8">
        <v>3</v>
      </c>
      <c r="L21" s="8">
        <v>1</v>
      </c>
      <c r="M21" s="8">
        <v>8</v>
      </c>
      <c r="N21" s="8">
        <v>18</v>
      </c>
      <c r="O21" s="8">
        <v>13</v>
      </c>
      <c r="P21" s="8">
        <v>1</v>
      </c>
      <c r="Q21" s="8"/>
      <c r="R21" s="8"/>
      <c r="S21" s="8"/>
      <c r="T21" s="8"/>
      <c r="U21" s="8"/>
      <c r="V21" s="8"/>
      <c r="W21" s="8">
        <f t="shared" si="1"/>
        <v>44</v>
      </c>
      <c r="X21" s="9">
        <f t="shared" si="2"/>
        <v>7.333333333333333</v>
      </c>
    </row>
    <row r="22" spans="1:24" x14ac:dyDescent="0.3">
      <c r="A22" s="4" t="str">
        <f>VLOOKUP(G22,Data!$A:$G,2,0)</f>
        <v>Under Office (Birbhum)</v>
      </c>
      <c r="B22" s="4" t="str">
        <f>VLOOKUP(G22,Data!$A:$G,3,0)</f>
        <v>Active</v>
      </c>
      <c r="C22" s="4" t="str">
        <f>VLOOKUP(G22,Data!$A:$G,4,0)</f>
        <v>Siliguri</v>
      </c>
      <c r="D22" s="4" t="str">
        <f>VLOOKUP(G22,Data!$A:$G,5,0)</f>
        <v>Kapista</v>
      </c>
      <c r="E22" s="4" t="str">
        <f>VLOOKUP(G22,Data!$A:$G,6,0)</f>
        <v>Swarup Karmakar</v>
      </c>
      <c r="F22" s="10" t="str">
        <f>VLOOKUP(G22,Data!$A:$G,7,0)</f>
        <v>0140311629</v>
      </c>
      <c r="G22" s="5">
        <v>22366</v>
      </c>
      <c r="H22" s="5" t="str">
        <f>VLOOKUP(G22,'FI txn'!$G:$X,18,0)</f>
        <v>&gt; 300</v>
      </c>
      <c r="I22" s="7">
        <f>VLOOKUP(G22,'FI txn'!$G:$H,2,0)</f>
        <v>6</v>
      </c>
      <c r="J22" s="7">
        <f t="shared" si="0"/>
        <v>144</v>
      </c>
      <c r="K22" s="8">
        <v>6</v>
      </c>
      <c r="L22" s="8">
        <v>4</v>
      </c>
      <c r="M22" s="8">
        <v>20</v>
      </c>
      <c r="N22" s="8">
        <v>15</v>
      </c>
      <c r="O22" s="8">
        <v>12</v>
      </c>
      <c r="P22" s="8">
        <v>5</v>
      </c>
      <c r="Q22" s="8"/>
      <c r="R22" s="8"/>
      <c r="S22" s="8"/>
      <c r="T22" s="8"/>
      <c r="U22" s="8"/>
      <c r="V22" s="8"/>
      <c r="W22" s="8">
        <f t="shared" si="1"/>
        <v>62</v>
      </c>
      <c r="X22" s="9">
        <f t="shared" si="2"/>
        <v>10.333333333333334</v>
      </c>
    </row>
    <row r="23" spans="1:24" x14ac:dyDescent="0.3">
      <c r="A23" s="4" t="str">
        <f>VLOOKUP(G23,Data!$A:$G,2,0)</f>
        <v>Under Office (W Medinipur)</v>
      </c>
      <c r="B23" s="4" t="str">
        <f>VLOOKUP(G23,Data!$A:$G,3,0)</f>
        <v>Active</v>
      </c>
      <c r="C23" s="4" t="str">
        <f>VLOOKUP(G23,Data!$A:$G,4,0)</f>
        <v>Hooghly</v>
      </c>
      <c r="D23" s="4" t="str">
        <f>VLOOKUP(G23,Data!$A:$G,5,0)</f>
        <v>Khirpai</v>
      </c>
      <c r="E23" s="4" t="str">
        <f>VLOOKUP(G23,Data!$A:$G,6,0)</f>
        <v>Sk Abbas Ali</v>
      </c>
      <c r="F23" s="10" t="str">
        <f>VLOOKUP(G23,Data!$A:$G,7,0)</f>
        <v>2390311378</v>
      </c>
      <c r="G23" s="5">
        <v>22073</v>
      </c>
      <c r="H23" s="5" t="str">
        <f>VLOOKUP(G23,'FI txn'!$G:$X,18,0)</f>
        <v>&gt; 900</v>
      </c>
      <c r="I23" s="7">
        <f>VLOOKUP(G23,'FI txn'!$G:$H,2,0)</f>
        <v>6</v>
      </c>
      <c r="J23" s="7">
        <f t="shared" si="0"/>
        <v>144</v>
      </c>
      <c r="K23" s="8">
        <v>8</v>
      </c>
      <c r="L23" s="8">
        <v>22</v>
      </c>
      <c r="M23" s="8">
        <v>14</v>
      </c>
      <c r="N23" s="8">
        <v>13</v>
      </c>
      <c r="O23" s="8">
        <v>12</v>
      </c>
      <c r="P23" s="8">
        <v>1</v>
      </c>
      <c r="Q23" s="8"/>
      <c r="R23" s="8"/>
      <c r="S23" s="8"/>
      <c r="T23" s="8"/>
      <c r="U23" s="8"/>
      <c r="V23" s="8"/>
      <c r="W23" s="8">
        <f t="shared" si="1"/>
        <v>70</v>
      </c>
      <c r="X23" s="9">
        <f t="shared" si="2"/>
        <v>11.666666666666666</v>
      </c>
    </row>
    <row r="24" spans="1:24" x14ac:dyDescent="0.3">
      <c r="A24" s="4" t="str">
        <f>VLOOKUP(G24,Data!$A:$G,2,0)</f>
        <v>Sunil Biswas</v>
      </c>
      <c r="B24" s="4" t="str">
        <f>VLOOKUP(G24,Data!$A:$G,3,0)</f>
        <v>Active</v>
      </c>
      <c r="C24" s="4" t="str">
        <f>VLOOKUP(G24,Data!$A:$G,4,0)</f>
        <v>Durgapur</v>
      </c>
      <c r="D24" s="4" t="str">
        <f>VLOOKUP(G24,Data!$A:$G,5,0)</f>
        <v>Santipur</v>
      </c>
      <c r="E24" s="4" t="str">
        <f>VLOOKUP(G24,Data!$A:$G,6,0)</f>
        <v>Sahabul Mandal</v>
      </c>
      <c r="F24" s="10" t="str">
        <f>VLOOKUP(G24,Data!$A:$G,7,0)</f>
        <v>2430315156</v>
      </c>
      <c r="G24" s="5">
        <v>27630</v>
      </c>
      <c r="H24" s="5" t="str">
        <f>VLOOKUP(G24,'FI txn'!$G:$X,18,0)</f>
        <v>&gt; 600</v>
      </c>
      <c r="I24" s="7">
        <f>VLOOKUP(G24,'FI txn'!$G:$H,2,0)</f>
        <v>6</v>
      </c>
      <c r="J24" s="7">
        <f t="shared" si="0"/>
        <v>144</v>
      </c>
      <c r="K24" s="8">
        <v>2</v>
      </c>
      <c r="L24" s="8">
        <v>7</v>
      </c>
      <c r="M24" s="8">
        <v>13</v>
      </c>
      <c r="N24" s="8">
        <v>30</v>
      </c>
      <c r="O24" s="8">
        <v>11</v>
      </c>
      <c r="P24" s="8">
        <v>2</v>
      </c>
      <c r="Q24" s="8"/>
      <c r="R24" s="8"/>
      <c r="S24" s="8"/>
      <c r="T24" s="8"/>
      <c r="U24" s="8"/>
      <c r="V24" s="8"/>
      <c r="W24" s="8">
        <f t="shared" si="1"/>
        <v>65</v>
      </c>
      <c r="X24" s="9">
        <f t="shared" si="2"/>
        <v>10.833333333333334</v>
      </c>
    </row>
    <row r="25" spans="1:24" x14ac:dyDescent="0.3">
      <c r="A25" s="4" t="str">
        <f>VLOOKUP(G25,Data!$A:$G,2,0)</f>
        <v>Under Office (Birbhum)</v>
      </c>
      <c r="B25" s="4" t="str">
        <f>VLOOKUP(G25,Data!$A:$G,3,0)</f>
        <v>Active</v>
      </c>
      <c r="C25" s="4" t="str">
        <f>VLOOKUP(G25,Data!$A:$G,4,0)</f>
        <v>Siliguri</v>
      </c>
      <c r="D25" s="4" t="str">
        <f>VLOOKUP(G25,Data!$A:$G,5,0)</f>
        <v>Paikar</v>
      </c>
      <c r="E25" s="4" t="str">
        <f>VLOOKUP(G25,Data!$A:$G,6,0)</f>
        <v>Saheb Sk</v>
      </c>
      <c r="F25" s="10" t="str">
        <f>VLOOKUP(G25,Data!$A:$G,7,0)</f>
        <v>0140311324</v>
      </c>
      <c r="G25" s="5">
        <v>21999</v>
      </c>
      <c r="H25" s="5" t="str">
        <f>VLOOKUP(G25,'FI txn'!$G:$X,18,0)</f>
        <v>&gt; 900</v>
      </c>
      <c r="I25" s="7">
        <f>VLOOKUP(G25,'FI txn'!$G:$H,2,0)</f>
        <v>6</v>
      </c>
      <c r="J25" s="7">
        <f t="shared" si="0"/>
        <v>144</v>
      </c>
      <c r="K25" s="8">
        <v>16</v>
      </c>
      <c r="L25" s="8">
        <v>17</v>
      </c>
      <c r="M25" s="8">
        <v>13</v>
      </c>
      <c r="N25" s="8">
        <v>5</v>
      </c>
      <c r="O25" s="8">
        <v>11</v>
      </c>
      <c r="P25" s="8">
        <v>1</v>
      </c>
      <c r="Q25" s="8"/>
      <c r="R25" s="8"/>
      <c r="S25" s="8"/>
      <c r="T25" s="8"/>
      <c r="U25" s="8"/>
      <c r="V25" s="8"/>
      <c r="W25" s="8">
        <f t="shared" si="1"/>
        <v>63</v>
      </c>
      <c r="X25" s="9">
        <f t="shared" si="2"/>
        <v>10.5</v>
      </c>
    </row>
    <row r="26" spans="1:24" x14ac:dyDescent="0.3">
      <c r="A26" s="4" t="str">
        <f>VLOOKUP(G26,Data!$A:$G,2,0)</f>
        <v>Chandi Charan Mahato</v>
      </c>
      <c r="B26" s="4" t="str">
        <f>VLOOKUP(G26,Data!$A:$G,3,0)</f>
        <v>Active</v>
      </c>
      <c r="C26" s="4" t="str">
        <f>VLOOKUP(G26,Data!$A:$G,4,0)</f>
        <v>Durgapur</v>
      </c>
      <c r="D26" s="4" t="str">
        <f>VLOOKUP(G26,Data!$A:$G,5,0)</f>
        <v>Patrasayer</v>
      </c>
      <c r="E26" s="4" t="str">
        <f>VLOOKUP(G26,Data!$A:$G,6,0)</f>
        <v>Satish Ankure</v>
      </c>
      <c r="F26" s="10" t="str">
        <f>VLOOKUP(G26,Data!$A:$G,7,0)</f>
        <v>2160314679</v>
      </c>
      <c r="G26" s="5">
        <v>26810</v>
      </c>
      <c r="H26" s="5" t="str">
        <f>VLOOKUP(G26,'FI txn'!$G:$X,18,0)</f>
        <v>&gt; 300</v>
      </c>
      <c r="I26" s="7">
        <f>VLOOKUP(G26,'FI txn'!$G:$H,2,0)</f>
        <v>6</v>
      </c>
      <c r="J26" s="7">
        <f t="shared" si="0"/>
        <v>144</v>
      </c>
      <c r="K26" s="8">
        <v>2</v>
      </c>
      <c r="L26" s="8">
        <v>1</v>
      </c>
      <c r="M26" s="8">
        <v>1</v>
      </c>
      <c r="N26" s="8"/>
      <c r="O26" s="8">
        <v>11</v>
      </c>
      <c r="P26" s="8"/>
      <c r="Q26" s="8"/>
      <c r="R26" s="8"/>
      <c r="S26" s="8"/>
      <c r="T26" s="8"/>
      <c r="U26" s="8"/>
      <c r="V26" s="8"/>
      <c r="W26" s="8">
        <f t="shared" si="1"/>
        <v>15</v>
      </c>
      <c r="X26" s="9">
        <f t="shared" si="2"/>
        <v>2.5</v>
      </c>
    </row>
    <row r="27" spans="1:24" x14ac:dyDescent="0.3">
      <c r="A27" s="4" t="str">
        <f>VLOOKUP(G27,Data!$A:$G,2,0)</f>
        <v>Sunil Biswas</v>
      </c>
      <c r="B27" s="4" t="str">
        <f>VLOOKUP(G27,Data!$A:$G,3,0)</f>
        <v>Inactive</v>
      </c>
      <c r="C27" s="4" t="str">
        <f>VLOOKUP(G27,Data!$A:$G,4,0)</f>
        <v>Durgapur</v>
      </c>
      <c r="D27" s="4" t="str">
        <f>VLOOKUP(G27,Data!$A:$G,5,0)</f>
        <v>Santipur</v>
      </c>
      <c r="E27" s="4" t="str">
        <f>VLOOKUP(G27,Data!$A:$G,6,0)</f>
        <v>Dipanwita Das</v>
      </c>
      <c r="F27" s="10" t="str">
        <f>VLOOKUP(G27,Data!$A:$G,7,0)</f>
        <v>2430315569</v>
      </c>
      <c r="G27" s="5">
        <v>28483</v>
      </c>
      <c r="H27" s="5" t="str">
        <f>VLOOKUP(G27,'FI txn'!$G:$X,18,0)</f>
        <v>&lt; 150</v>
      </c>
      <c r="I27" s="7">
        <f>VLOOKUP(G27,'FI txn'!$G:$H,2,0)</f>
        <v>5</v>
      </c>
      <c r="J27" s="7">
        <f t="shared" si="0"/>
        <v>120</v>
      </c>
      <c r="K27" s="8">
        <v>1</v>
      </c>
      <c r="L27" s="8"/>
      <c r="M27" s="8">
        <v>16</v>
      </c>
      <c r="N27" s="8">
        <v>6</v>
      </c>
      <c r="O27" s="8">
        <v>10</v>
      </c>
      <c r="P27" s="8">
        <v>3</v>
      </c>
      <c r="Q27" s="8"/>
      <c r="R27" s="8"/>
      <c r="S27" s="8"/>
      <c r="T27" s="8"/>
      <c r="U27" s="8"/>
      <c r="V27" s="8"/>
      <c r="W27" s="8">
        <f t="shared" si="1"/>
        <v>36</v>
      </c>
      <c r="X27" s="9">
        <f t="shared" si="2"/>
        <v>7.2</v>
      </c>
    </row>
    <row r="28" spans="1:24" x14ac:dyDescent="0.3">
      <c r="A28" s="4" t="str">
        <f>VLOOKUP(G28,Data!$A:$G,2,0)</f>
        <v>Sanjoy Paul</v>
      </c>
      <c r="B28" s="4" t="str">
        <f>VLOOKUP(G28,Data!$A:$G,3,0)</f>
        <v>Active</v>
      </c>
      <c r="C28" s="4" t="str">
        <f>VLOOKUP(G28,Data!$A:$G,4,0)</f>
        <v>Siliguri</v>
      </c>
      <c r="D28" s="4" t="str">
        <f>VLOOKUP(G28,Data!$A:$G,5,0)</f>
        <v>Raiganj</v>
      </c>
      <c r="E28" s="4" t="str">
        <f>VLOOKUP(G28,Data!$A:$G,6,0)</f>
        <v>Joydev Das</v>
      </c>
      <c r="F28" s="10" t="str">
        <f>VLOOKUP(G28,Data!$A:$G,7,0)</f>
        <v>2560315042</v>
      </c>
      <c r="G28" s="5">
        <v>27372</v>
      </c>
      <c r="H28" s="5" t="str">
        <f>VLOOKUP(G28,'FI txn'!$G:$X,18,0)</f>
        <v>&gt; 150</v>
      </c>
      <c r="I28" s="7">
        <f>VLOOKUP(G28,'FI txn'!$G:$H,2,0)</f>
        <v>6</v>
      </c>
      <c r="J28" s="7">
        <f t="shared" si="0"/>
        <v>144</v>
      </c>
      <c r="K28" s="8">
        <v>10</v>
      </c>
      <c r="L28" s="8">
        <v>18</v>
      </c>
      <c r="M28" s="8">
        <v>7</v>
      </c>
      <c r="N28" s="8">
        <v>8</v>
      </c>
      <c r="O28" s="8">
        <v>10</v>
      </c>
      <c r="P28" s="8">
        <v>1</v>
      </c>
      <c r="Q28" s="8"/>
      <c r="R28" s="8"/>
      <c r="S28" s="8"/>
      <c r="T28" s="8"/>
      <c r="U28" s="8"/>
      <c r="V28" s="8"/>
      <c r="W28" s="8">
        <f t="shared" si="1"/>
        <v>54</v>
      </c>
      <c r="X28" s="9">
        <f t="shared" si="2"/>
        <v>9</v>
      </c>
    </row>
    <row r="29" spans="1:24" x14ac:dyDescent="0.3">
      <c r="A29" s="4" t="str">
        <f>VLOOKUP(G29,Data!$A:$G,2,0)</f>
        <v>Sunil Biswas</v>
      </c>
      <c r="B29" s="4" t="str">
        <f>VLOOKUP(G29,Data!$A:$G,3,0)</f>
        <v>Active</v>
      </c>
      <c r="C29" s="4" t="str">
        <f>VLOOKUP(G29,Data!$A:$G,4,0)</f>
        <v>Durgapur</v>
      </c>
      <c r="D29" s="4" t="str">
        <f>VLOOKUP(G29,Data!$A:$G,5,0)</f>
        <v>Hridaypur</v>
      </c>
      <c r="E29" s="4" t="str">
        <f>VLOOKUP(G29,Data!$A:$G,6,0)</f>
        <v>Suman Ghosh</v>
      </c>
      <c r="F29" s="10" t="str">
        <f>VLOOKUP(G29,Data!$A:$G,7,0)</f>
        <v>8116659114</v>
      </c>
      <c r="G29" s="5">
        <v>29525</v>
      </c>
      <c r="H29" s="5" t="str">
        <f>VLOOKUP(G29,'FI txn'!$G:$X,18,0)</f>
        <v>&lt; 150</v>
      </c>
      <c r="I29" s="7">
        <f>VLOOKUP(G29,'FI txn'!$G:$H,2,0)</f>
        <v>4</v>
      </c>
      <c r="J29" s="7">
        <f t="shared" si="0"/>
        <v>96</v>
      </c>
      <c r="K29" s="8"/>
      <c r="L29" s="8"/>
      <c r="M29" s="8">
        <v>16</v>
      </c>
      <c r="N29" s="8">
        <v>28</v>
      </c>
      <c r="O29" s="8">
        <v>10</v>
      </c>
      <c r="P29" s="8"/>
      <c r="Q29" s="8"/>
      <c r="R29" s="8"/>
      <c r="S29" s="8"/>
      <c r="T29" s="8"/>
      <c r="U29" s="8"/>
      <c r="V29" s="8"/>
      <c r="W29" s="8">
        <f t="shared" si="1"/>
        <v>54</v>
      </c>
      <c r="X29" s="9"/>
    </row>
    <row r="30" spans="1:24" x14ac:dyDescent="0.3">
      <c r="A30" s="4" t="str">
        <f>VLOOKUP(G30,Data!$A:$G,2,0)</f>
        <v>Manindra Nath Barman</v>
      </c>
      <c r="B30" s="4" t="str">
        <f>VLOOKUP(G30,Data!$A:$G,3,0)</f>
        <v>Active</v>
      </c>
      <c r="C30" s="4" t="str">
        <f>VLOOKUP(G30,Data!$A:$G,4,0)</f>
        <v>Siliguri</v>
      </c>
      <c r="D30" s="4" t="str">
        <f>VLOOKUP(G30,Data!$A:$G,5,0)</f>
        <v>Barobisha</v>
      </c>
      <c r="E30" s="4" t="str">
        <f>VLOOKUP(G30,Data!$A:$G,6,0)</f>
        <v>Sankar Arya</v>
      </c>
      <c r="F30" s="10" t="str">
        <f>VLOOKUP(G30,Data!$A:$G,7,0)</f>
        <v>2200315639</v>
      </c>
      <c r="G30" s="5">
        <v>28692</v>
      </c>
      <c r="H30" s="5" t="str">
        <f>VLOOKUP(G30,'FI txn'!$G:$X,18,0)</f>
        <v>&lt; 150</v>
      </c>
      <c r="I30" s="7">
        <f>VLOOKUP(G30,'FI txn'!$G:$H,2,0)</f>
        <v>6</v>
      </c>
      <c r="J30" s="7">
        <f t="shared" si="0"/>
        <v>144</v>
      </c>
      <c r="K30" s="8">
        <v>4</v>
      </c>
      <c r="L30" s="8">
        <v>2</v>
      </c>
      <c r="M30" s="8">
        <v>11</v>
      </c>
      <c r="N30" s="8">
        <v>5</v>
      </c>
      <c r="O30" s="8">
        <v>9</v>
      </c>
      <c r="P30" s="8">
        <v>1</v>
      </c>
      <c r="Q30" s="8"/>
      <c r="R30" s="8"/>
      <c r="S30" s="8"/>
      <c r="T30" s="8"/>
      <c r="U30" s="8"/>
      <c r="V30" s="8"/>
      <c r="W30" s="8">
        <f t="shared" si="1"/>
        <v>32</v>
      </c>
      <c r="X30" s="9">
        <f>W30/I30</f>
        <v>5.333333333333333</v>
      </c>
    </row>
    <row r="31" spans="1:24" x14ac:dyDescent="0.3">
      <c r="A31" s="4" t="str">
        <f>VLOOKUP(G31,Data!$A:$G,2,0)</f>
        <v>Under Office (W Medinipur)</v>
      </c>
      <c r="B31" s="4" t="str">
        <f>VLOOKUP(G31,Data!$A:$G,3,0)</f>
        <v>Active</v>
      </c>
      <c r="C31" s="4" t="str">
        <f>VLOOKUP(G31,Data!$A:$G,4,0)</f>
        <v>Hooghly</v>
      </c>
      <c r="D31" s="4" t="str">
        <f>VLOOKUP(G31,Data!$A:$G,5,0)</f>
        <v>Ghatal</v>
      </c>
      <c r="E31" s="4" t="str">
        <f>VLOOKUP(G31,Data!$A:$G,6,0)</f>
        <v>Chandan Satik</v>
      </c>
      <c r="F31" s="10" t="str">
        <f>VLOOKUP(G31,Data!$A:$G,7,0)</f>
        <v>2390311662</v>
      </c>
      <c r="G31" s="5">
        <v>22400</v>
      </c>
      <c r="H31" s="5" t="str">
        <f>VLOOKUP(G31,'FI txn'!$G:$X,18,0)</f>
        <v>&lt; 150</v>
      </c>
      <c r="I31" s="7">
        <f>VLOOKUP(G31,'FI txn'!$G:$H,2,0)</f>
        <v>6</v>
      </c>
      <c r="J31" s="7">
        <f t="shared" si="0"/>
        <v>144</v>
      </c>
      <c r="K31" s="8">
        <v>3</v>
      </c>
      <c r="L31" s="8">
        <v>2</v>
      </c>
      <c r="M31" s="8">
        <v>10</v>
      </c>
      <c r="N31" s="8">
        <v>12</v>
      </c>
      <c r="O31" s="8">
        <v>9</v>
      </c>
      <c r="P31" s="8"/>
      <c r="Q31" s="8"/>
      <c r="R31" s="8"/>
      <c r="S31" s="8"/>
      <c r="T31" s="8"/>
      <c r="U31" s="8"/>
      <c r="V31" s="8"/>
      <c r="W31" s="8">
        <f t="shared" si="1"/>
        <v>36</v>
      </c>
      <c r="X31" s="9">
        <f>W31/I31</f>
        <v>6</v>
      </c>
    </row>
    <row r="32" spans="1:24" x14ac:dyDescent="0.3">
      <c r="A32" s="4" t="str">
        <f>VLOOKUP(G32,Data!$A:$G,2,0)</f>
        <v>Manindra Nath Barman</v>
      </c>
      <c r="B32" s="4" t="str">
        <f>VLOOKUP(G32,Data!$A:$G,3,0)</f>
        <v>Inactive</v>
      </c>
      <c r="C32" s="4" t="str">
        <f>VLOOKUP(G32,Data!$A:$G,4,0)</f>
        <v>Siliguri</v>
      </c>
      <c r="D32" s="4" t="str">
        <f>VLOOKUP(G32,Data!$A:$G,5,0)</f>
        <v>Barobisha</v>
      </c>
      <c r="E32" s="4" t="str">
        <f>VLOOKUP(G32,Data!$A:$G,6,0)</f>
        <v>Virendra Narayan Nag</v>
      </c>
      <c r="F32" s="10" t="str">
        <f>VLOOKUP(G32,Data!$A:$G,7,0)</f>
        <v>8967601707</v>
      </c>
      <c r="G32" s="5">
        <v>29526</v>
      </c>
      <c r="H32" s="5" t="str">
        <f>VLOOKUP(G32,'FI txn'!$G:$X,18,0)</f>
        <v>&lt; 150</v>
      </c>
      <c r="I32" s="7">
        <f>VLOOKUP(G32,'FI txn'!$G:$H,2,0)</f>
        <v>3</v>
      </c>
      <c r="J32" s="7">
        <f t="shared" si="0"/>
        <v>72</v>
      </c>
      <c r="K32" s="8"/>
      <c r="L32" s="8"/>
      <c r="M32" s="8">
        <v>2</v>
      </c>
      <c r="N32" s="8">
        <v>8</v>
      </c>
      <c r="O32" s="8">
        <v>9</v>
      </c>
      <c r="P32" s="8"/>
      <c r="Q32" s="8"/>
      <c r="R32" s="8"/>
      <c r="S32" s="8"/>
      <c r="T32" s="8"/>
      <c r="U32" s="8"/>
      <c r="V32" s="8"/>
      <c r="W32" s="8">
        <f t="shared" si="1"/>
        <v>19</v>
      </c>
      <c r="X32" s="9"/>
    </row>
    <row r="33" spans="1:24" x14ac:dyDescent="0.3">
      <c r="A33" s="4" t="str">
        <f>VLOOKUP(G33,Data!$A:$G,2,0)</f>
        <v>Chandi Charan Mahato</v>
      </c>
      <c r="B33" s="4" t="str">
        <f>VLOOKUP(G33,Data!$A:$G,3,0)</f>
        <v>Active</v>
      </c>
      <c r="C33" s="4" t="str">
        <f>VLOOKUP(G33,Data!$A:$G,4,0)</f>
        <v>Durgapur</v>
      </c>
      <c r="D33" s="4" t="str">
        <f>VLOOKUP(G33,Data!$A:$G,5,0)</f>
        <v>Jhantipahari</v>
      </c>
      <c r="E33" s="4" t="str">
        <f>VLOOKUP(G33,Data!$A:$G,6,0)</f>
        <v>Asish Kumar Mandal</v>
      </c>
      <c r="F33" s="10" t="str">
        <f>VLOOKUP(G33,Data!$A:$G,7,0)</f>
        <v>2160314962</v>
      </c>
      <c r="G33" s="5">
        <v>27220</v>
      </c>
      <c r="H33" s="5" t="str">
        <f>VLOOKUP(G33,'FI txn'!$G:$X,18,0)</f>
        <v>&gt; 300</v>
      </c>
      <c r="I33" s="7">
        <f>VLOOKUP(G33,'FI txn'!$G:$H,2,0)</f>
        <v>6</v>
      </c>
      <c r="J33" s="7">
        <f t="shared" si="0"/>
        <v>144</v>
      </c>
      <c r="K33" s="8">
        <v>14</v>
      </c>
      <c r="L33" s="8">
        <v>23</v>
      </c>
      <c r="M33" s="8">
        <v>8</v>
      </c>
      <c r="N33" s="8">
        <v>10</v>
      </c>
      <c r="O33" s="8">
        <v>8</v>
      </c>
      <c r="P33" s="8">
        <v>2</v>
      </c>
      <c r="Q33" s="8"/>
      <c r="R33" s="8"/>
      <c r="S33" s="8"/>
      <c r="T33" s="8"/>
      <c r="U33" s="8"/>
      <c r="V33" s="8"/>
      <c r="W33" s="8">
        <f t="shared" si="1"/>
        <v>65</v>
      </c>
      <c r="X33" s="9">
        <f t="shared" ref="X33:X64" si="3">W33/I33</f>
        <v>10.833333333333334</v>
      </c>
    </row>
    <row r="34" spans="1:24" x14ac:dyDescent="0.3">
      <c r="A34" s="4" t="str">
        <f>VLOOKUP(G34,Data!$A:$G,2,0)</f>
        <v>Rajendra Kumar Bapari</v>
      </c>
      <c r="B34" s="4" t="str">
        <f>VLOOKUP(G34,Data!$A:$G,3,0)</f>
        <v>Active</v>
      </c>
      <c r="C34" s="4" t="str">
        <f>VLOOKUP(G34,Data!$A:$G,4,0)</f>
        <v>Durgapur</v>
      </c>
      <c r="D34" s="4" t="str">
        <f>VLOOKUP(G34,Data!$A:$G,5,0)</f>
        <v>Kushodanga</v>
      </c>
      <c r="E34" s="4" t="str">
        <f>VLOOKUP(G34,Data!$A:$G,6,0)</f>
        <v>Rumpa Pal Mondal</v>
      </c>
      <c r="F34" s="10" t="str">
        <f>VLOOKUP(G34,Data!$A:$G,7,0)</f>
        <v>3390315402</v>
      </c>
      <c r="G34" s="5">
        <v>28170</v>
      </c>
      <c r="H34" s="5" t="str">
        <f>VLOOKUP(G34,'FI txn'!$G:$X,18,0)</f>
        <v>&gt; 300</v>
      </c>
      <c r="I34" s="7">
        <f>VLOOKUP(G34,'FI txn'!$G:$H,2,0)</f>
        <v>6</v>
      </c>
      <c r="J34" s="7">
        <f t="shared" ref="J34:J65" si="4">I34*24</f>
        <v>144</v>
      </c>
      <c r="K34" s="8">
        <v>1</v>
      </c>
      <c r="L34" s="8">
        <v>6</v>
      </c>
      <c r="M34" s="8">
        <v>4</v>
      </c>
      <c r="N34" s="8">
        <v>10</v>
      </c>
      <c r="O34" s="8">
        <v>8</v>
      </c>
      <c r="P34" s="8">
        <v>1</v>
      </c>
      <c r="Q34" s="8"/>
      <c r="R34" s="8"/>
      <c r="S34" s="8"/>
      <c r="T34" s="8"/>
      <c r="U34" s="8"/>
      <c r="V34" s="8"/>
      <c r="W34" s="8">
        <f t="shared" ref="W34:W65" si="5">SUM(K34:V34)</f>
        <v>30</v>
      </c>
      <c r="X34" s="9">
        <f t="shared" si="3"/>
        <v>5</v>
      </c>
    </row>
    <row r="35" spans="1:24" x14ac:dyDescent="0.3">
      <c r="A35" s="4" t="str">
        <f>VLOOKUP(G35,Data!$A:$G,2,0)</f>
        <v>Sunil Biswas</v>
      </c>
      <c r="B35" s="4" t="str">
        <f>VLOOKUP(G35,Data!$A:$G,3,0)</f>
        <v>Active</v>
      </c>
      <c r="C35" s="4" t="str">
        <f>VLOOKUP(G35,Data!$A:$G,4,0)</f>
        <v>Durgapur</v>
      </c>
      <c r="D35" s="4" t="str">
        <f>VLOOKUP(G35,Data!$A:$G,5,0)</f>
        <v>Badkulla</v>
      </c>
      <c r="E35" s="4" t="str">
        <f>VLOOKUP(G35,Data!$A:$G,6,0)</f>
        <v>Swapan Kumar Biswas</v>
      </c>
      <c r="F35" s="10" t="str">
        <f>VLOOKUP(G35,Data!$A:$G,7,0)</f>
        <v>2430315186</v>
      </c>
      <c r="G35" s="5">
        <v>27732</v>
      </c>
      <c r="H35" s="5" t="str">
        <f>VLOOKUP(G35,'FI txn'!$G:$X,18,0)</f>
        <v>&gt; 150</v>
      </c>
      <c r="I35" s="7">
        <f>VLOOKUP(G35,'FI txn'!$G:$H,2,0)</f>
        <v>6</v>
      </c>
      <c r="J35" s="7">
        <f t="shared" si="4"/>
        <v>144</v>
      </c>
      <c r="K35" s="8">
        <v>4</v>
      </c>
      <c r="L35" s="8">
        <v>13</v>
      </c>
      <c r="M35" s="8">
        <v>2</v>
      </c>
      <c r="N35" s="8">
        <v>7</v>
      </c>
      <c r="O35" s="8">
        <v>8</v>
      </c>
      <c r="P35" s="8"/>
      <c r="Q35" s="8"/>
      <c r="R35" s="8"/>
      <c r="S35" s="8"/>
      <c r="T35" s="8"/>
      <c r="U35" s="8"/>
      <c r="V35" s="8"/>
      <c r="W35" s="8">
        <f t="shared" si="5"/>
        <v>34</v>
      </c>
      <c r="X35" s="9">
        <f t="shared" si="3"/>
        <v>5.666666666666667</v>
      </c>
    </row>
    <row r="36" spans="1:24" x14ac:dyDescent="0.3">
      <c r="A36" s="4" t="str">
        <f>VLOOKUP(G36,Data!$A:$G,2,0)</f>
        <v>Sunil Biswas</v>
      </c>
      <c r="B36" s="4" t="str">
        <f>VLOOKUP(G36,Data!$A:$G,3,0)</f>
        <v>Active</v>
      </c>
      <c r="C36" s="4" t="str">
        <f>VLOOKUP(G36,Data!$A:$G,4,0)</f>
        <v>Durgapur</v>
      </c>
      <c r="D36" s="4" t="str">
        <f>VLOOKUP(G36,Data!$A:$G,5,0)</f>
        <v>Santipur</v>
      </c>
      <c r="E36" s="4" t="str">
        <f>VLOOKUP(G36,Data!$A:$G,6,0)</f>
        <v>Najmira Khatun</v>
      </c>
      <c r="F36" s="10" t="str">
        <f>VLOOKUP(G36,Data!$A:$G,7,0)</f>
        <v>2430315335</v>
      </c>
      <c r="G36" s="5">
        <v>28075</v>
      </c>
      <c r="H36" s="5" t="str">
        <f>VLOOKUP(G36,'FI txn'!$G:$X,18,0)</f>
        <v>&lt; 150</v>
      </c>
      <c r="I36" s="7">
        <f>VLOOKUP(G36,'FI txn'!$G:$H,2,0)</f>
        <v>6</v>
      </c>
      <c r="J36" s="7">
        <f t="shared" si="4"/>
        <v>144</v>
      </c>
      <c r="K36" s="8"/>
      <c r="L36" s="8"/>
      <c r="M36" s="8">
        <v>1</v>
      </c>
      <c r="N36" s="8">
        <v>2</v>
      </c>
      <c r="O36" s="8">
        <v>6</v>
      </c>
      <c r="P36" s="8">
        <v>3</v>
      </c>
      <c r="Q36" s="8"/>
      <c r="R36" s="8"/>
      <c r="S36" s="8"/>
      <c r="T36" s="8"/>
      <c r="U36" s="8"/>
      <c r="V36" s="8"/>
      <c r="W36" s="8">
        <f t="shared" si="5"/>
        <v>12</v>
      </c>
      <c r="X36" s="9">
        <f t="shared" si="3"/>
        <v>2</v>
      </c>
    </row>
    <row r="37" spans="1:24" x14ac:dyDescent="0.3">
      <c r="A37" s="4" t="str">
        <f>VLOOKUP(G37,Data!$A:$G,2,0)</f>
        <v>Under Office (W Medinipur)</v>
      </c>
      <c r="B37" s="4" t="str">
        <f>VLOOKUP(G37,Data!$A:$G,3,0)</f>
        <v>Active</v>
      </c>
      <c r="C37" s="4" t="str">
        <f>VLOOKUP(G37,Data!$A:$G,4,0)</f>
        <v>Hooghly</v>
      </c>
      <c r="D37" s="4" t="str">
        <f>VLOOKUP(G37,Data!$A:$G,5,0)</f>
        <v>Nayabasat</v>
      </c>
      <c r="E37" s="4" t="str">
        <f>VLOOKUP(G37,Data!$A:$G,6,0)</f>
        <v>Soumya Ghosh</v>
      </c>
      <c r="F37" s="10" t="str">
        <f>VLOOKUP(G37,Data!$A:$G,7,0)</f>
        <v>2390314387</v>
      </c>
      <c r="G37" s="5">
        <v>26403</v>
      </c>
      <c r="H37" s="5" t="str">
        <f>VLOOKUP(G37,'FI txn'!$G:$X,18,0)</f>
        <v>&gt; 150</v>
      </c>
      <c r="I37" s="7">
        <f>VLOOKUP(G37,'FI txn'!$G:$H,2,0)</f>
        <v>6</v>
      </c>
      <c r="J37" s="7">
        <f t="shared" si="4"/>
        <v>144</v>
      </c>
      <c r="K37" s="8">
        <v>2</v>
      </c>
      <c r="L37" s="8">
        <v>3</v>
      </c>
      <c r="M37" s="8">
        <v>2</v>
      </c>
      <c r="N37" s="8">
        <v>3</v>
      </c>
      <c r="O37" s="8">
        <v>6</v>
      </c>
      <c r="P37" s="8">
        <v>2</v>
      </c>
      <c r="Q37" s="8"/>
      <c r="R37" s="8"/>
      <c r="S37" s="8"/>
      <c r="T37" s="8"/>
      <c r="U37" s="8"/>
      <c r="V37" s="8"/>
      <c r="W37" s="8">
        <f t="shared" si="5"/>
        <v>18</v>
      </c>
      <c r="X37" s="9">
        <f t="shared" si="3"/>
        <v>3</v>
      </c>
    </row>
    <row r="38" spans="1:24" x14ac:dyDescent="0.3">
      <c r="A38" s="4" t="str">
        <f>VLOOKUP(G38,Data!$A:$G,2,0)</f>
        <v>Manindra Nath Barman</v>
      </c>
      <c r="B38" s="4" t="str">
        <f>VLOOKUP(G38,Data!$A:$G,3,0)</f>
        <v>Inactive</v>
      </c>
      <c r="C38" s="4" t="str">
        <f>VLOOKUP(G38,Data!$A:$G,4,0)</f>
        <v>Siliguri</v>
      </c>
      <c r="D38" s="4" t="str">
        <f>VLOOKUP(G38,Data!$A:$G,5,0)</f>
        <v>Buxa Forest Craja</v>
      </c>
      <c r="E38" s="4" t="str">
        <f>VLOOKUP(G38,Data!$A:$G,6,0)</f>
        <v>Pankaj Tiwari</v>
      </c>
      <c r="F38" s="10" t="str">
        <f>VLOOKUP(G38,Data!$A:$G,7,0)</f>
        <v>9490310077</v>
      </c>
      <c r="G38" s="12">
        <v>20503</v>
      </c>
      <c r="H38" s="5" t="str">
        <f>VLOOKUP(G38,'FI txn'!$G:$X,18,0)</f>
        <v>&lt; 150</v>
      </c>
      <c r="I38" s="7">
        <f>VLOOKUP(G38,'FI txn'!$G:$H,2,0)</f>
        <v>4</v>
      </c>
      <c r="J38" s="7">
        <f t="shared" si="4"/>
        <v>96</v>
      </c>
      <c r="K38" s="8"/>
      <c r="L38" s="8"/>
      <c r="M38" s="8"/>
      <c r="N38" s="8">
        <v>8</v>
      </c>
      <c r="O38" s="8">
        <v>6</v>
      </c>
      <c r="P38" s="8">
        <v>1</v>
      </c>
      <c r="Q38" s="8"/>
      <c r="R38" s="8"/>
      <c r="S38" s="8"/>
      <c r="T38" s="8"/>
      <c r="U38" s="8"/>
      <c r="V38" s="8"/>
      <c r="W38" s="8">
        <f t="shared" si="5"/>
        <v>15</v>
      </c>
      <c r="X38" s="9">
        <f t="shared" si="3"/>
        <v>3.75</v>
      </c>
    </row>
    <row r="39" spans="1:24" x14ac:dyDescent="0.3">
      <c r="A39" s="4" t="str">
        <f>VLOOKUP(G39,Data!$A:$G,2,0)</f>
        <v>Pijush Singha</v>
      </c>
      <c r="B39" s="4" t="str">
        <f>VLOOKUP(G39,Data!$A:$G,3,0)</f>
        <v>Active</v>
      </c>
      <c r="C39" s="4" t="str">
        <f>VLOOKUP(G39,Data!$A:$G,4,0)</f>
        <v>Siliguri</v>
      </c>
      <c r="D39" s="4" t="str">
        <f>VLOOKUP(G39,Data!$A:$G,5,0)</f>
        <v>Nabagram</v>
      </c>
      <c r="E39" s="4" t="str">
        <f>VLOOKUP(G39,Data!$A:$G,6,0)</f>
        <v>Sahabuddin Ahmed</v>
      </c>
      <c r="F39" s="10" t="str">
        <f>VLOOKUP(G39,Data!$A:$G,7,0)</f>
        <v>2410312329</v>
      </c>
      <c r="G39" s="5">
        <v>23270</v>
      </c>
      <c r="H39" s="5" t="str">
        <f>VLOOKUP(G39,'FI txn'!$G:$X,18,0)</f>
        <v>&gt; 150</v>
      </c>
      <c r="I39" s="7">
        <f>VLOOKUP(G39,'FI txn'!$G:$H,2,0)</f>
        <v>6</v>
      </c>
      <c r="J39" s="7">
        <f t="shared" si="4"/>
        <v>144</v>
      </c>
      <c r="K39" s="8">
        <v>1</v>
      </c>
      <c r="L39" s="8">
        <v>4</v>
      </c>
      <c r="M39" s="8">
        <v>6</v>
      </c>
      <c r="N39" s="8">
        <v>8</v>
      </c>
      <c r="O39" s="8">
        <v>6</v>
      </c>
      <c r="P39" s="8">
        <v>1</v>
      </c>
      <c r="Q39" s="8"/>
      <c r="R39" s="8"/>
      <c r="S39" s="8"/>
      <c r="T39" s="8"/>
      <c r="U39" s="8"/>
      <c r="V39" s="8"/>
      <c r="W39" s="8">
        <f t="shared" si="5"/>
        <v>26</v>
      </c>
      <c r="X39" s="9">
        <f t="shared" si="3"/>
        <v>4.333333333333333</v>
      </c>
    </row>
    <row r="40" spans="1:24" x14ac:dyDescent="0.3">
      <c r="A40" s="4" t="str">
        <f>VLOOKUP(G40,Data!$A:$G,2,0)</f>
        <v>Avi Sk</v>
      </c>
      <c r="B40" s="4" t="str">
        <f>VLOOKUP(G40,Data!$A:$G,3,0)</f>
        <v>Active</v>
      </c>
      <c r="C40" s="4" t="str">
        <f>VLOOKUP(G40,Data!$A:$G,4,0)</f>
        <v>Siliguri</v>
      </c>
      <c r="D40" s="4" t="str">
        <f>VLOOKUP(G40,Data!$A:$G,5,0)</f>
        <v>Kanupur</v>
      </c>
      <c r="E40" s="4" t="str">
        <f>VLOOKUP(G40,Data!$A:$G,6,0)</f>
        <v>Shobhan Majhi</v>
      </c>
      <c r="F40" s="10" t="str">
        <f>VLOOKUP(G40,Data!$A:$G,7,0)</f>
        <v>2410311257</v>
      </c>
      <c r="G40" s="5">
        <v>21926</v>
      </c>
      <c r="H40" s="5" t="str">
        <f>VLOOKUP(G40,'FI txn'!$G:$X,18,0)</f>
        <v>&gt; 150</v>
      </c>
      <c r="I40" s="7">
        <f>VLOOKUP(G40,'FI txn'!$G:$H,2,0)</f>
        <v>6</v>
      </c>
      <c r="J40" s="7">
        <f t="shared" si="4"/>
        <v>144</v>
      </c>
      <c r="K40" s="8"/>
      <c r="L40" s="8">
        <v>3</v>
      </c>
      <c r="M40" s="8">
        <v>9</v>
      </c>
      <c r="N40" s="8">
        <v>2</v>
      </c>
      <c r="O40" s="8">
        <v>6</v>
      </c>
      <c r="P40" s="8"/>
      <c r="Q40" s="8"/>
      <c r="R40" s="8"/>
      <c r="S40" s="8"/>
      <c r="T40" s="8"/>
      <c r="U40" s="8"/>
      <c r="V40" s="8"/>
      <c r="W40" s="8">
        <f t="shared" si="5"/>
        <v>20</v>
      </c>
      <c r="X40" s="9">
        <f t="shared" si="3"/>
        <v>3.3333333333333335</v>
      </c>
    </row>
    <row r="41" spans="1:24" x14ac:dyDescent="0.3">
      <c r="A41" s="4" t="str">
        <f>VLOOKUP(G41,Data!$A:$G,2,0)</f>
        <v>Under Office (W Medinipur)</v>
      </c>
      <c r="B41" s="4" t="str">
        <f>VLOOKUP(G41,Data!$A:$G,3,0)</f>
        <v>Active</v>
      </c>
      <c r="C41" s="4" t="str">
        <f>VLOOKUP(G41,Data!$A:$G,4,0)</f>
        <v>Hooghly</v>
      </c>
      <c r="D41" s="4" t="str">
        <f>VLOOKUP(G41,Data!$A:$G,5,0)</f>
        <v>Jara</v>
      </c>
      <c r="E41" s="4" t="str">
        <f>VLOOKUP(G41,Data!$A:$G,6,0)</f>
        <v>Priyanka Biswas</v>
      </c>
      <c r="F41" s="10" t="str">
        <f>VLOOKUP(G41,Data!$A:$G,7,0)</f>
        <v>2390311424</v>
      </c>
      <c r="G41" s="5">
        <v>22130</v>
      </c>
      <c r="H41" s="5" t="str">
        <f>VLOOKUP(G41,'FI txn'!$G:$X,18,0)</f>
        <v>&gt; 300</v>
      </c>
      <c r="I41" s="7">
        <f>VLOOKUP(G41,'FI txn'!$G:$H,2,0)</f>
        <v>6</v>
      </c>
      <c r="J41" s="7">
        <f t="shared" si="4"/>
        <v>144</v>
      </c>
      <c r="K41" s="8">
        <v>1</v>
      </c>
      <c r="L41" s="8">
        <v>1</v>
      </c>
      <c r="M41" s="8">
        <v>4</v>
      </c>
      <c r="N41" s="8">
        <v>5</v>
      </c>
      <c r="O41" s="8">
        <v>5</v>
      </c>
      <c r="P41" s="8">
        <v>2</v>
      </c>
      <c r="Q41" s="8"/>
      <c r="R41" s="8"/>
      <c r="S41" s="8"/>
      <c r="T41" s="8"/>
      <c r="U41" s="8"/>
      <c r="V41" s="8"/>
      <c r="W41" s="8">
        <f t="shared" si="5"/>
        <v>18</v>
      </c>
      <c r="X41" s="9">
        <f t="shared" si="3"/>
        <v>3</v>
      </c>
    </row>
    <row r="42" spans="1:24" x14ac:dyDescent="0.3">
      <c r="A42" s="4" t="str">
        <f>VLOOKUP(G42,Data!$A:$G,2,0)</f>
        <v>Sunil Biswas</v>
      </c>
      <c r="B42" s="4" t="str">
        <f>VLOOKUP(G42,Data!$A:$G,3,0)</f>
        <v>Active</v>
      </c>
      <c r="C42" s="4" t="str">
        <f>VLOOKUP(G42,Data!$A:$G,4,0)</f>
        <v>Durgapur</v>
      </c>
      <c r="D42" s="4" t="str">
        <f>VLOOKUP(G42,Data!$A:$G,5,0)</f>
        <v>Hidaypur</v>
      </c>
      <c r="E42" s="4" t="str">
        <f>VLOOKUP(G42,Data!$A:$G,6,0)</f>
        <v>Akramul Shaikh</v>
      </c>
      <c r="F42" s="10" t="str">
        <f>VLOOKUP(G42,Data!$A:$G,7,0)</f>
        <v>2430315571</v>
      </c>
      <c r="G42" s="5">
        <v>28485</v>
      </c>
      <c r="H42" s="5" t="str">
        <f>VLOOKUP(G42,'FI txn'!$G:$X,18,0)</f>
        <v>&gt; 150</v>
      </c>
      <c r="I42" s="7">
        <f>VLOOKUP(G42,'FI txn'!$G:$H,2,0)</f>
        <v>6</v>
      </c>
      <c r="J42" s="7">
        <f t="shared" si="4"/>
        <v>144</v>
      </c>
      <c r="K42" s="8">
        <v>3</v>
      </c>
      <c r="L42" s="8">
        <v>25</v>
      </c>
      <c r="M42" s="8">
        <v>9</v>
      </c>
      <c r="N42" s="8">
        <v>17</v>
      </c>
      <c r="O42" s="8">
        <v>5</v>
      </c>
      <c r="P42" s="8"/>
      <c r="Q42" s="8"/>
      <c r="R42" s="8"/>
      <c r="S42" s="8"/>
      <c r="T42" s="8"/>
      <c r="U42" s="8"/>
      <c r="V42" s="8"/>
      <c r="W42" s="8">
        <f t="shared" si="5"/>
        <v>59</v>
      </c>
      <c r="X42" s="9">
        <f t="shared" si="3"/>
        <v>9.8333333333333339</v>
      </c>
    </row>
    <row r="43" spans="1:24" x14ac:dyDescent="0.3">
      <c r="A43" s="4" t="str">
        <f>VLOOKUP(G43,Data!$A:$G,2,0)</f>
        <v>Souvik Maity</v>
      </c>
      <c r="B43" s="4" t="str">
        <f>VLOOKUP(G43,Data!$A:$G,3,0)</f>
        <v>Active</v>
      </c>
      <c r="C43" s="4" t="str">
        <f>VLOOKUP(G43,Data!$A:$G,4,0)</f>
        <v>Hooghly</v>
      </c>
      <c r="D43" s="4" t="str">
        <f>VLOOKUP(G43,Data!$A:$G,5,0)</f>
        <v>Khanakul</v>
      </c>
      <c r="E43" s="4" t="str">
        <f>VLOOKUP(G43,Data!$A:$G,6,0)</f>
        <v>Sahanaj Parvin</v>
      </c>
      <c r="F43" s="10" t="str">
        <f>VLOOKUP(G43,Data!$A:$G,7,0)</f>
        <v>3390312801</v>
      </c>
      <c r="G43" s="5">
        <v>23969</v>
      </c>
      <c r="H43" s="5" t="str">
        <f>VLOOKUP(G43,'FI txn'!$G:$X,18,0)</f>
        <v>&gt; 450</v>
      </c>
      <c r="I43" s="7">
        <f>VLOOKUP(G43,'FI txn'!$G:$H,2,0)</f>
        <v>6</v>
      </c>
      <c r="J43" s="7">
        <f t="shared" si="4"/>
        <v>144</v>
      </c>
      <c r="K43" s="8">
        <v>2</v>
      </c>
      <c r="L43" s="8">
        <v>3</v>
      </c>
      <c r="M43" s="8"/>
      <c r="N43" s="8">
        <v>12</v>
      </c>
      <c r="O43" s="8">
        <v>5</v>
      </c>
      <c r="P43" s="8"/>
      <c r="Q43" s="8"/>
      <c r="R43" s="8"/>
      <c r="S43" s="8"/>
      <c r="T43" s="8"/>
      <c r="U43" s="8"/>
      <c r="V43" s="8"/>
      <c r="W43" s="8">
        <f t="shared" si="5"/>
        <v>22</v>
      </c>
      <c r="X43" s="9">
        <f t="shared" si="3"/>
        <v>3.6666666666666665</v>
      </c>
    </row>
    <row r="44" spans="1:24" x14ac:dyDescent="0.3">
      <c r="A44" s="4" t="str">
        <f>VLOOKUP(G44,Data!$A:$G,2,0)</f>
        <v>Souvik Maity</v>
      </c>
      <c r="B44" s="4" t="str">
        <f>VLOOKUP(G44,Data!$A:$G,3,0)</f>
        <v>Active</v>
      </c>
      <c r="C44" s="4" t="str">
        <f>VLOOKUP(G44,Data!$A:$G,4,0)</f>
        <v>Hooghly</v>
      </c>
      <c r="D44" s="4" t="str">
        <f>VLOOKUP(G44,Data!$A:$G,5,0)</f>
        <v>Dasghara</v>
      </c>
      <c r="E44" s="4" t="str">
        <f>VLOOKUP(G44,Data!$A:$G,6,0)</f>
        <v>Sabir Amed</v>
      </c>
      <c r="F44" s="10" t="str">
        <f>VLOOKUP(G44,Data!$A:$G,7,0)</f>
        <v>3390312282</v>
      </c>
      <c r="G44" s="5">
        <v>23214</v>
      </c>
      <c r="H44" s="5" t="str">
        <f>VLOOKUP(G44,'FI txn'!$G:$X,18,0)</f>
        <v>&lt; 150</v>
      </c>
      <c r="I44" s="7">
        <f>VLOOKUP(G44,'FI txn'!$G:$H,2,0)</f>
        <v>6</v>
      </c>
      <c r="J44" s="7">
        <f t="shared" si="4"/>
        <v>144</v>
      </c>
      <c r="K44" s="8">
        <v>2</v>
      </c>
      <c r="L44" s="8">
        <v>2</v>
      </c>
      <c r="M44" s="8">
        <v>1</v>
      </c>
      <c r="N44" s="8">
        <v>4</v>
      </c>
      <c r="O44" s="8">
        <v>5</v>
      </c>
      <c r="P44" s="8"/>
      <c r="Q44" s="8"/>
      <c r="R44" s="8"/>
      <c r="S44" s="8"/>
      <c r="T44" s="8"/>
      <c r="U44" s="8"/>
      <c r="V44" s="8"/>
      <c r="W44" s="8">
        <f t="shared" si="5"/>
        <v>14</v>
      </c>
      <c r="X44" s="9">
        <f t="shared" si="3"/>
        <v>2.3333333333333335</v>
      </c>
    </row>
    <row r="45" spans="1:24" x14ac:dyDescent="0.3">
      <c r="A45" s="4" t="str">
        <f>VLOOKUP(G45,Data!$A:$G,2,0)</f>
        <v>Avi Sk</v>
      </c>
      <c r="B45" s="4" t="str">
        <f>VLOOKUP(G45,Data!$A:$G,3,0)</f>
        <v>Active</v>
      </c>
      <c r="C45" s="4" t="str">
        <f>VLOOKUP(G45,Data!$A:$G,4,0)</f>
        <v>Siliguri</v>
      </c>
      <c r="D45" s="4" t="str">
        <f>VLOOKUP(G45,Data!$A:$G,5,0)</f>
        <v>Talgachi</v>
      </c>
      <c r="E45" s="4" t="str">
        <f>VLOOKUP(G45,Data!$A:$G,6,0)</f>
        <v>Giridhari Sarkar</v>
      </c>
      <c r="F45" s="10" t="str">
        <f>VLOOKUP(G45,Data!$A:$G,7,0)</f>
        <v>2410310083</v>
      </c>
      <c r="G45" s="5">
        <v>20509</v>
      </c>
      <c r="H45" s="5" t="str">
        <f>VLOOKUP(G45,'FI txn'!$G:$X,18,0)</f>
        <v>&gt; 600</v>
      </c>
      <c r="I45" s="7">
        <f>VLOOKUP(G45,'FI txn'!$G:$H,2,0)</f>
        <v>6</v>
      </c>
      <c r="J45" s="7">
        <f t="shared" si="4"/>
        <v>144</v>
      </c>
      <c r="K45" s="8">
        <v>2</v>
      </c>
      <c r="L45" s="8">
        <v>6</v>
      </c>
      <c r="M45" s="8">
        <v>4</v>
      </c>
      <c r="N45" s="8">
        <v>14</v>
      </c>
      <c r="O45" s="8">
        <v>4</v>
      </c>
      <c r="P45" s="8">
        <v>8</v>
      </c>
      <c r="Q45" s="8"/>
      <c r="R45" s="8"/>
      <c r="S45" s="8"/>
      <c r="T45" s="8"/>
      <c r="U45" s="8"/>
      <c r="V45" s="8"/>
      <c r="W45" s="8">
        <f t="shared" si="5"/>
        <v>38</v>
      </c>
      <c r="X45" s="9">
        <f t="shared" si="3"/>
        <v>6.333333333333333</v>
      </c>
    </row>
    <row r="46" spans="1:24" x14ac:dyDescent="0.3">
      <c r="A46" s="4" t="str">
        <f>VLOOKUP(G46,Data!$A:$G,2,0)</f>
        <v>Under Office (W Medinipur)</v>
      </c>
      <c r="B46" s="4" t="str">
        <f>VLOOKUP(G46,Data!$A:$G,3,0)</f>
        <v>Active</v>
      </c>
      <c r="C46" s="4" t="str">
        <f>VLOOKUP(G46,Data!$A:$G,4,0)</f>
        <v>Hooghly</v>
      </c>
      <c r="D46" s="4" t="str">
        <f>VLOOKUP(G46,Data!$A:$G,5,0)</f>
        <v>Ramjibanpur</v>
      </c>
      <c r="E46" s="4" t="str">
        <f>VLOOKUP(G46,Data!$A:$G,6,0)</f>
        <v>Abhijit Modak</v>
      </c>
      <c r="F46" s="10" t="str">
        <f>VLOOKUP(G46,Data!$A:$G,7,0)</f>
        <v>3390311425</v>
      </c>
      <c r="G46" s="5">
        <v>22131</v>
      </c>
      <c r="H46" s="5" t="str">
        <f>VLOOKUP(G46,'FI txn'!$G:$X,18,0)</f>
        <v>&gt; 1500</v>
      </c>
      <c r="I46" s="7">
        <f>VLOOKUP(G46,'FI txn'!$G:$H,2,0)</f>
        <v>6</v>
      </c>
      <c r="J46" s="7">
        <f t="shared" si="4"/>
        <v>144</v>
      </c>
      <c r="K46" s="8">
        <v>4</v>
      </c>
      <c r="L46" s="8">
        <v>20</v>
      </c>
      <c r="M46" s="8">
        <v>5</v>
      </c>
      <c r="N46" s="8">
        <v>10</v>
      </c>
      <c r="O46" s="8">
        <v>4</v>
      </c>
      <c r="P46" s="8">
        <v>1</v>
      </c>
      <c r="Q46" s="8"/>
      <c r="R46" s="8"/>
      <c r="S46" s="8"/>
      <c r="T46" s="8"/>
      <c r="U46" s="8"/>
      <c r="V46" s="8"/>
      <c r="W46" s="8">
        <f t="shared" si="5"/>
        <v>44</v>
      </c>
      <c r="X46" s="9">
        <f t="shared" si="3"/>
        <v>7.333333333333333</v>
      </c>
    </row>
    <row r="47" spans="1:24" x14ac:dyDescent="0.3">
      <c r="A47" s="4" t="str">
        <f>VLOOKUP(G47,Data!$A:$G,2,0)</f>
        <v>Souvik Maity</v>
      </c>
      <c r="B47" s="4" t="str">
        <f>VLOOKUP(G47,Data!$A:$G,3,0)</f>
        <v>Active</v>
      </c>
      <c r="C47" s="4" t="str">
        <f>VLOOKUP(G47,Data!$A:$G,4,0)</f>
        <v>Hooghly</v>
      </c>
      <c r="D47" s="4" t="str">
        <f>VLOOKUP(G47,Data!$A:$G,5,0)</f>
        <v>Dhanyaghori</v>
      </c>
      <c r="E47" s="4" t="str">
        <f>VLOOKUP(G47,Data!$A:$G,6,0)</f>
        <v>Pratik Chakraborty</v>
      </c>
      <c r="F47" s="10" t="str">
        <f>VLOOKUP(G47,Data!$A:$G,7,0)</f>
        <v>3390311946</v>
      </c>
      <c r="G47" s="5">
        <v>22773</v>
      </c>
      <c r="H47" s="5" t="str">
        <f>VLOOKUP(G47,'FI txn'!$G:$X,18,0)</f>
        <v>&gt; 450</v>
      </c>
      <c r="I47" s="7">
        <f>VLOOKUP(G47,'FI txn'!$G:$H,2,0)</f>
        <v>6</v>
      </c>
      <c r="J47" s="7">
        <f t="shared" si="4"/>
        <v>144</v>
      </c>
      <c r="K47" s="8">
        <v>4</v>
      </c>
      <c r="L47" s="8">
        <v>6</v>
      </c>
      <c r="M47" s="8">
        <v>10</v>
      </c>
      <c r="N47" s="8">
        <v>9</v>
      </c>
      <c r="O47" s="8">
        <v>4</v>
      </c>
      <c r="P47" s="8">
        <v>1</v>
      </c>
      <c r="Q47" s="8"/>
      <c r="R47" s="8"/>
      <c r="S47" s="8"/>
      <c r="T47" s="8"/>
      <c r="U47" s="8"/>
      <c r="V47" s="8"/>
      <c r="W47" s="8">
        <f t="shared" si="5"/>
        <v>34</v>
      </c>
      <c r="X47" s="9">
        <f t="shared" si="3"/>
        <v>5.666666666666667</v>
      </c>
    </row>
    <row r="48" spans="1:24" x14ac:dyDescent="0.3">
      <c r="A48" s="4" t="str">
        <f>VLOOKUP(G48,Data!$A:$G,2,0)</f>
        <v>Souvik Maity</v>
      </c>
      <c r="B48" s="4" t="str">
        <f>VLOOKUP(G48,Data!$A:$G,3,0)</f>
        <v>Active</v>
      </c>
      <c r="C48" s="4" t="str">
        <f>VLOOKUP(G48,Data!$A:$G,4,0)</f>
        <v>Hooghly</v>
      </c>
      <c r="D48" s="4" t="str">
        <f>VLOOKUP(G48,Data!$A:$G,5,0)</f>
        <v>Rajbalhat</v>
      </c>
      <c r="E48" s="4" t="str">
        <f>VLOOKUP(G48,Data!$A:$G,6,0)</f>
        <v>Dibyendu Bhowmick</v>
      </c>
      <c r="F48" s="10" t="str">
        <f>VLOOKUP(G48,Data!$A:$G,7,0)</f>
        <v>3390314186</v>
      </c>
      <c r="G48" s="5">
        <v>26015</v>
      </c>
      <c r="H48" s="5" t="str">
        <f>VLOOKUP(G48,'FI txn'!$G:$X,18,0)</f>
        <v>&gt; 450</v>
      </c>
      <c r="I48" s="7">
        <f>VLOOKUP(G48,'FI txn'!$G:$H,2,0)</f>
        <v>6</v>
      </c>
      <c r="J48" s="7">
        <f t="shared" si="4"/>
        <v>144</v>
      </c>
      <c r="K48" s="8">
        <v>5</v>
      </c>
      <c r="L48" s="8">
        <v>11</v>
      </c>
      <c r="M48" s="8">
        <v>25</v>
      </c>
      <c r="N48" s="8">
        <v>11</v>
      </c>
      <c r="O48" s="8">
        <v>4</v>
      </c>
      <c r="P48" s="8"/>
      <c r="Q48" s="8"/>
      <c r="R48" s="8"/>
      <c r="S48" s="8"/>
      <c r="T48" s="8"/>
      <c r="U48" s="8"/>
      <c r="V48" s="8"/>
      <c r="W48" s="8">
        <f t="shared" si="5"/>
        <v>56</v>
      </c>
      <c r="X48" s="9">
        <f t="shared" si="3"/>
        <v>9.3333333333333339</v>
      </c>
    </row>
    <row r="49" spans="1:24" x14ac:dyDescent="0.3">
      <c r="A49" s="4" t="str">
        <f>VLOOKUP(G49,Data!$A:$G,2,0)</f>
        <v>Rajiul Momin</v>
      </c>
      <c r="B49" s="4" t="str">
        <f>VLOOKUP(G49,Data!$A:$G,3,0)</f>
        <v>Active</v>
      </c>
      <c r="C49" s="4" t="str">
        <f>VLOOKUP(G49,Data!$A:$G,4,0)</f>
        <v>Siliguri</v>
      </c>
      <c r="D49" s="4" t="str">
        <f>VLOOKUP(G49,Data!$A:$G,5,0)</f>
        <v>Inyathpur</v>
      </c>
      <c r="E49" s="4" t="str">
        <f>VLOOKUP(G49,Data!$A:$G,6,0)</f>
        <v>Tumpa Poddar</v>
      </c>
      <c r="F49" s="10" t="str">
        <f>VLOOKUP(G49,Data!$A:$G,7,0)</f>
        <v>2370312246</v>
      </c>
      <c r="G49" s="5">
        <v>23178</v>
      </c>
      <c r="H49" s="5" t="str">
        <f>VLOOKUP(G49,'FI txn'!$G:$X,18,0)</f>
        <v>&gt; 450</v>
      </c>
      <c r="I49" s="7">
        <f>VLOOKUP(G49,'FI txn'!$G:$H,2,0)</f>
        <v>6</v>
      </c>
      <c r="J49" s="7">
        <f t="shared" si="4"/>
        <v>144</v>
      </c>
      <c r="K49" s="8">
        <v>8</v>
      </c>
      <c r="L49" s="8">
        <v>8</v>
      </c>
      <c r="M49" s="8">
        <v>8</v>
      </c>
      <c r="N49" s="8">
        <v>16</v>
      </c>
      <c r="O49" s="8">
        <v>3</v>
      </c>
      <c r="P49" s="8">
        <v>4</v>
      </c>
      <c r="Q49" s="8"/>
      <c r="R49" s="8"/>
      <c r="S49" s="8"/>
      <c r="T49" s="8"/>
      <c r="U49" s="8"/>
      <c r="V49" s="8"/>
      <c r="W49" s="8">
        <f t="shared" si="5"/>
        <v>47</v>
      </c>
      <c r="X49" s="9">
        <f t="shared" si="3"/>
        <v>7.833333333333333</v>
      </c>
    </row>
    <row r="50" spans="1:24" x14ac:dyDescent="0.3">
      <c r="A50" s="4" t="str">
        <f>VLOOKUP(G50,Data!$A:$G,2,0)</f>
        <v>Rajiul Momin</v>
      </c>
      <c r="B50" s="4" t="str">
        <f>VLOOKUP(G50,Data!$A:$G,3,0)</f>
        <v>Active</v>
      </c>
      <c r="C50" s="4" t="str">
        <f>VLOOKUP(G50,Data!$A:$G,4,0)</f>
        <v>Siliguri</v>
      </c>
      <c r="D50" s="4" t="str">
        <f>VLOOKUP(G50,Data!$A:$G,5,0)</f>
        <v>Kaluari</v>
      </c>
      <c r="E50" s="4" t="str">
        <f>VLOOKUP(G50,Data!$A:$G,6,0)</f>
        <v>Masidur Rahaman</v>
      </c>
      <c r="F50" s="10" t="str">
        <f>VLOOKUP(G50,Data!$A:$G,7,0)</f>
        <v>2370310973</v>
      </c>
      <c r="G50" s="5">
        <v>21583</v>
      </c>
      <c r="H50" s="5" t="str">
        <f>VLOOKUP(G50,'FI txn'!$G:$X,18,0)</f>
        <v>&gt; 900</v>
      </c>
      <c r="I50" s="7">
        <f>VLOOKUP(G50,'FI txn'!$G:$H,2,0)</f>
        <v>6</v>
      </c>
      <c r="J50" s="7">
        <f t="shared" si="4"/>
        <v>144</v>
      </c>
      <c r="K50" s="8"/>
      <c r="L50" s="8">
        <v>14</v>
      </c>
      <c r="M50" s="8">
        <v>13</v>
      </c>
      <c r="N50" s="8">
        <v>10</v>
      </c>
      <c r="O50" s="8">
        <v>3</v>
      </c>
      <c r="P50" s="8">
        <v>4</v>
      </c>
      <c r="Q50" s="8"/>
      <c r="R50" s="8"/>
      <c r="S50" s="8"/>
      <c r="T50" s="8"/>
      <c r="U50" s="8"/>
      <c r="V50" s="8"/>
      <c r="W50" s="8">
        <f t="shared" si="5"/>
        <v>44</v>
      </c>
      <c r="X50" s="9">
        <f t="shared" si="3"/>
        <v>7.333333333333333</v>
      </c>
    </row>
    <row r="51" spans="1:24" x14ac:dyDescent="0.3">
      <c r="A51" s="4" t="str">
        <f>VLOOKUP(G51,Data!$A:$G,2,0)</f>
        <v>Souvik Maity</v>
      </c>
      <c r="B51" s="4" t="str">
        <f>VLOOKUP(G51,Data!$A:$G,3,0)</f>
        <v>Active</v>
      </c>
      <c r="C51" s="4" t="str">
        <f>VLOOKUP(G51,Data!$A:$G,4,0)</f>
        <v>Hooghly</v>
      </c>
      <c r="D51" s="4" t="str">
        <f>VLOOKUP(G51,Data!$A:$G,5,0)</f>
        <v>Kamarpara</v>
      </c>
      <c r="E51" s="4" t="str">
        <f>VLOOKUP(G51,Data!$A:$G,6,0)</f>
        <v>Md Mustakim</v>
      </c>
      <c r="F51" s="10" t="str">
        <f>VLOOKUP(G51,Data!$A:$G,7,0)</f>
        <v>3390312441</v>
      </c>
      <c r="G51" s="5">
        <v>23433</v>
      </c>
      <c r="H51" s="5" t="str">
        <f>VLOOKUP(G51,'FI txn'!$G:$X,18,0)</f>
        <v>&gt; 300</v>
      </c>
      <c r="I51" s="7">
        <f>VLOOKUP(G51,'FI txn'!$G:$H,2,0)</f>
        <v>6</v>
      </c>
      <c r="J51" s="7">
        <f t="shared" si="4"/>
        <v>144</v>
      </c>
      <c r="K51" s="8">
        <v>6</v>
      </c>
      <c r="L51" s="8">
        <v>12</v>
      </c>
      <c r="M51" s="8">
        <v>15</v>
      </c>
      <c r="N51" s="8">
        <v>10</v>
      </c>
      <c r="O51" s="8">
        <v>3</v>
      </c>
      <c r="P51" s="8">
        <v>1</v>
      </c>
      <c r="Q51" s="8"/>
      <c r="R51" s="8"/>
      <c r="S51" s="8"/>
      <c r="T51" s="8"/>
      <c r="U51" s="8"/>
      <c r="V51" s="8"/>
      <c r="W51" s="8">
        <f t="shared" si="5"/>
        <v>47</v>
      </c>
      <c r="X51" s="9">
        <f t="shared" si="3"/>
        <v>7.833333333333333</v>
      </c>
    </row>
    <row r="52" spans="1:24" x14ac:dyDescent="0.3">
      <c r="A52" s="4" t="str">
        <f>VLOOKUP(G52,Data!$A:$G,2,0)</f>
        <v>Under Office (Birbhum)</v>
      </c>
      <c r="B52" s="4" t="str">
        <f>VLOOKUP(G52,Data!$A:$G,3,0)</f>
        <v>Active</v>
      </c>
      <c r="C52" s="4" t="str">
        <f>VLOOKUP(G52,Data!$A:$G,4,0)</f>
        <v>Siliguri</v>
      </c>
      <c r="D52" s="4" t="str">
        <f>VLOOKUP(G52,Data!$A:$G,5,0)</f>
        <v>Mangaldihi</v>
      </c>
      <c r="E52" s="4" t="str">
        <f>VLOOKUP(G52,Data!$A:$G,6,0)</f>
        <v>Ruma Bagdi</v>
      </c>
      <c r="F52" s="10" t="str">
        <f>VLOOKUP(G52,Data!$A:$G,7,0)</f>
        <v>0140311670</v>
      </c>
      <c r="G52" s="5">
        <v>27028</v>
      </c>
      <c r="H52" s="5" t="str">
        <f>VLOOKUP(G52,'FI txn'!$G:$X,18,0)</f>
        <v>&gt; 450</v>
      </c>
      <c r="I52" s="7">
        <f>VLOOKUP(G52,'FI txn'!$G:$H,2,0)</f>
        <v>6</v>
      </c>
      <c r="J52" s="7">
        <f t="shared" si="4"/>
        <v>144</v>
      </c>
      <c r="K52" s="8">
        <v>2</v>
      </c>
      <c r="L52" s="8">
        <v>2</v>
      </c>
      <c r="M52" s="8">
        <v>2</v>
      </c>
      <c r="N52" s="8">
        <v>3</v>
      </c>
      <c r="O52" s="8">
        <v>3</v>
      </c>
      <c r="P52" s="8">
        <v>1</v>
      </c>
      <c r="Q52" s="8"/>
      <c r="R52" s="8"/>
      <c r="S52" s="8"/>
      <c r="T52" s="8"/>
      <c r="U52" s="8"/>
      <c r="V52" s="8"/>
      <c r="W52" s="8">
        <f t="shared" si="5"/>
        <v>13</v>
      </c>
      <c r="X52" s="9">
        <f t="shared" si="3"/>
        <v>2.1666666666666665</v>
      </c>
    </row>
    <row r="53" spans="1:24" x14ac:dyDescent="0.3">
      <c r="A53" s="4" t="str">
        <f>VLOOKUP(G53,Data!$A:$G,2,0)</f>
        <v>Under Office (W Medinipur)</v>
      </c>
      <c r="B53" s="4" t="str">
        <f>VLOOKUP(G53,Data!$A:$G,3,0)</f>
        <v>Active</v>
      </c>
      <c r="C53" s="4" t="str">
        <f>VLOOKUP(G53,Data!$A:$G,4,0)</f>
        <v>Hooghly</v>
      </c>
      <c r="D53" s="4" t="str">
        <f>VLOOKUP(G53,Data!$A:$G,5,0)</f>
        <v>Kankabati</v>
      </c>
      <c r="E53" s="4" t="str">
        <f>VLOOKUP(G53,Data!$A:$G,6,0)</f>
        <v>Mita Samanta</v>
      </c>
      <c r="F53" s="10" t="str">
        <f>VLOOKUP(G53,Data!$A:$G,7,0)</f>
        <v>2390311663</v>
      </c>
      <c r="G53" s="5">
        <v>22401</v>
      </c>
      <c r="H53" s="5" t="str">
        <f>VLOOKUP(G53,'FI txn'!$G:$X,18,0)</f>
        <v>&lt; 150</v>
      </c>
      <c r="I53" s="7">
        <f>VLOOKUP(G53,'FI txn'!$G:$H,2,0)</f>
        <v>6</v>
      </c>
      <c r="J53" s="7">
        <f t="shared" si="4"/>
        <v>144</v>
      </c>
      <c r="K53" s="8"/>
      <c r="L53" s="8">
        <v>67</v>
      </c>
      <c r="M53" s="8">
        <v>8</v>
      </c>
      <c r="N53" s="8"/>
      <c r="O53" s="8">
        <v>3</v>
      </c>
      <c r="P53" s="8"/>
      <c r="Q53" s="8"/>
      <c r="R53" s="8"/>
      <c r="S53" s="8"/>
      <c r="T53" s="8"/>
      <c r="U53" s="8"/>
      <c r="V53" s="8"/>
      <c r="W53" s="8">
        <f t="shared" si="5"/>
        <v>78</v>
      </c>
      <c r="X53" s="9">
        <f t="shared" si="3"/>
        <v>13</v>
      </c>
    </row>
    <row r="54" spans="1:24" x14ac:dyDescent="0.3">
      <c r="A54" s="4" t="str">
        <f>VLOOKUP(G54,Data!$A:$G,2,0)</f>
        <v>Under Office (Birbhum)</v>
      </c>
      <c r="B54" s="4" t="str">
        <f>VLOOKUP(G54,Data!$A:$G,3,0)</f>
        <v>Active</v>
      </c>
      <c r="C54" s="4" t="str">
        <f>VLOOKUP(G54,Data!$A:$G,4,0)</f>
        <v>Siliguri</v>
      </c>
      <c r="D54" s="4" t="str">
        <f>VLOOKUP(G54,Data!$A:$G,5,0)</f>
        <v>Jajigram</v>
      </c>
      <c r="E54" s="4" t="str">
        <f>VLOOKUP(G54,Data!$A:$G,6,0)</f>
        <v>Mosaraf Sk</v>
      </c>
      <c r="F54" s="10" t="str">
        <f>VLOOKUP(G54,Data!$A:$G,7,0)</f>
        <v>0140311323</v>
      </c>
      <c r="G54" s="5">
        <v>21998</v>
      </c>
      <c r="H54" s="5" t="str">
        <f>VLOOKUP(G54,'FI txn'!$G:$X,18,0)</f>
        <v>&gt; 900</v>
      </c>
      <c r="I54" s="7">
        <f>VLOOKUP(G54,'FI txn'!$G:$H,2,0)</f>
        <v>6</v>
      </c>
      <c r="J54" s="7">
        <f t="shared" si="4"/>
        <v>144</v>
      </c>
      <c r="K54" s="8">
        <v>2</v>
      </c>
      <c r="L54" s="8">
        <v>1</v>
      </c>
      <c r="M54" s="8">
        <v>10</v>
      </c>
      <c r="N54" s="8">
        <v>11</v>
      </c>
      <c r="O54" s="8">
        <v>3</v>
      </c>
      <c r="P54" s="8">
        <v>1</v>
      </c>
      <c r="Q54" s="8"/>
      <c r="R54" s="8"/>
      <c r="S54" s="8"/>
      <c r="T54" s="8"/>
      <c r="U54" s="8"/>
      <c r="V54" s="8"/>
      <c r="W54" s="8">
        <f t="shared" si="5"/>
        <v>28</v>
      </c>
      <c r="X54" s="9">
        <f t="shared" si="3"/>
        <v>4.666666666666667</v>
      </c>
    </row>
    <row r="55" spans="1:24" x14ac:dyDescent="0.3">
      <c r="A55" s="4" t="str">
        <f>VLOOKUP(G55,Data!$A:$G,2,0)</f>
        <v>Souvik Maity</v>
      </c>
      <c r="B55" s="4" t="str">
        <f>VLOOKUP(G55,Data!$A:$G,3,0)</f>
        <v>Active</v>
      </c>
      <c r="C55" s="4" t="str">
        <f>VLOOKUP(G55,Data!$A:$G,4,0)</f>
        <v>Hooghly</v>
      </c>
      <c r="D55" s="4" t="str">
        <f>VLOOKUP(G55,Data!$A:$G,5,0)</f>
        <v>Khanakul</v>
      </c>
      <c r="E55" s="4" t="str">
        <f>VLOOKUP(G55,Data!$A:$G,6,0)</f>
        <v>Susobhan Patra</v>
      </c>
      <c r="F55" s="10" t="str">
        <f>VLOOKUP(G55,Data!$A:$G,7,0)</f>
        <v>3390312968</v>
      </c>
      <c r="G55" s="5">
        <v>24153</v>
      </c>
      <c r="H55" s="5" t="str">
        <f>VLOOKUP(G55,'FI txn'!$G:$X,18,0)</f>
        <v>&gt; 450</v>
      </c>
      <c r="I55" s="7">
        <f>VLOOKUP(G55,'FI txn'!$G:$H,2,0)</f>
        <v>6</v>
      </c>
      <c r="J55" s="7">
        <f t="shared" si="4"/>
        <v>144</v>
      </c>
      <c r="K55" s="8">
        <v>3</v>
      </c>
      <c r="L55" s="8">
        <v>12</v>
      </c>
      <c r="M55" s="8">
        <v>4</v>
      </c>
      <c r="N55" s="8">
        <v>4</v>
      </c>
      <c r="O55" s="8">
        <v>3</v>
      </c>
      <c r="P55" s="8"/>
      <c r="Q55" s="8"/>
      <c r="R55" s="8"/>
      <c r="S55" s="8"/>
      <c r="T55" s="8"/>
      <c r="U55" s="8"/>
      <c r="V55" s="8"/>
      <c r="W55" s="8">
        <f t="shared" si="5"/>
        <v>26</v>
      </c>
      <c r="X55" s="9">
        <f t="shared" si="3"/>
        <v>4.333333333333333</v>
      </c>
    </row>
    <row r="56" spans="1:24" x14ac:dyDescent="0.3">
      <c r="A56" s="4" t="str">
        <f>VLOOKUP(G56,Data!$A:$G,2,0)</f>
        <v>Souvik Maity</v>
      </c>
      <c r="B56" s="4" t="str">
        <f>VLOOKUP(G56,Data!$A:$G,3,0)</f>
        <v>Active</v>
      </c>
      <c r="C56" s="4" t="str">
        <f>VLOOKUP(G56,Data!$A:$G,4,0)</f>
        <v>Hooghly</v>
      </c>
      <c r="D56" s="4" t="str">
        <f>VLOOKUP(G56,Data!$A:$G,5,0)</f>
        <v>Haripal</v>
      </c>
      <c r="E56" s="4" t="str">
        <f>VLOOKUP(G56,Data!$A:$G,6,0)</f>
        <v>Sk Nasim Ali</v>
      </c>
      <c r="F56" s="10" t="str">
        <f>VLOOKUP(G56,Data!$A:$G,7,0)</f>
        <v>3390312613</v>
      </c>
      <c r="G56" s="5">
        <v>23669</v>
      </c>
      <c r="H56" s="5" t="str">
        <f>VLOOKUP(G56,'FI txn'!$G:$X,18,0)</f>
        <v>&gt; 450</v>
      </c>
      <c r="I56" s="7">
        <f>VLOOKUP(G56,'FI txn'!$G:$H,2,0)</f>
        <v>6</v>
      </c>
      <c r="J56" s="7">
        <f t="shared" si="4"/>
        <v>144</v>
      </c>
      <c r="K56" s="8">
        <v>3</v>
      </c>
      <c r="L56" s="8">
        <v>11</v>
      </c>
      <c r="M56" s="8">
        <v>5</v>
      </c>
      <c r="N56" s="8">
        <v>2</v>
      </c>
      <c r="O56" s="8">
        <v>3</v>
      </c>
      <c r="P56" s="8"/>
      <c r="Q56" s="8"/>
      <c r="R56" s="8"/>
      <c r="S56" s="8"/>
      <c r="T56" s="8"/>
      <c r="U56" s="8"/>
      <c r="V56" s="8"/>
      <c r="W56" s="8">
        <f t="shared" si="5"/>
        <v>24</v>
      </c>
      <c r="X56" s="9">
        <f t="shared" si="3"/>
        <v>4</v>
      </c>
    </row>
    <row r="57" spans="1:24" x14ac:dyDescent="0.3">
      <c r="A57" s="4" t="str">
        <f>VLOOKUP(G57,Data!$A:$G,2,0)</f>
        <v>Souvik Maity</v>
      </c>
      <c r="B57" s="4" t="str">
        <f>VLOOKUP(G57,Data!$A:$G,3,0)</f>
        <v>Active</v>
      </c>
      <c r="C57" s="4" t="str">
        <f>VLOOKUP(G57,Data!$A:$G,4,0)</f>
        <v>Hooghly</v>
      </c>
      <c r="D57" s="4" t="str">
        <f>VLOOKUP(G57,Data!$A:$G,5,0)</f>
        <v>Polba</v>
      </c>
      <c r="E57" s="4" t="str">
        <f>VLOOKUP(G57,Data!$A:$G,6,0)</f>
        <v>Arindam Sadhukhan</v>
      </c>
      <c r="F57" s="10" t="str">
        <f>VLOOKUP(G57,Data!$A:$G,7,0)</f>
        <v>3390315433</v>
      </c>
      <c r="G57" s="5">
        <v>28201</v>
      </c>
      <c r="H57" s="5" t="str">
        <f>VLOOKUP(G57,'FI txn'!$G:$X,18,0)</f>
        <v>&gt; 150</v>
      </c>
      <c r="I57" s="7">
        <f>VLOOKUP(G57,'FI txn'!$G:$H,2,0)</f>
        <v>6</v>
      </c>
      <c r="J57" s="7">
        <f t="shared" si="4"/>
        <v>144</v>
      </c>
      <c r="K57" s="8">
        <v>4</v>
      </c>
      <c r="L57" s="8">
        <v>3</v>
      </c>
      <c r="M57" s="8">
        <v>9</v>
      </c>
      <c r="N57" s="8">
        <v>3</v>
      </c>
      <c r="O57" s="8">
        <v>3</v>
      </c>
      <c r="P57" s="8">
        <v>1</v>
      </c>
      <c r="Q57" s="8"/>
      <c r="R57" s="8"/>
      <c r="S57" s="8"/>
      <c r="T57" s="8"/>
      <c r="U57" s="8"/>
      <c r="V57" s="8"/>
      <c r="W57" s="8">
        <f t="shared" si="5"/>
        <v>23</v>
      </c>
      <c r="X57" s="9">
        <f t="shared" si="3"/>
        <v>3.8333333333333335</v>
      </c>
    </row>
    <row r="58" spans="1:24" x14ac:dyDescent="0.3">
      <c r="A58" s="4" t="str">
        <f>VLOOKUP(G58,Data!$A:$G,2,0)</f>
        <v>Under Office (W Medinipur)</v>
      </c>
      <c r="B58" s="4" t="str">
        <f>VLOOKUP(G58,Data!$A:$G,3,0)</f>
        <v>Active</v>
      </c>
      <c r="C58" s="4" t="str">
        <f>VLOOKUP(G58,Data!$A:$G,4,0)</f>
        <v>Hooghly</v>
      </c>
      <c r="D58" s="4" t="str">
        <f>VLOOKUP(G58,Data!$A:$G,5,0)</f>
        <v>Chandrakona</v>
      </c>
      <c r="E58" s="4" t="str">
        <f>VLOOKUP(G58,Data!$A:$G,6,0)</f>
        <v>Ananya Maity Bag</v>
      </c>
      <c r="F58" s="10" t="str">
        <f>VLOOKUP(G58,Data!$A:$G,7,0)</f>
        <v>2390313181</v>
      </c>
      <c r="G58" s="5">
        <v>24495</v>
      </c>
      <c r="H58" s="5" t="str">
        <f>VLOOKUP(G58,'FI txn'!$G:$X,18,0)</f>
        <v>&gt; 300</v>
      </c>
      <c r="I58" s="7">
        <f>VLOOKUP(G58,'FI txn'!$G:$H,2,0)</f>
        <v>6</v>
      </c>
      <c r="J58" s="7">
        <f t="shared" si="4"/>
        <v>144</v>
      </c>
      <c r="K58" s="8">
        <v>5</v>
      </c>
      <c r="L58" s="8">
        <v>4</v>
      </c>
      <c r="M58" s="8">
        <v>4</v>
      </c>
      <c r="N58" s="8">
        <v>5</v>
      </c>
      <c r="O58" s="8">
        <v>3</v>
      </c>
      <c r="P58" s="8">
        <v>1</v>
      </c>
      <c r="Q58" s="8"/>
      <c r="R58" s="8"/>
      <c r="S58" s="8"/>
      <c r="T58" s="8"/>
      <c r="U58" s="8"/>
      <c r="V58" s="8"/>
      <c r="W58" s="8">
        <f t="shared" si="5"/>
        <v>22</v>
      </c>
      <c r="X58" s="9">
        <f t="shared" si="3"/>
        <v>3.6666666666666665</v>
      </c>
    </row>
    <row r="59" spans="1:24" x14ac:dyDescent="0.3">
      <c r="A59" s="4" t="str">
        <f>VLOOKUP(G59,Data!$A:$G,2,0)</f>
        <v>Santanu Bera</v>
      </c>
      <c r="B59" s="4" t="str">
        <f>VLOOKUP(G59,Data!$A:$G,3,0)</f>
        <v>Active</v>
      </c>
      <c r="C59" s="4" t="str">
        <f>VLOOKUP(G59,Data!$A:$G,4,0)</f>
        <v>Hooghly</v>
      </c>
      <c r="D59" s="4" t="str">
        <f>VLOOKUP(G59,Data!$A:$G,5,0)</f>
        <v>Kolaghat (Ktpps)</v>
      </c>
      <c r="E59" s="4" t="str">
        <f>VLOOKUP(G59,Data!$A:$G,6,0)</f>
        <v>Sudipta Mandal</v>
      </c>
      <c r="F59" s="10" t="str">
        <f>VLOOKUP(G59,Data!$A:$G,7,0)</f>
        <v>2380315163</v>
      </c>
      <c r="G59" s="5">
        <v>27637</v>
      </c>
      <c r="H59" s="5" t="str">
        <f>VLOOKUP(G59,'FI txn'!$G:$X,18,0)</f>
        <v>&lt; 150</v>
      </c>
      <c r="I59" s="7">
        <f>VLOOKUP(G59,'FI txn'!$G:$H,2,0)</f>
        <v>6</v>
      </c>
      <c r="J59" s="7">
        <f t="shared" si="4"/>
        <v>144</v>
      </c>
      <c r="K59" s="8">
        <v>2</v>
      </c>
      <c r="L59" s="8">
        <v>2</v>
      </c>
      <c r="M59" s="8">
        <v>6</v>
      </c>
      <c r="N59" s="8">
        <v>6</v>
      </c>
      <c r="O59" s="8">
        <v>3</v>
      </c>
      <c r="P59" s="8">
        <v>1</v>
      </c>
      <c r="Q59" s="8"/>
      <c r="R59" s="8"/>
      <c r="S59" s="8"/>
      <c r="T59" s="8"/>
      <c r="U59" s="8"/>
      <c r="V59" s="8"/>
      <c r="W59" s="8">
        <f t="shared" si="5"/>
        <v>20</v>
      </c>
      <c r="X59" s="9">
        <f t="shared" si="3"/>
        <v>3.3333333333333335</v>
      </c>
    </row>
    <row r="60" spans="1:24" x14ac:dyDescent="0.3">
      <c r="A60" s="4" t="str">
        <f>VLOOKUP(G60,Data!$A:$G,2,0)</f>
        <v>Under Office (W Medinipur)</v>
      </c>
      <c r="B60" s="4" t="str">
        <f>VLOOKUP(G60,Data!$A:$G,3,0)</f>
        <v>Active</v>
      </c>
      <c r="C60" s="4" t="str">
        <f>VLOOKUP(G60,Data!$A:$G,4,0)</f>
        <v>Hooghly</v>
      </c>
      <c r="D60" s="4" t="str">
        <f>VLOOKUP(G60,Data!$A:$G,5,0)</f>
        <v>Kharar</v>
      </c>
      <c r="E60" s="4" t="str">
        <f>VLOOKUP(G60,Data!$A:$G,6,0)</f>
        <v>Pinki Ghosh</v>
      </c>
      <c r="F60" s="10" t="str">
        <f>VLOOKUP(G60,Data!$A:$G,7,0)</f>
        <v>2390311944</v>
      </c>
      <c r="G60" s="5">
        <v>29368</v>
      </c>
      <c r="H60" s="5" t="str">
        <f>VLOOKUP(G60,'FI txn'!$G:$X,18,0)</f>
        <v>&gt; 300</v>
      </c>
      <c r="I60" s="7">
        <f>VLOOKUP(G60,'FI txn'!$G:$H,2,0)</f>
        <v>6</v>
      </c>
      <c r="J60" s="7">
        <f t="shared" si="4"/>
        <v>144</v>
      </c>
      <c r="K60" s="8"/>
      <c r="L60" s="8">
        <v>8</v>
      </c>
      <c r="M60" s="8">
        <v>5</v>
      </c>
      <c r="N60" s="8">
        <v>2</v>
      </c>
      <c r="O60" s="8">
        <v>3</v>
      </c>
      <c r="P60" s="8"/>
      <c r="Q60" s="8"/>
      <c r="R60" s="8"/>
      <c r="S60" s="8"/>
      <c r="T60" s="8"/>
      <c r="U60" s="8"/>
      <c r="V60" s="8"/>
      <c r="W60" s="8">
        <f t="shared" si="5"/>
        <v>18</v>
      </c>
      <c r="X60" s="9">
        <f t="shared" si="3"/>
        <v>3</v>
      </c>
    </row>
    <row r="61" spans="1:24" x14ac:dyDescent="0.3">
      <c r="A61" s="4" t="str">
        <f>VLOOKUP(G61,Data!$A:$G,2,0)</f>
        <v>Under Office (W Medinipur)</v>
      </c>
      <c r="B61" s="4" t="str">
        <f>VLOOKUP(G61,Data!$A:$G,3,0)</f>
        <v>Active</v>
      </c>
      <c r="C61" s="4" t="str">
        <f>VLOOKUP(G61,Data!$A:$G,4,0)</f>
        <v>Hooghly</v>
      </c>
      <c r="D61" s="4" t="str">
        <f>VLOOKUP(G61,Data!$A:$G,5,0)</f>
        <v>Banka</v>
      </c>
      <c r="E61" s="4" t="str">
        <f>VLOOKUP(G61,Data!$A:$G,6,0)</f>
        <v>Shampa Mandal</v>
      </c>
      <c r="F61" s="10" t="str">
        <f>VLOOKUP(G61,Data!$A:$G,7,0)</f>
        <v>2390312439</v>
      </c>
      <c r="G61" s="5">
        <v>23431</v>
      </c>
      <c r="H61" s="5" t="str">
        <f>VLOOKUP(G61,'FI txn'!$G:$X,18,0)</f>
        <v>&gt; 150</v>
      </c>
      <c r="I61" s="7">
        <f>VLOOKUP(G61,'FI txn'!$G:$H,2,0)</f>
        <v>6</v>
      </c>
      <c r="J61" s="7">
        <f t="shared" si="4"/>
        <v>144</v>
      </c>
      <c r="K61" s="8">
        <v>1</v>
      </c>
      <c r="L61" s="8">
        <v>2</v>
      </c>
      <c r="M61" s="8">
        <v>1</v>
      </c>
      <c r="N61" s="8">
        <v>4</v>
      </c>
      <c r="O61" s="8">
        <v>3</v>
      </c>
      <c r="P61" s="8">
        <v>1</v>
      </c>
      <c r="Q61" s="8"/>
      <c r="R61" s="8"/>
      <c r="S61" s="8"/>
      <c r="T61" s="8"/>
      <c r="U61" s="8"/>
      <c r="V61" s="8"/>
      <c r="W61" s="8">
        <f t="shared" si="5"/>
        <v>12</v>
      </c>
      <c r="X61" s="9">
        <f t="shared" si="3"/>
        <v>2</v>
      </c>
    </row>
    <row r="62" spans="1:24" x14ac:dyDescent="0.3">
      <c r="A62" s="4" t="str">
        <f>VLOOKUP(G62,Data!$A:$G,2,0)</f>
        <v>Sunil Biswas</v>
      </c>
      <c r="B62" s="4" t="str">
        <f>VLOOKUP(G62,Data!$A:$G,3,0)</f>
        <v>Active</v>
      </c>
      <c r="C62" s="4" t="str">
        <f>VLOOKUP(G62,Data!$A:$G,4,0)</f>
        <v>Durgapur</v>
      </c>
      <c r="D62" s="4" t="str">
        <f>VLOOKUP(G62,Data!$A:$G,5,0)</f>
        <v>Santipur</v>
      </c>
      <c r="E62" s="4" t="str">
        <f>VLOOKUP(G62,Data!$A:$G,6,0)</f>
        <v>Partha Dey</v>
      </c>
      <c r="F62" s="10" t="str">
        <f>VLOOKUP(G62,Data!$A:$G,7,0)</f>
        <v>2430315570</v>
      </c>
      <c r="G62" s="5">
        <v>29089</v>
      </c>
      <c r="H62" s="5" t="str">
        <f>VLOOKUP(G62,'FI txn'!$G:$X,18,0)</f>
        <v>&lt; 150</v>
      </c>
      <c r="I62" s="7">
        <f>VLOOKUP(G62,'FI txn'!$G:$H,2,0)</f>
        <v>6</v>
      </c>
      <c r="J62" s="7">
        <f t="shared" si="4"/>
        <v>144</v>
      </c>
      <c r="K62" s="8"/>
      <c r="L62" s="8">
        <v>7</v>
      </c>
      <c r="M62" s="8">
        <v>4</v>
      </c>
      <c r="N62" s="8">
        <v>6</v>
      </c>
      <c r="O62" s="8">
        <v>2</v>
      </c>
      <c r="P62" s="8">
        <v>1</v>
      </c>
      <c r="Q62" s="8"/>
      <c r="R62" s="8"/>
      <c r="S62" s="8"/>
      <c r="T62" s="8"/>
      <c r="U62" s="8"/>
      <c r="V62" s="8"/>
      <c r="W62" s="8">
        <f t="shared" si="5"/>
        <v>20</v>
      </c>
      <c r="X62" s="9">
        <f t="shared" si="3"/>
        <v>3.3333333333333335</v>
      </c>
    </row>
    <row r="63" spans="1:24" x14ac:dyDescent="0.3">
      <c r="A63" s="4" t="str">
        <f>VLOOKUP(G63,Data!$A:$G,2,0)</f>
        <v>Santanu Bera</v>
      </c>
      <c r="B63" s="4" t="str">
        <f>VLOOKUP(G63,Data!$A:$G,3,0)</f>
        <v>Active</v>
      </c>
      <c r="C63" s="4" t="str">
        <f>VLOOKUP(G63,Data!$A:$G,4,0)</f>
        <v>Hooghly</v>
      </c>
      <c r="D63" s="4" t="str">
        <f>VLOOKUP(G63,Data!$A:$G,5,0)</f>
        <v>Panskura</v>
      </c>
      <c r="E63" s="4" t="str">
        <f>VLOOKUP(G63,Data!$A:$G,6,0)</f>
        <v>Kartik Maity</v>
      </c>
      <c r="F63" s="10" t="str">
        <f>VLOOKUP(G63,Data!$A:$G,7,0)</f>
        <v>2380311666</v>
      </c>
      <c r="G63" s="5">
        <v>22404</v>
      </c>
      <c r="H63" s="5" t="str">
        <f>VLOOKUP(G63,'FI txn'!$G:$X,18,0)</f>
        <v>&gt; 450</v>
      </c>
      <c r="I63" s="7">
        <f>VLOOKUP(G63,'FI txn'!$G:$H,2,0)</f>
        <v>6</v>
      </c>
      <c r="J63" s="7">
        <f t="shared" si="4"/>
        <v>144</v>
      </c>
      <c r="K63" s="8">
        <v>3</v>
      </c>
      <c r="L63" s="8">
        <v>10</v>
      </c>
      <c r="M63" s="8">
        <v>6</v>
      </c>
      <c r="N63" s="8">
        <v>16</v>
      </c>
      <c r="O63" s="8">
        <v>2</v>
      </c>
      <c r="P63" s="8"/>
      <c r="Q63" s="8"/>
      <c r="R63" s="8"/>
      <c r="S63" s="8"/>
      <c r="T63" s="8"/>
      <c r="U63" s="8"/>
      <c r="V63" s="8"/>
      <c r="W63" s="8">
        <f t="shared" si="5"/>
        <v>37</v>
      </c>
      <c r="X63" s="9">
        <f t="shared" si="3"/>
        <v>6.166666666666667</v>
      </c>
    </row>
    <row r="64" spans="1:24" x14ac:dyDescent="0.3">
      <c r="A64" s="4" t="str">
        <f>VLOOKUP(G64,Data!$A:$G,2,0)</f>
        <v>Souvik Maity</v>
      </c>
      <c r="B64" s="4" t="str">
        <f>VLOOKUP(G64,Data!$A:$G,3,0)</f>
        <v>Active</v>
      </c>
      <c r="C64" s="4" t="str">
        <f>VLOOKUP(G64,Data!$A:$G,4,0)</f>
        <v>Hooghly</v>
      </c>
      <c r="D64" s="4" t="str">
        <f>VLOOKUP(G64,Data!$A:$G,5,0)</f>
        <v>Kalipur</v>
      </c>
      <c r="E64" s="4" t="str">
        <f>VLOOKUP(G64,Data!$A:$G,6,0)</f>
        <v>Satyajit Chattopadhyay</v>
      </c>
      <c r="F64" s="10" t="str">
        <f>VLOOKUP(G64,Data!$A:$G,7,0)</f>
        <v>3390311422</v>
      </c>
      <c r="G64" s="5">
        <v>22128</v>
      </c>
      <c r="H64" s="5" t="str">
        <f>VLOOKUP(G64,'FI txn'!$G:$X,18,0)</f>
        <v>&gt; 450</v>
      </c>
      <c r="I64" s="7">
        <f>VLOOKUP(G64,'FI txn'!$G:$H,2,0)</f>
        <v>6</v>
      </c>
      <c r="J64" s="7">
        <f t="shared" si="4"/>
        <v>144</v>
      </c>
      <c r="K64" s="8">
        <v>3</v>
      </c>
      <c r="L64" s="8">
        <v>20</v>
      </c>
      <c r="M64" s="8">
        <v>6</v>
      </c>
      <c r="N64" s="8"/>
      <c r="O64" s="8">
        <v>2</v>
      </c>
      <c r="P64" s="8"/>
      <c r="Q64" s="8"/>
      <c r="R64" s="8"/>
      <c r="S64" s="8"/>
      <c r="T64" s="8"/>
      <c r="U64" s="8"/>
      <c r="V64" s="8"/>
      <c r="W64" s="8">
        <f t="shared" si="5"/>
        <v>31</v>
      </c>
      <c r="X64" s="9">
        <f t="shared" si="3"/>
        <v>5.166666666666667</v>
      </c>
    </row>
    <row r="65" spans="1:24" x14ac:dyDescent="0.3">
      <c r="A65" s="4" t="str">
        <f>VLOOKUP(G65,Data!$A:$G,2,0)</f>
        <v>Under Office (W Medinipur)</v>
      </c>
      <c r="B65" s="4" t="str">
        <f>VLOOKUP(G65,Data!$A:$G,3,0)</f>
        <v>Active</v>
      </c>
      <c r="C65" s="4" t="str">
        <f>VLOOKUP(G65,Data!$A:$G,4,0)</f>
        <v>Hooghly</v>
      </c>
      <c r="D65" s="4" t="str">
        <f>VLOOKUP(G65,Data!$A:$G,5,0)</f>
        <v>Khirpai</v>
      </c>
      <c r="E65" s="4" t="str">
        <f>VLOOKUP(G65,Data!$A:$G,6,0)</f>
        <v>Reshma Khatun</v>
      </c>
      <c r="F65" s="10" t="str">
        <f>VLOOKUP(G65,Data!$A:$G,7,0)</f>
        <v>2390314453</v>
      </c>
      <c r="G65" s="5">
        <v>26501</v>
      </c>
      <c r="H65" s="5" t="str">
        <f>VLOOKUP(G65,'FI txn'!$G:$X,18,0)</f>
        <v>&gt; 450</v>
      </c>
      <c r="I65" s="7">
        <f>VLOOKUP(G65,'FI txn'!$G:$H,2,0)</f>
        <v>6</v>
      </c>
      <c r="J65" s="7">
        <f t="shared" si="4"/>
        <v>144</v>
      </c>
      <c r="K65" s="8">
        <v>6</v>
      </c>
      <c r="L65" s="8">
        <v>7</v>
      </c>
      <c r="M65" s="8">
        <v>6</v>
      </c>
      <c r="N65" s="8">
        <v>8</v>
      </c>
      <c r="O65" s="8">
        <v>2</v>
      </c>
      <c r="P65" s="8"/>
      <c r="Q65" s="8"/>
      <c r="R65" s="8"/>
      <c r="S65" s="8"/>
      <c r="T65" s="8"/>
      <c r="U65" s="8"/>
      <c r="V65" s="8"/>
      <c r="W65" s="8">
        <f t="shared" si="5"/>
        <v>29</v>
      </c>
      <c r="X65" s="9">
        <f t="shared" ref="X65:X96" si="6">W65/I65</f>
        <v>4.833333333333333</v>
      </c>
    </row>
    <row r="66" spans="1:24" x14ac:dyDescent="0.3">
      <c r="A66" s="4" t="str">
        <f>VLOOKUP(G66,Data!$A:$G,2,0)</f>
        <v>Under Office (W Medinipur)</v>
      </c>
      <c r="B66" s="4" t="str">
        <f>VLOOKUP(G66,Data!$A:$G,3,0)</f>
        <v>Active</v>
      </c>
      <c r="C66" s="4" t="str">
        <f>VLOOKUP(G66,Data!$A:$G,4,0)</f>
        <v>Hooghly</v>
      </c>
      <c r="D66" s="4" t="str">
        <f>VLOOKUP(G66,Data!$A:$G,5,0)</f>
        <v>Ramjibanpur</v>
      </c>
      <c r="E66" s="4" t="str">
        <f>VLOOKUP(G66,Data!$A:$G,6,0)</f>
        <v xml:space="preserve">Mahadeb Das </v>
      </c>
      <c r="F66" s="10" t="str">
        <f>VLOOKUP(G66,Data!$A:$G,7,0)</f>
        <v>3390315155</v>
      </c>
      <c r="G66" s="5">
        <v>27629</v>
      </c>
      <c r="H66" s="5" t="str">
        <f>VLOOKUP(G66,'FI txn'!$G:$X,18,0)</f>
        <v>&gt; 300</v>
      </c>
      <c r="I66" s="7">
        <f>VLOOKUP(G66,'FI txn'!$G:$H,2,0)</f>
        <v>6</v>
      </c>
      <c r="J66" s="7">
        <f t="shared" ref="J66:J97" si="7">I66*24</f>
        <v>144</v>
      </c>
      <c r="K66" s="8">
        <v>6</v>
      </c>
      <c r="L66" s="8">
        <v>7</v>
      </c>
      <c r="M66" s="8">
        <v>9</v>
      </c>
      <c r="N66" s="8">
        <v>2</v>
      </c>
      <c r="O66" s="8">
        <v>2</v>
      </c>
      <c r="P66" s="8"/>
      <c r="Q66" s="8"/>
      <c r="R66" s="8"/>
      <c r="S66" s="8"/>
      <c r="T66" s="8"/>
      <c r="U66" s="8"/>
      <c r="V66" s="8"/>
      <c r="W66" s="8">
        <f t="shared" ref="W66:W97" si="8">SUM(K66:V66)</f>
        <v>26</v>
      </c>
      <c r="X66" s="9">
        <f t="shared" si="6"/>
        <v>4.333333333333333</v>
      </c>
    </row>
    <row r="67" spans="1:24" x14ac:dyDescent="0.3">
      <c r="A67" s="4" t="str">
        <f>VLOOKUP(G67,Data!$A:$G,2,0)</f>
        <v>Chandi Charan Mahato</v>
      </c>
      <c r="B67" s="4" t="str">
        <f>VLOOKUP(G67,Data!$A:$G,3,0)</f>
        <v>Inactive</v>
      </c>
      <c r="C67" s="4" t="str">
        <f>VLOOKUP(G67,Data!$A:$G,4,0)</f>
        <v>Durgapur</v>
      </c>
      <c r="D67" s="4" t="str">
        <f>VLOOKUP(G67,Data!$A:$G,5,0)</f>
        <v>Patrasayer</v>
      </c>
      <c r="E67" s="4" t="str">
        <f>VLOOKUP(G67,Data!$A:$G,6,0)</f>
        <v>Bula Karmakar</v>
      </c>
      <c r="F67" s="10" t="str">
        <f>VLOOKUP(G67,Data!$A:$G,7,0)</f>
        <v>2160315824</v>
      </c>
      <c r="G67" s="5">
        <v>29069</v>
      </c>
      <c r="H67" s="5" t="str">
        <f>VLOOKUP(G67,'FI txn'!$G:$X,18,0)</f>
        <v>&lt; 150</v>
      </c>
      <c r="I67" s="7">
        <f>VLOOKUP(G67,'FI txn'!$G:$H,2,0)</f>
        <v>5</v>
      </c>
      <c r="J67" s="7">
        <f t="shared" si="7"/>
        <v>120</v>
      </c>
      <c r="K67" s="8">
        <v>1</v>
      </c>
      <c r="L67" s="8">
        <v>4</v>
      </c>
      <c r="M67" s="8">
        <v>9</v>
      </c>
      <c r="N67" s="8"/>
      <c r="O67" s="8">
        <v>2</v>
      </c>
      <c r="P67" s="8"/>
      <c r="Q67" s="8"/>
      <c r="R67" s="8"/>
      <c r="S67" s="8"/>
      <c r="T67" s="8"/>
      <c r="U67" s="8"/>
      <c r="V67" s="8"/>
      <c r="W67" s="8">
        <f t="shared" si="8"/>
        <v>16</v>
      </c>
      <c r="X67" s="9">
        <f t="shared" si="6"/>
        <v>3.2</v>
      </c>
    </row>
    <row r="68" spans="1:24" x14ac:dyDescent="0.3">
      <c r="A68" s="4" t="str">
        <f>VLOOKUP(G68,Data!$A:$G,2,0)</f>
        <v>Under Office (Birbhum)</v>
      </c>
      <c r="B68" s="4" t="str">
        <f>VLOOKUP(G68,Data!$A:$G,3,0)</f>
        <v>Active</v>
      </c>
      <c r="C68" s="4" t="str">
        <f>VLOOKUP(G68,Data!$A:$G,4,0)</f>
        <v>Siliguri</v>
      </c>
      <c r="D68" s="4" t="str">
        <f>VLOOKUP(G68,Data!$A:$G,5,0)</f>
        <v>Dharampur</v>
      </c>
      <c r="E68" s="4" t="str">
        <f>VLOOKUP(G68,Data!$A:$G,6,0)</f>
        <v>Md Zulfikar Ali</v>
      </c>
      <c r="F68" s="10" t="str">
        <f>VLOOKUP(G68,Data!$A:$G,7,0)</f>
        <v>0140315201</v>
      </c>
      <c r="G68" s="5">
        <v>27792</v>
      </c>
      <c r="H68" s="5" t="str">
        <f>VLOOKUP(G68,'FI txn'!$G:$X,18,0)</f>
        <v>&gt; 300</v>
      </c>
      <c r="I68" s="7">
        <f>VLOOKUP(G68,'FI txn'!$G:$H,2,0)</f>
        <v>6</v>
      </c>
      <c r="J68" s="7">
        <f t="shared" si="7"/>
        <v>144</v>
      </c>
      <c r="K68" s="8"/>
      <c r="L68" s="8"/>
      <c r="M68" s="8"/>
      <c r="N68" s="8">
        <v>1</v>
      </c>
      <c r="O68" s="8">
        <v>2</v>
      </c>
      <c r="P68" s="8"/>
      <c r="Q68" s="8"/>
      <c r="R68" s="8"/>
      <c r="S68" s="8"/>
      <c r="T68" s="8"/>
      <c r="U68" s="8"/>
      <c r="V68" s="8"/>
      <c r="W68" s="8">
        <f t="shared" si="8"/>
        <v>3</v>
      </c>
      <c r="X68" s="9">
        <f t="shared" si="6"/>
        <v>0.5</v>
      </c>
    </row>
    <row r="69" spans="1:24" x14ac:dyDescent="0.3">
      <c r="A69" s="4" t="str">
        <f>VLOOKUP(G69,Data!$A:$G,2,0)</f>
        <v>Manindra Nath Barman</v>
      </c>
      <c r="B69" s="4" t="str">
        <f>VLOOKUP(G69,Data!$A:$G,3,0)</f>
        <v>Inactive</v>
      </c>
      <c r="C69" s="4" t="str">
        <f>VLOOKUP(G69,Data!$A:$G,4,0)</f>
        <v>Siliguri</v>
      </c>
      <c r="D69" s="4" t="str">
        <f>VLOOKUP(G69,Data!$A:$G,5,0)</f>
        <v>Buxa Forest Craja</v>
      </c>
      <c r="E69" s="4" t="str">
        <f>VLOOKUP(G69,Data!$A:$G,6,0)</f>
        <v xml:space="preserve">Md Khalique Ansari </v>
      </c>
      <c r="F69" s="10" t="str">
        <f>VLOOKUP(G69,Data!$A:$G,7,0)</f>
        <v>9490315684</v>
      </c>
      <c r="G69" s="5">
        <v>28825</v>
      </c>
      <c r="H69" s="5" t="str">
        <f>VLOOKUP(G69,'FI txn'!$G:$X,18,0)</f>
        <v>&lt; 150</v>
      </c>
      <c r="I69" s="7">
        <f>VLOOKUP(G69,'FI txn'!$G:$H,2,0)</f>
        <v>5</v>
      </c>
      <c r="J69" s="7">
        <f t="shared" si="7"/>
        <v>120</v>
      </c>
      <c r="K69" s="8"/>
      <c r="L69" s="8"/>
      <c r="M69" s="8"/>
      <c r="N69" s="8"/>
      <c r="O69" s="8">
        <v>2</v>
      </c>
      <c r="P69" s="8"/>
      <c r="Q69" s="8"/>
      <c r="R69" s="8"/>
      <c r="S69" s="8"/>
      <c r="T69" s="8"/>
      <c r="U69" s="8"/>
      <c r="V69" s="8"/>
      <c r="W69" s="8">
        <f t="shared" si="8"/>
        <v>2</v>
      </c>
      <c r="X69" s="9">
        <f t="shared" si="6"/>
        <v>0.4</v>
      </c>
    </row>
    <row r="70" spans="1:24" x14ac:dyDescent="0.3">
      <c r="A70" s="4" t="str">
        <f>VLOOKUP(G70,Data!$A:$G,2,0)</f>
        <v>Sunil Biswas</v>
      </c>
      <c r="B70" s="4" t="str">
        <f>VLOOKUP(G70,Data!$A:$G,3,0)</f>
        <v>Inactive</v>
      </c>
      <c r="C70" s="4" t="str">
        <f>VLOOKUP(G70,Data!$A:$G,4,0)</f>
        <v>Durgapur</v>
      </c>
      <c r="D70" s="4" t="str">
        <f>VLOOKUP(G70,Data!$A:$G,5,0)</f>
        <v>Chakdaha</v>
      </c>
      <c r="E70" s="4" t="str">
        <f>VLOOKUP(G70,Data!$A:$G,6,0)</f>
        <v>Kiran Biswas</v>
      </c>
      <c r="F70" s="10" t="str">
        <f>VLOOKUP(G70,Data!$A:$G,7,0)</f>
        <v>2430315343</v>
      </c>
      <c r="G70" s="5">
        <v>28083</v>
      </c>
      <c r="H70" s="5" t="str">
        <f>VLOOKUP(G70,'FI txn'!$G:$X,18,0)</f>
        <v>&lt; 150</v>
      </c>
      <c r="I70" s="7">
        <f>VLOOKUP(G70,'FI txn'!$G:$H,2,0)</f>
        <v>5</v>
      </c>
      <c r="J70" s="7">
        <f t="shared" si="7"/>
        <v>120</v>
      </c>
      <c r="K70" s="8">
        <v>2</v>
      </c>
      <c r="L70" s="8">
        <v>3</v>
      </c>
      <c r="M70" s="8">
        <v>1</v>
      </c>
      <c r="N70" s="8">
        <v>4</v>
      </c>
      <c r="O70" s="8">
        <v>1</v>
      </c>
      <c r="P70" s="8">
        <v>1</v>
      </c>
      <c r="Q70" s="8"/>
      <c r="R70" s="8"/>
      <c r="S70" s="8"/>
      <c r="T70" s="8"/>
      <c r="U70" s="8"/>
      <c r="V70" s="8"/>
      <c r="W70" s="8">
        <f t="shared" si="8"/>
        <v>12</v>
      </c>
      <c r="X70" s="9">
        <f t="shared" si="6"/>
        <v>2.4</v>
      </c>
    </row>
    <row r="71" spans="1:24" x14ac:dyDescent="0.3">
      <c r="A71" s="4" t="str">
        <f>VLOOKUP(G71,Data!$A:$G,2,0)</f>
        <v>Sunil Biswas</v>
      </c>
      <c r="B71" s="4" t="str">
        <f>VLOOKUP(G71,Data!$A:$G,3,0)</f>
        <v>Active</v>
      </c>
      <c r="C71" s="4" t="str">
        <f>VLOOKUP(G71,Data!$A:$G,4,0)</f>
        <v>Durgapur</v>
      </c>
      <c r="D71" s="4" t="str">
        <f>VLOOKUP(G71,Data!$A:$G,5,0)</f>
        <v>Ranaghat</v>
      </c>
      <c r="E71" s="4" t="str">
        <f>VLOOKUP(G71,Data!$A:$G,6,0)</f>
        <v>Sagari Ghosh</v>
      </c>
      <c r="F71" s="10" t="str">
        <f>VLOOKUP(G71,Data!$A:$G,7,0)</f>
        <v>2430314519</v>
      </c>
      <c r="G71" s="5">
        <v>26595</v>
      </c>
      <c r="H71" s="5" t="str">
        <f>VLOOKUP(G71,'FI txn'!$G:$X,18,0)</f>
        <v>&gt; 300</v>
      </c>
      <c r="I71" s="7">
        <f>VLOOKUP(G71,'FI txn'!$G:$H,2,0)</f>
        <v>6</v>
      </c>
      <c r="J71" s="7">
        <f t="shared" si="7"/>
        <v>144</v>
      </c>
      <c r="K71" s="8">
        <v>6</v>
      </c>
      <c r="L71" s="8">
        <v>9</v>
      </c>
      <c r="M71" s="8">
        <v>5</v>
      </c>
      <c r="N71" s="8">
        <v>3</v>
      </c>
      <c r="O71" s="8">
        <v>1</v>
      </c>
      <c r="P71" s="8"/>
      <c r="Q71" s="8"/>
      <c r="R71" s="8"/>
      <c r="S71" s="8"/>
      <c r="T71" s="8"/>
      <c r="U71" s="8"/>
      <c r="V71" s="8"/>
      <c r="W71" s="8">
        <f t="shared" si="8"/>
        <v>24</v>
      </c>
      <c r="X71" s="9">
        <f t="shared" si="6"/>
        <v>4</v>
      </c>
    </row>
    <row r="72" spans="1:24" x14ac:dyDescent="0.3">
      <c r="A72" s="4" t="str">
        <f>VLOOKUP(G72,Data!$A:$G,2,0)</f>
        <v>Under Office (Birbhum)</v>
      </c>
      <c r="B72" s="4" t="str">
        <f>VLOOKUP(G72,Data!$A:$G,3,0)</f>
        <v>Active</v>
      </c>
      <c r="C72" s="4" t="str">
        <f>VLOOKUP(G72,Data!$A:$G,4,0)</f>
        <v>Siliguri</v>
      </c>
      <c r="D72" s="4" t="str">
        <f>VLOOKUP(G72,Data!$A:$G,5,0)</f>
        <v>Parsundi</v>
      </c>
      <c r="E72" s="4" t="str">
        <f>VLOOKUP(G72,Data!$A:$G,6,0)</f>
        <v>Parimal Das</v>
      </c>
      <c r="F72" s="10" t="str">
        <f>VLOOKUP(G72,Data!$A:$G,7,0)</f>
        <v>0140311628</v>
      </c>
      <c r="G72" s="5">
        <v>22365</v>
      </c>
      <c r="H72" s="5" t="str">
        <f>VLOOKUP(G72,'FI txn'!$G:$X,18,0)</f>
        <v>&gt; 600</v>
      </c>
      <c r="I72" s="7">
        <f>VLOOKUP(G72,'FI txn'!$G:$H,2,0)</f>
        <v>6</v>
      </c>
      <c r="J72" s="7">
        <f t="shared" si="7"/>
        <v>144</v>
      </c>
      <c r="K72" s="8">
        <v>3</v>
      </c>
      <c r="L72" s="8">
        <v>5</v>
      </c>
      <c r="M72" s="8">
        <v>5</v>
      </c>
      <c r="N72" s="8">
        <v>1</v>
      </c>
      <c r="O72" s="8">
        <v>1</v>
      </c>
      <c r="P72" s="8"/>
      <c r="Q72" s="8"/>
      <c r="R72" s="8"/>
      <c r="S72" s="8"/>
      <c r="T72" s="8"/>
      <c r="U72" s="8"/>
      <c r="V72" s="8"/>
      <c r="W72" s="8">
        <f t="shared" si="8"/>
        <v>15</v>
      </c>
      <c r="X72" s="9">
        <f t="shared" si="6"/>
        <v>2.5</v>
      </c>
    </row>
    <row r="73" spans="1:24" x14ac:dyDescent="0.3">
      <c r="A73" s="4" t="str">
        <f>VLOOKUP(G73,Data!$A:$G,2,0)</f>
        <v>Avi Sk</v>
      </c>
      <c r="B73" s="4" t="str">
        <f>VLOOKUP(G73,Data!$A:$G,3,0)</f>
        <v>Active</v>
      </c>
      <c r="C73" s="4" t="str">
        <f>VLOOKUP(G73,Data!$A:$G,4,0)</f>
        <v>Siliguri</v>
      </c>
      <c r="D73" s="4" t="str">
        <f>VLOOKUP(G73,Data!$A:$G,5,0)</f>
        <v>Sagarpara</v>
      </c>
      <c r="E73" s="4" t="str">
        <f>VLOOKUP(G73,Data!$A:$G,6,0)</f>
        <v>Habibur Rahaman</v>
      </c>
      <c r="F73" s="10" t="str">
        <f>VLOOKUP(G73,Data!$A:$G,7,0)</f>
        <v>2410311259</v>
      </c>
      <c r="G73" s="5">
        <v>28860</v>
      </c>
      <c r="H73" s="5" t="str">
        <f>VLOOKUP(G73,'FI txn'!$G:$X,18,0)</f>
        <v>&gt; 150</v>
      </c>
      <c r="I73" s="7">
        <f>VLOOKUP(G73,'FI txn'!$G:$H,2,0)</f>
        <v>6</v>
      </c>
      <c r="J73" s="7">
        <f t="shared" si="7"/>
        <v>144</v>
      </c>
      <c r="K73" s="8">
        <v>2</v>
      </c>
      <c r="L73" s="8"/>
      <c r="M73" s="8">
        <v>6</v>
      </c>
      <c r="N73" s="8">
        <v>5</v>
      </c>
      <c r="O73" s="8">
        <v>1</v>
      </c>
      <c r="P73" s="8"/>
      <c r="Q73" s="8"/>
      <c r="R73" s="8"/>
      <c r="S73" s="8"/>
      <c r="T73" s="8"/>
      <c r="U73" s="8"/>
      <c r="V73" s="8"/>
      <c r="W73" s="8">
        <f t="shared" si="8"/>
        <v>14</v>
      </c>
      <c r="X73" s="9">
        <f t="shared" si="6"/>
        <v>2.3333333333333335</v>
      </c>
    </row>
    <row r="74" spans="1:24" x14ac:dyDescent="0.3">
      <c r="A74" s="4" t="str">
        <f>VLOOKUP(G74,Data!$A:$G,2,0)</f>
        <v>Under Office (W Medinipur)</v>
      </c>
      <c r="B74" s="4" t="str">
        <f>VLOOKUP(G74,Data!$A:$G,3,0)</f>
        <v>Active</v>
      </c>
      <c r="C74" s="4" t="str">
        <f>VLOOKUP(G74,Data!$A:$G,4,0)</f>
        <v>Hooghly</v>
      </c>
      <c r="D74" s="4" t="str">
        <f>VLOOKUP(G74,Data!$A:$G,5,0)</f>
        <v>Bhairabpur</v>
      </c>
      <c r="E74" s="4" t="str">
        <f>VLOOKUP(G74,Data!$A:$G,6,0)</f>
        <v>Srabani Chatterjee</v>
      </c>
      <c r="F74" s="10" t="str">
        <f>VLOOKUP(G74,Data!$A:$G,7,0)</f>
        <v>2390312437</v>
      </c>
      <c r="G74" s="5">
        <v>23429</v>
      </c>
      <c r="H74" s="5" t="str">
        <f>VLOOKUP(G74,'FI txn'!$G:$X,18,0)</f>
        <v>&gt; 600</v>
      </c>
      <c r="I74" s="7">
        <f>VLOOKUP(G74,'FI txn'!$G:$H,2,0)</f>
        <v>6</v>
      </c>
      <c r="J74" s="7">
        <f t="shared" si="7"/>
        <v>144</v>
      </c>
      <c r="K74" s="8"/>
      <c r="L74" s="8">
        <v>2</v>
      </c>
      <c r="M74" s="8">
        <v>1</v>
      </c>
      <c r="N74" s="8">
        <v>2</v>
      </c>
      <c r="O74" s="8">
        <v>1</v>
      </c>
      <c r="P74" s="8"/>
      <c r="Q74" s="8"/>
      <c r="R74" s="8"/>
      <c r="S74" s="8"/>
      <c r="T74" s="8"/>
      <c r="U74" s="8"/>
      <c r="V74" s="8"/>
      <c r="W74" s="8">
        <f t="shared" si="8"/>
        <v>6</v>
      </c>
      <c r="X74" s="9">
        <f t="shared" si="6"/>
        <v>1</v>
      </c>
    </row>
    <row r="75" spans="1:24" x14ac:dyDescent="0.3">
      <c r="A75" s="4" t="str">
        <f>VLOOKUP(G75,Data!$A:$G,2,0)</f>
        <v>Souvik Maity</v>
      </c>
      <c r="B75" s="4" t="str">
        <f>VLOOKUP(G75,Data!$A:$G,3,0)</f>
        <v>Active</v>
      </c>
      <c r="C75" s="4" t="str">
        <f>VLOOKUP(G75,Data!$A:$G,4,0)</f>
        <v>Hooghly</v>
      </c>
      <c r="D75" s="4" t="str">
        <f>VLOOKUP(G75,Data!$A:$G,5,0)</f>
        <v>Kamarpara</v>
      </c>
      <c r="E75" s="4" t="str">
        <f>VLOOKUP(G75,Data!$A:$G,6,0)</f>
        <v>Mithu Ghosh</v>
      </c>
      <c r="F75" s="10" t="str">
        <f>VLOOKUP(G75,Data!$A:$G,7,0)</f>
        <v>3390312440</v>
      </c>
      <c r="G75" s="5">
        <v>23432</v>
      </c>
      <c r="H75" s="5" t="str">
        <f>VLOOKUP(G75,'FI txn'!$G:$X,18,0)</f>
        <v>&gt; 450</v>
      </c>
      <c r="I75" s="7">
        <f>VLOOKUP(G75,'FI txn'!$G:$H,2,0)</f>
        <v>6</v>
      </c>
      <c r="J75" s="7">
        <f t="shared" si="7"/>
        <v>144</v>
      </c>
      <c r="K75" s="8">
        <v>1</v>
      </c>
      <c r="L75" s="8"/>
      <c r="M75" s="8">
        <v>2</v>
      </c>
      <c r="N75" s="8"/>
      <c r="O75" s="8">
        <v>1</v>
      </c>
      <c r="P75" s="8"/>
      <c r="Q75" s="8"/>
      <c r="R75" s="8"/>
      <c r="S75" s="8"/>
      <c r="T75" s="8"/>
      <c r="U75" s="8"/>
      <c r="V75" s="8"/>
      <c r="W75" s="8">
        <f t="shared" si="8"/>
        <v>4</v>
      </c>
      <c r="X75" s="9">
        <f t="shared" si="6"/>
        <v>0.66666666666666663</v>
      </c>
    </row>
    <row r="76" spans="1:24" x14ac:dyDescent="0.3">
      <c r="A76" s="4" t="str">
        <f>VLOOKUP(G76,Data!$A:$G,2,0)</f>
        <v>Under Office (W Medinipur)</v>
      </c>
      <c r="B76" s="4" t="str">
        <f>VLOOKUP(G76,Data!$A:$G,3,0)</f>
        <v>Active</v>
      </c>
      <c r="C76" s="4" t="str">
        <f>VLOOKUP(G76,Data!$A:$G,4,0)</f>
        <v>Hooghly</v>
      </c>
      <c r="D76" s="4" t="str">
        <f>VLOOKUP(G76,Data!$A:$G,5,0)</f>
        <v>Chandrakona</v>
      </c>
      <c r="E76" s="4" t="str">
        <f>VLOOKUP(G76,Data!$A:$G,6,0)</f>
        <v>Mani Dhara</v>
      </c>
      <c r="F76" s="10" t="str">
        <f>VLOOKUP(G76,Data!$A:$G,7,0)</f>
        <v>2390313180</v>
      </c>
      <c r="G76" s="5">
        <v>24494</v>
      </c>
      <c r="H76" s="5" t="str">
        <f>VLOOKUP(G76,'FI txn'!$G:$X,18,0)</f>
        <v>&gt; 300</v>
      </c>
      <c r="I76" s="7">
        <f>VLOOKUP(G76,'FI txn'!$G:$H,2,0)</f>
        <v>6</v>
      </c>
      <c r="J76" s="7">
        <f t="shared" si="7"/>
        <v>144</v>
      </c>
      <c r="K76" s="8"/>
      <c r="L76" s="8">
        <v>2</v>
      </c>
      <c r="M76" s="8"/>
      <c r="N76" s="8"/>
      <c r="O76" s="8"/>
      <c r="P76" s="8">
        <v>1</v>
      </c>
      <c r="Q76" s="8"/>
      <c r="R76" s="8"/>
      <c r="S76" s="8"/>
      <c r="T76" s="8"/>
      <c r="U76" s="8"/>
      <c r="V76" s="8"/>
      <c r="W76" s="8">
        <f t="shared" si="8"/>
        <v>3</v>
      </c>
      <c r="X76" s="9">
        <f t="shared" si="6"/>
        <v>0.5</v>
      </c>
    </row>
    <row r="77" spans="1:24" x14ac:dyDescent="0.3">
      <c r="A77" s="4" t="str">
        <f>VLOOKUP(G77,Data!$A:$G,2,0)</f>
        <v>Chandi Charan Mahato</v>
      </c>
      <c r="B77" s="4" t="str">
        <f>VLOOKUP(G77,Data!$A:$G,3,0)</f>
        <v>Inactive</v>
      </c>
      <c r="C77" s="4" t="str">
        <f>VLOOKUP(G77,Data!$A:$G,4,0)</f>
        <v>Durgapur</v>
      </c>
      <c r="D77" s="4" t="str">
        <f>VLOOKUP(G77,Data!$A:$G,5,0)</f>
        <v>Patrasayer</v>
      </c>
      <c r="E77" s="4" t="str">
        <f>VLOOKUP(G77,Data!$A:$G,6,0)</f>
        <v xml:space="preserve">Manorama Chakraborty Roy </v>
      </c>
      <c r="F77" s="10" t="str">
        <f>VLOOKUP(G77,Data!$A:$G,7,0)</f>
        <v>2160315496</v>
      </c>
      <c r="G77" s="5">
        <v>28305</v>
      </c>
      <c r="H77" s="5" t="str">
        <f>VLOOKUP(G77,'FI txn'!$G:$X,18,0)</f>
        <v>&lt; 150</v>
      </c>
      <c r="I77" s="7">
        <f>VLOOKUP(G77,'FI txn'!$G:$H,2,0)</f>
        <v>4</v>
      </c>
      <c r="J77" s="7">
        <f t="shared" si="7"/>
        <v>96</v>
      </c>
      <c r="K77" s="8"/>
      <c r="L77" s="8">
        <v>9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>
        <f t="shared" si="8"/>
        <v>9</v>
      </c>
      <c r="X77" s="9">
        <f t="shared" si="6"/>
        <v>2.25</v>
      </c>
    </row>
    <row r="78" spans="1:24" x14ac:dyDescent="0.3">
      <c r="A78" s="4" t="str">
        <f>VLOOKUP(G78,Data!$A:$G,2,0)</f>
        <v>Santanu Bera</v>
      </c>
      <c r="B78" s="4" t="str">
        <f>VLOOKUP(G78,Data!$A:$G,3,0)</f>
        <v>Active</v>
      </c>
      <c r="C78" s="4" t="str">
        <f>VLOOKUP(G78,Data!$A:$G,4,0)</f>
        <v>Hooghly</v>
      </c>
      <c r="D78" s="4" t="str">
        <f>VLOOKUP(G78,Data!$A:$G,5,0)</f>
        <v>Keshapat</v>
      </c>
      <c r="E78" s="4" t="str">
        <f>VLOOKUP(G78,Data!$A:$G,6,0)</f>
        <v>Subhankar Samanta</v>
      </c>
      <c r="F78" s="10" t="str">
        <f>VLOOKUP(G78,Data!$A:$G,7,0)</f>
        <v>2380311664</v>
      </c>
      <c r="G78" s="5">
        <v>22402</v>
      </c>
      <c r="H78" s="5" t="str">
        <f>VLOOKUP(G78,'FI txn'!$G:$X,18,0)</f>
        <v>&lt; 150</v>
      </c>
      <c r="I78" s="7">
        <f>VLOOKUP(G78,'FI txn'!$G:$H,2,0)</f>
        <v>6</v>
      </c>
      <c r="J78" s="7">
        <f t="shared" si="7"/>
        <v>144</v>
      </c>
      <c r="K78" s="8">
        <v>3</v>
      </c>
      <c r="L78" s="8">
        <v>1</v>
      </c>
      <c r="M78" s="8">
        <v>1</v>
      </c>
      <c r="N78" s="8">
        <v>2</v>
      </c>
      <c r="O78" s="8"/>
      <c r="P78" s="8"/>
      <c r="Q78" s="8"/>
      <c r="R78" s="8"/>
      <c r="S78" s="8"/>
      <c r="T78" s="8"/>
      <c r="U78" s="8"/>
      <c r="V78" s="8"/>
      <c r="W78" s="8">
        <f t="shared" si="8"/>
        <v>7</v>
      </c>
      <c r="X78" s="9">
        <f t="shared" si="6"/>
        <v>1.1666666666666667</v>
      </c>
    </row>
    <row r="79" spans="1:24" x14ac:dyDescent="0.3">
      <c r="A79" s="4" t="str">
        <f>VLOOKUP(G79,Data!$A:$G,2,0)</f>
        <v>Santanu Bera</v>
      </c>
      <c r="B79" s="4" t="str">
        <f>VLOOKUP(G79,Data!$A:$G,3,0)</f>
        <v>Active</v>
      </c>
      <c r="C79" s="4" t="str">
        <f>VLOOKUP(G79,Data!$A:$G,4,0)</f>
        <v>Hooghly</v>
      </c>
      <c r="D79" s="4" t="str">
        <f>VLOOKUP(G79,Data!$A:$G,5,0)</f>
        <v>Contai</v>
      </c>
      <c r="E79" s="4" t="str">
        <f>VLOOKUP(G79,Data!$A:$G,6,0)</f>
        <v>Subhankar Sahoo</v>
      </c>
      <c r="F79" s="10" t="str">
        <f>VLOOKUP(G79,Data!$A:$G,7,0)</f>
        <v>2380314983</v>
      </c>
      <c r="G79" s="5">
        <v>27249</v>
      </c>
      <c r="H79" s="5" t="str">
        <f>VLOOKUP(G79,'FI txn'!$G:$X,18,0)</f>
        <v>&lt; 150</v>
      </c>
      <c r="I79" s="7">
        <f>VLOOKUP(G79,'FI txn'!$G:$H,2,0)</f>
        <v>6</v>
      </c>
      <c r="J79" s="7">
        <f t="shared" si="7"/>
        <v>144</v>
      </c>
      <c r="K79" s="8"/>
      <c r="L79" s="8">
        <v>3</v>
      </c>
      <c r="M79" s="8"/>
      <c r="N79" s="8">
        <v>1</v>
      </c>
      <c r="O79" s="8"/>
      <c r="P79" s="8"/>
      <c r="Q79" s="8"/>
      <c r="R79" s="8"/>
      <c r="S79" s="8"/>
      <c r="T79" s="8"/>
      <c r="U79" s="8"/>
      <c r="V79" s="8"/>
      <c r="W79" s="8">
        <f t="shared" si="8"/>
        <v>4</v>
      </c>
      <c r="X79" s="9">
        <f t="shared" si="6"/>
        <v>0.66666666666666663</v>
      </c>
    </row>
    <row r="80" spans="1:24" x14ac:dyDescent="0.3">
      <c r="A80" s="4" t="str">
        <f>VLOOKUP(G80,Data!$A:$G,2,0)</f>
        <v>Sunil Biswas</v>
      </c>
      <c r="B80" s="4" t="str">
        <f>VLOOKUP(G80,Data!$A:$G,3,0)</f>
        <v>Inactive</v>
      </c>
      <c r="C80" s="4" t="str">
        <f>VLOOKUP(G80,Data!$A:$G,4,0)</f>
        <v>Durgapur</v>
      </c>
      <c r="D80" s="4" t="str">
        <f>VLOOKUP(G80,Data!$A:$G,5,0)</f>
        <v>Hridaypur</v>
      </c>
      <c r="E80" s="4" t="str">
        <f>VLOOKUP(G80,Data!$A:$G,6,0)</f>
        <v>Asim Halder</v>
      </c>
      <c r="F80" s="10" t="str">
        <f>VLOOKUP(G80,Data!$A:$G,7,0)</f>
        <v>2430315807</v>
      </c>
      <c r="G80" s="5">
        <v>29052</v>
      </c>
      <c r="H80" s="5" t="str">
        <f>VLOOKUP(G80,'FI txn'!$G:$X,18,0)</f>
        <v>&lt; 150</v>
      </c>
      <c r="I80" s="7">
        <f>VLOOKUP(G80,'FI txn'!$G:$H,2,0)</f>
        <v>3</v>
      </c>
      <c r="J80" s="7">
        <f t="shared" si="7"/>
        <v>72</v>
      </c>
      <c r="K80" s="8">
        <v>2</v>
      </c>
      <c r="L80" s="8">
        <v>2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>
        <f t="shared" si="8"/>
        <v>4</v>
      </c>
      <c r="X80" s="9">
        <f t="shared" si="6"/>
        <v>1.3333333333333333</v>
      </c>
    </row>
    <row r="81" spans="1:24" x14ac:dyDescent="0.3">
      <c r="A81" s="4" t="str">
        <f>VLOOKUP(G81,Data!$A:$G,2,0)</f>
        <v>Santanu Bera</v>
      </c>
      <c r="B81" s="4" t="str">
        <f>VLOOKUP(G81,Data!$A:$G,3,0)</f>
        <v>Active</v>
      </c>
      <c r="C81" s="4" t="str">
        <f>VLOOKUP(G81,Data!$A:$G,4,0)</f>
        <v>Hooghly</v>
      </c>
      <c r="D81" s="4" t="str">
        <f>VLOOKUP(G81,Data!$A:$G,5,0)</f>
        <v>Panskura</v>
      </c>
      <c r="E81" s="4" t="str">
        <f>VLOOKUP(G81,Data!$A:$G,6,0)</f>
        <v>Prasanta Ghorai</v>
      </c>
      <c r="F81" s="10" t="str">
        <f>VLOOKUP(G81,Data!$A:$G,7,0)</f>
        <v>9635383167</v>
      </c>
      <c r="G81" s="5">
        <v>29527</v>
      </c>
      <c r="H81" s="5">
        <f>VLOOKUP(G81,'FI txn'!$G:$X,18,0)</f>
        <v>0</v>
      </c>
      <c r="I81" s="7">
        <f>VLOOKUP(G81,'FI txn'!$G:$H,2,0)</f>
        <v>4</v>
      </c>
      <c r="J81" s="7">
        <f t="shared" si="7"/>
        <v>96</v>
      </c>
      <c r="K81" s="8"/>
      <c r="L81" s="8"/>
      <c r="M81" s="8"/>
      <c r="N81" s="8">
        <v>1</v>
      </c>
      <c r="O81" s="8"/>
      <c r="P81" s="8"/>
      <c r="Q81" s="8"/>
      <c r="R81" s="8"/>
      <c r="S81" s="8"/>
      <c r="T81" s="8"/>
      <c r="U81" s="8"/>
      <c r="V81" s="8"/>
      <c r="W81" s="8">
        <f t="shared" si="8"/>
        <v>1</v>
      </c>
      <c r="X81" s="9">
        <f t="shared" si="6"/>
        <v>0.25</v>
      </c>
    </row>
    <row r="82" spans="1:24" x14ac:dyDescent="0.3">
      <c r="A82" s="4" t="str">
        <f>VLOOKUP(G82,Data!$A:$G,2,0)</f>
        <v>Under Office (W Medinipur)</v>
      </c>
      <c r="B82" s="4" t="str">
        <f>VLOOKUP(G82,Data!$A:$G,3,0)</f>
        <v>Active</v>
      </c>
      <c r="C82" s="4" t="str">
        <f>VLOOKUP(G82,Data!$A:$G,4,0)</f>
        <v>Hooghly</v>
      </c>
      <c r="D82" s="4" t="str">
        <f>VLOOKUP(G82,Data!$A:$G,5,0)</f>
        <v>Banka</v>
      </c>
      <c r="E82" s="4" t="str">
        <f>VLOOKUP(G82,Data!$A:$G,6,0)</f>
        <v>Subhajit Chanda</v>
      </c>
      <c r="F82" s="10" t="str">
        <f>VLOOKUP(G82,Data!$A:$G,7,0)</f>
        <v>2390312543</v>
      </c>
      <c r="G82" s="5">
        <v>23560</v>
      </c>
      <c r="H82" s="5" t="str">
        <f>VLOOKUP(G82,'FI txn'!$G:$X,18,0)</f>
        <v>&gt; 300</v>
      </c>
      <c r="I82" s="7">
        <f>VLOOKUP(G82,'FI txn'!$G:$H,2,0)</f>
        <v>6</v>
      </c>
      <c r="J82" s="7">
        <f t="shared" si="7"/>
        <v>144</v>
      </c>
      <c r="K82" s="8"/>
      <c r="L82" s="8">
        <v>1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>
        <f t="shared" si="8"/>
        <v>1</v>
      </c>
      <c r="X82" s="9">
        <f t="shared" si="6"/>
        <v>0.16666666666666666</v>
      </c>
    </row>
    <row r="83" spans="1:24" x14ac:dyDescent="0.3">
      <c r="A83" s="4" t="str">
        <f>VLOOKUP(G83,Data!$A:$G,2,0)</f>
        <v>Souvik Maity</v>
      </c>
      <c r="B83" s="4" t="str">
        <f>VLOOKUP(G83,Data!$A:$G,3,0)</f>
        <v>Active</v>
      </c>
      <c r="C83" s="4" t="str">
        <f>VLOOKUP(G83,Data!$A:$G,4,0)</f>
        <v>Hooghly</v>
      </c>
      <c r="D83" s="4" t="str">
        <f>VLOOKUP(G83,Data!$A:$G,5,0)</f>
        <v>Saidpur</v>
      </c>
      <c r="E83" s="4" t="str">
        <f>VLOOKUP(G83,Data!$A:$G,6,0)</f>
        <v>Puja Manna</v>
      </c>
      <c r="F83" s="10" t="str">
        <f>VLOOKUP(G83,Data!$A:$G,7,0)</f>
        <v>3390311696</v>
      </c>
      <c r="G83" s="5">
        <v>22453</v>
      </c>
      <c r="H83" s="5" t="str">
        <f>VLOOKUP(G83,'FI txn'!$G:$X,18,0)</f>
        <v>&lt; 150</v>
      </c>
      <c r="I83" s="7">
        <f>VLOOKUP(G83,'FI txn'!$G:$H,2,0)</f>
        <v>6</v>
      </c>
      <c r="J83" s="7">
        <f t="shared" si="7"/>
        <v>144</v>
      </c>
      <c r="K83" s="8"/>
      <c r="L83" s="8">
        <v>1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>
        <f t="shared" si="8"/>
        <v>1</v>
      </c>
      <c r="X83" s="9">
        <f t="shared" si="6"/>
        <v>0.16666666666666666</v>
      </c>
    </row>
    <row r="84" spans="1:24" x14ac:dyDescent="0.3">
      <c r="A84" s="4" t="str">
        <f>VLOOKUP(G84,Data!$A:$G,2,0)</f>
        <v>Sunil Biswas</v>
      </c>
      <c r="B84" s="4" t="str">
        <f>VLOOKUP(G84,Data!$A:$G,3,0)</f>
        <v>Active</v>
      </c>
      <c r="C84" s="4" t="str">
        <f>VLOOKUP(G84,Data!$A:$G,4,0)</f>
        <v>Durgapur</v>
      </c>
      <c r="D84" s="4" t="str">
        <f>VLOOKUP(G84,Data!$A:$G,5,0)</f>
        <v>Ranaghat</v>
      </c>
      <c r="E84" s="4" t="str">
        <f>VLOOKUP(G84,Data!$A:$G,6,0)</f>
        <v>Kishore Bhakta</v>
      </c>
      <c r="F84" s="10" t="str">
        <f>VLOOKUP(G84,Data!$A:$G,7,0)</f>
        <v>2430315568</v>
      </c>
      <c r="G84" s="5">
        <v>28482</v>
      </c>
      <c r="H84" s="5" t="str">
        <f>VLOOKUP(G84,'FI txn'!$G:$X,18,0)</f>
        <v>&lt; 150</v>
      </c>
      <c r="I84" s="7">
        <f>VLOOKUP(G84,'FI txn'!$G:$H,2,0)</f>
        <v>6</v>
      </c>
      <c r="J84" s="7">
        <f t="shared" si="7"/>
        <v>144</v>
      </c>
      <c r="K84" s="8"/>
      <c r="L84" s="8">
        <v>1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>
        <f t="shared" si="8"/>
        <v>1</v>
      </c>
      <c r="X84" s="9">
        <f t="shared" si="6"/>
        <v>0.16666666666666666</v>
      </c>
    </row>
    <row r="85" spans="1:24" x14ac:dyDescent="0.3">
      <c r="A85" s="4" t="str">
        <f>VLOOKUP(G85,Data!$A:$G,2,0)</f>
        <v>Sunil Biswas</v>
      </c>
      <c r="B85" s="4" t="str">
        <f>VLOOKUP(G85,Data!$A:$G,3,0)</f>
        <v>Inactive</v>
      </c>
      <c r="C85" s="4" t="str">
        <f>VLOOKUP(G85,Data!$A:$G,4,0)</f>
        <v>Durgapur</v>
      </c>
      <c r="D85" s="4" t="str">
        <f>VLOOKUP(G85,Data!$A:$G,5,0)</f>
        <v>Hridaypur</v>
      </c>
      <c r="E85" s="4" t="str">
        <f>VLOOKUP(G85,Data!$A:$G,6,0)</f>
        <v>Nitish Mondal</v>
      </c>
      <c r="F85" s="10" t="str">
        <f>VLOOKUP(G85,Data!$A:$G,7,0)</f>
        <v>8942919438</v>
      </c>
      <c r="G85" s="5">
        <v>29524</v>
      </c>
      <c r="H85" s="5" t="str">
        <f>VLOOKUP(G85,'FI txn'!$G:$X,18,0)</f>
        <v>&lt; 150</v>
      </c>
      <c r="I85" s="7">
        <f>VLOOKUP(G85,'FI txn'!$G:$H,2,0)</f>
        <v>1</v>
      </c>
      <c r="J85" s="7">
        <f t="shared" si="7"/>
        <v>24</v>
      </c>
      <c r="K85" s="8"/>
      <c r="L85" s="8"/>
      <c r="M85" s="8"/>
      <c r="N85" s="8">
        <v>1</v>
      </c>
      <c r="O85" s="8"/>
      <c r="P85" s="8"/>
      <c r="Q85" s="8"/>
      <c r="R85" s="8"/>
      <c r="S85" s="8"/>
      <c r="T85" s="8"/>
      <c r="U85" s="8"/>
      <c r="V85" s="8"/>
      <c r="W85" s="8">
        <f t="shared" si="8"/>
        <v>1</v>
      </c>
      <c r="X85" s="9"/>
    </row>
    <row r="86" spans="1:24" x14ac:dyDescent="0.3">
      <c r="A86" s="4" t="str">
        <f>VLOOKUP(G86,Data!$A:$G,2,0)</f>
        <v>Souvik Maity</v>
      </c>
      <c r="B86" s="4" t="str">
        <f>VLOOKUP(G86,Data!$A:$G,3,0)</f>
        <v>Inactive</v>
      </c>
      <c r="C86" s="4" t="str">
        <f>VLOOKUP(G86,Data!$A:$G,4,0)</f>
        <v>Hooghly</v>
      </c>
      <c r="D86" s="4" t="str">
        <f>VLOOKUP(G86,Data!$A:$G,5,0)</f>
        <v>Batanal</v>
      </c>
      <c r="E86" s="4" t="str">
        <f>VLOOKUP(G86,Data!$A:$G,6,0)</f>
        <v>Chaitali Shit Malik</v>
      </c>
      <c r="F86" s="10" t="str">
        <f>VLOOKUP(G86,Data!$A:$G,7,0)</f>
        <v>3390311948</v>
      </c>
      <c r="G86" s="12">
        <v>22775</v>
      </c>
      <c r="H86" s="5" t="str">
        <f>VLOOKUP(G86,'FI txn'!$G:$X,18,0)</f>
        <v>Nill</v>
      </c>
      <c r="I86" s="7">
        <f>VLOOKUP(G86,'FI txn'!$G:$H,2,0)</f>
        <v>1</v>
      </c>
      <c r="J86" s="7">
        <f t="shared" si="7"/>
        <v>24</v>
      </c>
      <c r="K86" s="8"/>
      <c r="L86" s="8">
        <v>1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>
        <f t="shared" si="8"/>
        <v>1</v>
      </c>
      <c r="X86" s="9">
        <f t="shared" ref="X86:X104" si="9">W86/I86</f>
        <v>1</v>
      </c>
    </row>
    <row r="87" spans="1:24" x14ac:dyDescent="0.3">
      <c r="A87" s="4" t="str">
        <f>VLOOKUP(G87,Data!$A:$G,2,0)</f>
        <v>Souvik Maity</v>
      </c>
      <c r="B87" s="4" t="str">
        <f>VLOOKUP(G87,Data!$A:$G,3,0)</f>
        <v>Active</v>
      </c>
      <c r="C87" s="4" t="str">
        <f>VLOOKUP(G87,Data!$A:$G,4,0)</f>
        <v>Hooghly</v>
      </c>
      <c r="D87" s="4" t="str">
        <f>VLOOKUP(G87,Data!$A:$G,5,0)</f>
        <v>Mayapur</v>
      </c>
      <c r="E87" s="4" t="str">
        <f>VLOOKUP(G87,Data!$A:$G,6,0)</f>
        <v>Ruma Rana</v>
      </c>
      <c r="F87" s="10" t="str">
        <f>VLOOKUP(G87,Data!$A:$G,7,0)</f>
        <v>8410316172</v>
      </c>
      <c r="G87" s="5">
        <v>29749</v>
      </c>
      <c r="H87" s="5" t="str">
        <f>VLOOKUP(G87,'FI txn'!$G:$X,18,0)</f>
        <v>&lt; 150</v>
      </c>
      <c r="I87" s="7">
        <f>VLOOKUP(G87,'FI txn'!$G:$H,2,0)</f>
        <v>1</v>
      </c>
      <c r="J87" s="7">
        <f t="shared" si="7"/>
        <v>24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>
        <f t="shared" si="9"/>
        <v>0</v>
      </c>
    </row>
    <row r="88" spans="1:24" x14ac:dyDescent="0.3">
      <c r="A88" s="4" t="str">
        <f>VLOOKUP(G88,Data!$A:$G,2,0)</f>
        <v>Mousumi Sarkar</v>
      </c>
      <c r="B88" s="4" t="str">
        <f>VLOOKUP(G88,Data!$A:$G,3,0)</f>
        <v>Active</v>
      </c>
      <c r="C88" s="4" t="str">
        <f>VLOOKUP(G88,Data!$A:$G,4,0)</f>
        <v>Saltlake</v>
      </c>
      <c r="D88" s="4" t="str">
        <f>VLOOKUP(G88,Data!$A:$G,5,0)</f>
        <v>Hingalganj</v>
      </c>
      <c r="E88" s="4" t="str">
        <f>VLOOKUP(G88,Data!$A:$G,6,0)</f>
        <v>Khairulla Mistri</v>
      </c>
      <c r="F88" s="10" t="str">
        <f>VLOOKUP(G88,Data!$A:$G,7,0)</f>
        <v>8410316210</v>
      </c>
      <c r="G88" s="5">
        <v>29799</v>
      </c>
      <c r="H88" s="5" t="str">
        <f>VLOOKUP(G88,'FI txn'!$G:$X,18,0)</f>
        <v>&lt; 150</v>
      </c>
      <c r="I88" s="7">
        <f>VLOOKUP(G88,'FI txn'!$G:$H,2,0)</f>
        <v>2</v>
      </c>
      <c r="J88" s="7">
        <f t="shared" si="7"/>
        <v>48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>
        <f t="shared" si="9"/>
        <v>0</v>
      </c>
    </row>
    <row r="89" spans="1:24" x14ac:dyDescent="0.3">
      <c r="A89" s="4" t="str">
        <f>VLOOKUP(G89,Data!$A:$G,2,0)</f>
        <v>Manindra Nath Barman</v>
      </c>
      <c r="B89" s="4" t="str">
        <f>VLOOKUP(G89,Data!$A:$G,3,0)</f>
        <v>Active</v>
      </c>
      <c r="C89" s="4" t="str">
        <f>VLOOKUP(G89,Data!$A:$G,4,0)</f>
        <v>Siliguri</v>
      </c>
      <c r="D89" s="4" t="str">
        <f>VLOOKUP(G89,Data!$A:$G,5,0)</f>
        <v>Ethelbari</v>
      </c>
      <c r="E89" s="4" t="str">
        <f>VLOOKUP(G89,Data!$A:$G,6,0)</f>
        <v>Tarif Baxla</v>
      </c>
      <c r="F89" s="10" t="str">
        <f>VLOOKUP(G89,Data!$A:$G,7,0)</f>
        <v>8410316211</v>
      </c>
      <c r="G89" s="5">
        <v>29798</v>
      </c>
      <c r="H89" s="5" t="str">
        <f>VLOOKUP(G89,'FI txn'!$G:$X,18,0)</f>
        <v>&lt; 150</v>
      </c>
      <c r="I89" s="7">
        <f>VLOOKUP(G89,'FI txn'!$G:$H,2,0)</f>
        <v>2</v>
      </c>
      <c r="J89" s="7">
        <f t="shared" si="7"/>
        <v>48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>
        <f t="shared" si="9"/>
        <v>0</v>
      </c>
    </row>
    <row r="90" spans="1:24" x14ac:dyDescent="0.3">
      <c r="A90" s="4" t="str">
        <f>VLOOKUP(G90,Data!$A:$G,2,0)</f>
        <v>Santanu Bera</v>
      </c>
      <c r="B90" s="4" t="str">
        <f>VLOOKUP(G90,Data!$A:$G,3,0)</f>
        <v>Active</v>
      </c>
      <c r="C90" s="4" t="str">
        <f>VLOOKUP(G90,Data!$A:$G,4,0)</f>
        <v>Hooghly</v>
      </c>
      <c r="D90" s="4" t="str">
        <f>VLOOKUP(G90,Data!$A:$G,5,0)</f>
        <v>Tamluk</v>
      </c>
      <c r="E90" s="4" t="str">
        <f>VLOOKUP(G90,Data!$A:$G,6,0)</f>
        <v>Soumen Baichar</v>
      </c>
      <c r="F90" s="10" t="str">
        <f>VLOOKUP(G90,Data!$A:$G,7,0)</f>
        <v>2390314474</v>
      </c>
      <c r="G90" s="5">
        <v>26530</v>
      </c>
      <c r="H90" s="5" t="str">
        <f>VLOOKUP(G90,'FI txn'!$G:$X,18,0)</f>
        <v>&lt; 150</v>
      </c>
      <c r="I90" s="7">
        <f>VLOOKUP(G90,'FI txn'!$G:$H,2,0)</f>
        <v>6</v>
      </c>
      <c r="J90" s="7">
        <f t="shared" si="7"/>
        <v>144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>
        <f t="shared" si="9"/>
        <v>0</v>
      </c>
    </row>
    <row r="91" spans="1:24" x14ac:dyDescent="0.3">
      <c r="A91" s="4" t="str">
        <f>VLOOKUP(G91,Data!$A:$G,2,0)</f>
        <v>Under Office (Birbhum)</v>
      </c>
      <c r="B91" s="4" t="str">
        <f>VLOOKUP(G91,Data!$A:$G,3,0)</f>
        <v>Inactive</v>
      </c>
      <c r="C91" s="4" t="str">
        <f>VLOOKUP(G91,Data!$A:$G,4,0)</f>
        <v>Siliguri</v>
      </c>
      <c r="D91" s="4" t="str">
        <f>VLOOKUP(G91,Data!$A:$G,5,0)</f>
        <v>Lohapur</v>
      </c>
      <c r="E91" s="4" t="str">
        <f>VLOOKUP(G91,Data!$A:$G,6,0)</f>
        <v>Suraj Fulmali</v>
      </c>
      <c r="F91" s="10" t="str">
        <f>VLOOKUP(G91,Data!$A:$G,7,0)</f>
        <v>0140311327</v>
      </c>
      <c r="G91" s="5">
        <v>27437</v>
      </c>
      <c r="H91" s="5" t="str">
        <f>VLOOKUP(G91,'FI txn'!$G:$X,18,0)</f>
        <v>&lt; 150</v>
      </c>
      <c r="I91" s="7">
        <f>VLOOKUP(G91,'FI txn'!$G:$H,2,0)</f>
        <v>2</v>
      </c>
      <c r="J91" s="7">
        <f t="shared" si="7"/>
        <v>48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>
        <f t="shared" si="9"/>
        <v>0</v>
      </c>
    </row>
    <row r="92" spans="1:24" x14ac:dyDescent="0.3">
      <c r="A92" s="4" t="str">
        <f>VLOOKUP(G92,Data!$A:$G,2,0)</f>
        <v>Souvik Maity</v>
      </c>
      <c r="B92" s="4" t="str">
        <f>VLOOKUP(G92,Data!$A:$G,3,0)</f>
        <v>Inactive</v>
      </c>
      <c r="C92" s="4" t="str">
        <f>VLOOKUP(G92,Data!$A:$G,4,0)</f>
        <v>Hooghly</v>
      </c>
      <c r="D92" s="4" t="str">
        <f>VLOOKUP(G92,Data!$A:$G,5,0)</f>
        <v>Mangrul</v>
      </c>
      <c r="E92" s="4" t="str">
        <f>VLOOKUP(G92,Data!$A:$G,6,0)</f>
        <v>Prasenjit Ghosh</v>
      </c>
      <c r="F92" s="10" t="str">
        <f>VLOOKUP(G92,Data!$A:$G,7,0)</f>
        <v>2390311944</v>
      </c>
      <c r="G92" s="5">
        <v>22771</v>
      </c>
      <c r="H92" s="5" t="e">
        <f>VLOOKUP(G92,'FI txn'!$G:$X,18,0)</f>
        <v>#DIV/0!</v>
      </c>
      <c r="I92" s="7">
        <f>VLOOKUP(G92,'FI txn'!$G:$H,2,0)</f>
        <v>0</v>
      </c>
      <c r="J92" s="7">
        <f t="shared" si="7"/>
        <v>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 t="e">
        <f t="shared" si="9"/>
        <v>#DIV/0!</v>
      </c>
    </row>
    <row r="93" spans="1:24" x14ac:dyDescent="0.3">
      <c r="A93" s="4" t="str">
        <f>VLOOKUP(G93,Data!$A:$G,2,0)</f>
        <v>Under Office (Birbhum)</v>
      </c>
      <c r="B93" s="4" t="str">
        <f>VLOOKUP(G93,Data!$A:$G,3,0)</f>
        <v>Inactive</v>
      </c>
      <c r="C93" s="4" t="str">
        <f>VLOOKUP(G93,Data!$A:$G,4,0)</f>
        <v>Siliguri</v>
      </c>
      <c r="D93" s="4" t="str">
        <f>VLOOKUP(G93,Data!$A:$G,5,0)</f>
        <v>Mangaldihi</v>
      </c>
      <c r="E93" s="4" t="str">
        <f>VLOOKUP(G93,Data!$A:$G,6,0)</f>
        <v>Swarup Sadhu</v>
      </c>
      <c r="F93" s="10" t="str">
        <f>VLOOKUP(G93,Data!$A:$G,7,0)</f>
        <v>0140311670</v>
      </c>
      <c r="G93" s="5">
        <v>22424</v>
      </c>
      <c r="H93" s="5" t="e">
        <f>VLOOKUP(G93,'FI txn'!$G:$X,18,0)</f>
        <v>#DIV/0!</v>
      </c>
      <c r="I93" s="7">
        <f>VLOOKUP(G93,'FI txn'!$G:$H,2,0)</f>
        <v>0</v>
      </c>
      <c r="J93" s="7">
        <f t="shared" si="7"/>
        <v>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 t="e">
        <f t="shared" si="9"/>
        <v>#DIV/0!</v>
      </c>
    </row>
    <row r="94" spans="1:24" x14ac:dyDescent="0.3">
      <c r="A94" s="4" t="str">
        <f>VLOOKUP(G94,Data!$A:$G,2,0)</f>
        <v>Sunil Biswas</v>
      </c>
      <c r="B94" s="4" t="str">
        <f>VLOOKUP(G94,Data!$A:$G,3,0)</f>
        <v>Inactive</v>
      </c>
      <c r="C94" s="4" t="str">
        <f>VLOOKUP(G94,Data!$A:$G,4,0)</f>
        <v>Durgapur</v>
      </c>
      <c r="D94" s="4" t="str">
        <f>VLOOKUP(G94,Data!$A:$G,5,0)</f>
        <v>Badkulla</v>
      </c>
      <c r="E94" s="4" t="str">
        <f>VLOOKUP(G94,Data!$A:$G,6,0)</f>
        <v>Amit Sikder</v>
      </c>
      <c r="F94" s="10" t="str">
        <f>VLOOKUP(G94,Data!$A:$G,7,0)</f>
        <v>2430315185</v>
      </c>
      <c r="G94" s="5">
        <v>27731</v>
      </c>
      <c r="H94" s="5" t="str">
        <f>VLOOKUP(G94,'FI txn'!$G:$X,18,0)</f>
        <v>&lt; 150</v>
      </c>
      <c r="I94" s="7">
        <f>VLOOKUP(G94,'FI txn'!$G:$H,2,0)</f>
        <v>2</v>
      </c>
      <c r="J94" s="7">
        <f t="shared" si="7"/>
        <v>48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>
        <f t="shared" si="9"/>
        <v>0</v>
      </c>
    </row>
    <row r="95" spans="1:24" x14ac:dyDescent="0.3">
      <c r="A95" s="4" t="str">
        <f>VLOOKUP(G95,Data!$A:$G,2,0)</f>
        <v>Chandi Charan Mahato</v>
      </c>
      <c r="B95" s="4" t="str">
        <f>VLOOKUP(G95,Data!$A:$G,3,0)</f>
        <v>Inactive</v>
      </c>
      <c r="C95" s="4" t="str">
        <f>VLOOKUP(G95,Data!$A:$G,4,0)</f>
        <v>Durgapur</v>
      </c>
      <c r="D95" s="4" t="str">
        <f>VLOOKUP(G95,Data!$A:$G,5,0)</f>
        <v>Kotulpur</v>
      </c>
      <c r="E95" s="4" t="str">
        <f>VLOOKUP(G95,Data!$A:$G,6,0)</f>
        <v>Sayan Dutta</v>
      </c>
      <c r="F95" s="10" t="str">
        <f>VLOOKUP(G95,Data!$A:$G,7,0)</f>
        <v>2160315608</v>
      </c>
      <c r="G95" s="12">
        <v>28601</v>
      </c>
      <c r="H95" s="5" t="str">
        <f>VLOOKUP(G95,'FI txn'!$G:$X,18,0)</f>
        <v>&lt; 150</v>
      </c>
      <c r="I95" s="7">
        <f>VLOOKUP(G95,'FI txn'!$G:$H,2,0)</f>
        <v>1</v>
      </c>
      <c r="J95" s="7">
        <f t="shared" si="7"/>
        <v>24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>
        <f t="shared" si="9"/>
        <v>0</v>
      </c>
    </row>
    <row r="96" spans="1:24" x14ac:dyDescent="0.3">
      <c r="A96" s="4" t="str">
        <f>VLOOKUP(G96,Data!$A:$G,2,0)</f>
        <v>Santanu Bera</v>
      </c>
      <c r="B96" s="4" t="str">
        <f>VLOOKUP(G96,Data!$A:$G,3,0)</f>
        <v>Inactive</v>
      </c>
      <c r="C96" s="4" t="str">
        <f>VLOOKUP(G96,Data!$A:$G,4,0)</f>
        <v>Hooghly</v>
      </c>
      <c r="D96" s="4" t="str">
        <f>VLOOKUP(G96,Data!$A:$G,5,0)</f>
        <v>Contai</v>
      </c>
      <c r="E96" s="4" t="str">
        <f>VLOOKUP(G96,Data!$A:$G,6,0)</f>
        <v>Sulekha Das</v>
      </c>
      <c r="F96" s="10" t="str">
        <f>VLOOKUP(G96,Data!$A:$G,7,0)</f>
        <v>2380314986</v>
      </c>
      <c r="G96" s="12">
        <v>27252</v>
      </c>
      <c r="H96" s="5" t="str">
        <f>VLOOKUP(G96,'FI txn'!$G:$X,18,0)</f>
        <v>Nill</v>
      </c>
      <c r="I96" s="7">
        <f>VLOOKUP(G96,'FI txn'!$G:$H,2,0)</f>
        <v>0</v>
      </c>
      <c r="J96" s="7">
        <f t="shared" si="7"/>
        <v>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 t="e">
        <f t="shared" si="9"/>
        <v>#DIV/0!</v>
      </c>
    </row>
    <row r="97" spans="1:24" x14ac:dyDescent="0.3">
      <c r="A97" s="4" t="str">
        <f>VLOOKUP(G97,Data!$A:$G,2,0)</f>
        <v>Souvik Maity</v>
      </c>
      <c r="B97" s="4" t="str">
        <f>VLOOKUP(G97,Data!$A:$G,3,0)</f>
        <v>Inactive</v>
      </c>
      <c r="C97" s="4" t="str">
        <f>VLOOKUP(G97,Data!$A:$G,4,0)</f>
        <v>Hooghly</v>
      </c>
      <c r="D97" s="4" t="str">
        <f>VLOOKUP(G97,Data!$A:$G,5,0)</f>
        <v>Mayapur</v>
      </c>
      <c r="E97" s="4" t="str">
        <f>VLOOKUP(G97,Data!$A:$G,6,0)</f>
        <v>Falguni Samanta</v>
      </c>
      <c r="F97" s="10" t="str">
        <f>VLOOKUP(G97,Data!$A:$G,7,0)</f>
        <v>3390311256</v>
      </c>
      <c r="G97" s="12">
        <v>21925</v>
      </c>
      <c r="H97" s="5" t="str">
        <f>VLOOKUP(G97,'FI txn'!$G:$X,18,0)</f>
        <v>Nill</v>
      </c>
      <c r="I97" s="7">
        <f>VLOOKUP(G97,'FI txn'!$G:$H,2,0)</f>
        <v>0</v>
      </c>
      <c r="J97" s="7">
        <f t="shared" si="7"/>
        <v>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 t="e">
        <f t="shared" si="9"/>
        <v>#DIV/0!</v>
      </c>
    </row>
    <row r="98" spans="1:24" x14ac:dyDescent="0.3">
      <c r="A98" s="4" t="str">
        <f>VLOOKUP(G98,Data!$A:$G,2,0)</f>
        <v>Chandi Charan Mahato</v>
      </c>
      <c r="B98" s="4" t="str">
        <f>VLOOKUP(G98,Data!$A:$G,3,0)</f>
        <v>Inactive</v>
      </c>
      <c r="C98" s="4" t="str">
        <f>VLOOKUP(G98,Data!$A:$G,4,0)</f>
        <v>Durgapur</v>
      </c>
      <c r="D98" s="4" t="str">
        <f>VLOOKUP(G98,Data!$A:$G,5,0)</f>
        <v>Layekbandh</v>
      </c>
      <c r="E98" s="4" t="str">
        <f>VLOOKUP(G98,Data!$A:$G,6,0)</f>
        <v>Debasis Dey</v>
      </c>
      <c r="F98" s="10" t="str">
        <f>VLOOKUP(G98,Data!$A:$G,7,0)</f>
        <v>2160315158</v>
      </c>
      <c r="G98" s="12">
        <v>27632</v>
      </c>
      <c r="H98" s="5" t="str">
        <f>VLOOKUP(G98,'FI txn'!$G:$X,18,0)</f>
        <v>Nill</v>
      </c>
      <c r="I98" s="7">
        <f>VLOOKUP(G98,'FI txn'!$G:$H,2,0)</f>
        <v>0</v>
      </c>
      <c r="J98" s="7">
        <f t="shared" ref="J98:J129" si="10">I98*24</f>
        <v>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 t="e">
        <f t="shared" si="9"/>
        <v>#DIV/0!</v>
      </c>
    </row>
    <row r="99" spans="1:24" x14ac:dyDescent="0.3">
      <c r="A99" s="4" t="str">
        <f>VLOOKUP(G99,Data!$A:$G,2,0)</f>
        <v>Manindra Nath Barman</v>
      </c>
      <c r="B99" s="4" t="str">
        <f>VLOOKUP(G99,Data!$A:$G,3,0)</f>
        <v>Inactive</v>
      </c>
      <c r="C99" s="4" t="str">
        <f>VLOOKUP(G99,Data!$A:$G,4,0)</f>
        <v>Siliguri</v>
      </c>
      <c r="D99" s="4" t="str">
        <f>VLOOKUP(G99,Data!$A:$G,5,0)</f>
        <v>Maynaguri</v>
      </c>
      <c r="E99" s="4" t="str">
        <f>VLOOKUP(G99,Data!$A:$G,6,0)</f>
        <v>Biswajit Roy</v>
      </c>
      <c r="F99" s="10" t="str">
        <f>VLOOKUP(G99,Data!$A:$G,7,0)</f>
        <v>2310311260</v>
      </c>
      <c r="G99" s="12">
        <v>21929</v>
      </c>
      <c r="H99" s="5" t="str">
        <f>VLOOKUP(G99,'FI txn'!$G:$X,18,0)</f>
        <v>Nill</v>
      </c>
      <c r="I99" s="7">
        <f>VLOOKUP(G99,'FI txn'!$G:$H,2,0)</f>
        <v>0</v>
      </c>
      <c r="J99" s="7">
        <f t="shared" si="10"/>
        <v>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 t="e">
        <f t="shared" si="9"/>
        <v>#DIV/0!</v>
      </c>
    </row>
    <row r="100" spans="1:24" x14ac:dyDescent="0.3">
      <c r="A100" s="4" t="str">
        <f>VLOOKUP(G100,Data!$A:$G,2,0)</f>
        <v>Santanu Bera</v>
      </c>
      <c r="B100" s="4" t="str">
        <f>VLOOKUP(G100,Data!$A:$G,3,0)</f>
        <v>Inactive</v>
      </c>
      <c r="C100" s="4" t="str">
        <f>VLOOKUP(G100,Data!$A:$G,4,0)</f>
        <v>Hooghly</v>
      </c>
      <c r="D100" s="4" t="str">
        <f>VLOOKUP(G100,Data!$A:$G,5,0)</f>
        <v>Contai</v>
      </c>
      <c r="E100" s="4" t="str">
        <f>VLOOKUP(G100,Data!$A:$G,6,0)</f>
        <v>Narayan Ojha</v>
      </c>
      <c r="F100" s="10" t="str">
        <f>VLOOKUP(G100,Data!$A:$G,7,0)</f>
        <v>2380314459</v>
      </c>
      <c r="G100" s="12">
        <v>26507</v>
      </c>
      <c r="H100" s="5" t="str">
        <f>VLOOKUP(G100,'FI txn'!$G:$X,18,0)</f>
        <v>Nill</v>
      </c>
      <c r="I100" s="7">
        <f>VLOOKUP(G100,'FI txn'!$G:$H,2,0)</f>
        <v>0</v>
      </c>
      <c r="J100" s="7">
        <f t="shared" si="10"/>
        <v>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 t="e">
        <f t="shared" si="9"/>
        <v>#DIV/0!</v>
      </c>
    </row>
    <row r="101" spans="1:24" x14ac:dyDescent="0.3">
      <c r="A101" s="4" t="str">
        <f>VLOOKUP(G101,Data!$A:$G,2,0)</f>
        <v>Souvik Maity</v>
      </c>
      <c r="B101" s="4" t="str">
        <f>VLOOKUP(G101,Data!$A:$G,3,0)</f>
        <v>Inactive</v>
      </c>
      <c r="C101" s="4" t="str">
        <f>VLOOKUP(G101,Data!$A:$G,4,0)</f>
        <v>Hooghly</v>
      </c>
      <c r="D101" s="4" t="str">
        <f>VLOOKUP(G101,Data!$A:$G,5,0)</f>
        <v>Arambagh</v>
      </c>
      <c r="E101" s="4" t="str">
        <f>VLOOKUP(G101,Data!$A:$G,6,0)</f>
        <v>Sk Momin Uddin</v>
      </c>
      <c r="F101" s="10" t="str">
        <f>VLOOKUP(G101,Data!$A:$G,7,0)</f>
        <v>3390313207</v>
      </c>
      <c r="G101" s="12">
        <v>24527</v>
      </c>
      <c r="H101" s="5" t="str">
        <f>VLOOKUP(G101,'FI txn'!$G:$X,18,0)</f>
        <v>Nill</v>
      </c>
      <c r="I101" s="7">
        <f>VLOOKUP(G101,'FI txn'!$G:$H,2,0)</f>
        <v>0</v>
      </c>
      <c r="J101" s="7">
        <f t="shared" si="10"/>
        <v>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 t="e">
        <f t="shared" si="9"/>
        <v>#DIV/0!</v>
      </c>
    </row>
    <row r="102" spans="1:24" x14ac:dyDescent="0.3">
      <c r="A102" s="4" t="str">
        <f>VLOOKUP(G102,Data!$A:$G,2,0)</f>
        <v>Under Office (Birbhum)</v>
      </c>
      <c r="B102" s="4" t="str">
        <f>VLOOKUP(G102,Data!$A:$G,3,0)</f>
        <v>Inactive</v>
      </c>
      <c r="C102" s="4" t="str">
        <f>VLOOKUP(G102,Data!$A:$G,4,0)</f>
        <v>Siliguri</v>
      </c>
      <c r="D102" s="4" t="str">
        <f>VLOOKUP(G102,Data!$A:$G,5,0)</f>
        <v>Koytha</v>
      </c>
      <c r="E102" s="4" t="str">
        <f>VLOOKUP(G102,Data!$A:$G,6,0)</f>
        <v>Tamarul Sk</v>
      </c>
      <c r="F102" s="10" t="str">
        <f>VLOOKUP(G102,Data!$A:$G,7,0)</f>
        <v>0140311624</v>
      </c>
      <c r="G102" s="12">
        <v>22361</v>
      </c>
      <c r="H102" s="5" t="str">
        <f>VLOOKUP(G102,'FI txn'!$G:$X,18,0)</f>
        <v>Nill</v>
      </c>
      <c r="I102" s="7">
        <f>VLOOKUP(G102,'FI txn'!$G:$H,2,0)</f>
        <v>0</v>
      </c>
      <c r="J102" s="7">
        <f t="shared" si="10"/>
        <v>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 t="e">
        <f t="shared" si="9"/>
        <v>#DIV/0!</v>
      </c>
    </row>
    <row r="103" spans="1:24" x14ac:dyDescent="0.3">
      <c r="A103" s="4" t="str">
        <f>VLOOKUP(G103,Data!$A:$G,2,0)</f>
        <v>Under Office (Birbhum)</v>
      </c>
      <c r="B103" s="4" t="str">
        <f>VLOOKUP(G103,Data!$A:$G,3,0)</f>
        <v>Inactive</v>
      </c>
      <c r="C103" s="4" t="str">
        <f>VLOOKUP(G103,Data!$A:$G,4,0)</f>
        <v>Siliguri</v>
      </c>
      <c r="D103" s="4" t="str">
        <f>VLOOKUP(G103,Data!$A:$G,5,0)</f>
        <v>Mangaldihi</v>
      </c>
      <c r="E103" s="4" t="str">
        <f>VLOOKUP(G103,Data!$A:$G,6,0)</f>
        <v>Sk Khairul Hossain</v>
      </c>
      <c r="F103" s="10" t="str">
        <f>VLOOKUP(G103,Data!$A:$G,7,0)</f>
        <v>0140310490</v>
      </c>
      <c r="G103" s="12">
        <v>20983</v>
      </c>
      <c r="H103" s="5" t="str">
        <f>VLOOKUP(G103,'FI txn'!$G:$X,18,0)</f>
        <v>Nill</v>
      </c>
      <c r="I103" s="7">
        <f>VLOOKUP(G103,'FI txn'!$G:$H,2,0)</f>
        <v>0</v>
      </c>
      <c r="J103" s="7">
        <f t="shared" si="10"/>
        <v>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9" t="e">
        <f t="shared" si="9"/>
        <v>#DIV/0!</v>
      </c>
    </row>
    <row r="104" spans="1:24" x14ac:dyDescent="0.3">
      <c r="A104" s="4" t="str">
        <f>VLOOKUP(G104,Data!$A:$G,2,0)</f>
        <v>Sunil Biswas</v>
      </c>
      <c r="B104" s="4" t="str">
        <f>VLOOKUP(G104,Data!$A:$G,3,0)</f>
        <v>Inactive</v>
      </c>
      <c r="C104" s="4" t="str">
        <f>VLOOKUP(G104,Data!$A:$G,4,0)</f>
        <v>Durgapur</v>
      </c>
      <c r="D104" s="4" t="str">
        <f>VLOOKUP(G104,Data!$A:$G,5,0)</f>
        <v>Hridaypur</v>
      </c>
      <c r="E104" s="4" t="str">
        <f>VLOOKUP(G104,Data!$A:$G,6,0)</f>
        <v>Saiful Sekh</v>
      </c>
      <c r="F104" s="10" t="str">
        <f>VLOOKUP(G104,Data!$A:$G,7,0)</f>
        <v>2430314735</v>
      </c>
      <c r="G104" s="12">
        <v>26881</v>
      </c>
      <c r="H104" s="5" t="str">
        <f>VLOOKUP(G104,'FI txn'!$G:$X,18,0)</f>
        <v>Nill</v>
      </c>
      <c r="I104" s="7">
        <f>VLOOKUP(G104,'FI txn'!$G:$H,2,0)</f>
        <v>0</v>
      </c>
      <c r="J104" s="7">
        <f t="shared" si="10"/>
        <v>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9" t="e">
        <f t="shared" si="9"/>
        <v>#DIV/0!</v>
      </c>
    </row>
  </sheetData>
  <conditionalFormatting sqref="E1">
    <cfRule type="duplicateValues" dxfId="153" priority="22"/>
    <cfRule type="duplicateValues" dxfId="152" priority="23"/>
    <cfRule type="duplicateValues" dxfId="151" priority="24"/>
    <cfRule type="duplicateValues" dxfId="150" priority="25"/>
    <cfRule type="duplicateValues" dxfId="149" priority="26"/>
    <cfRule type="duplicateValues" dxfId="148" priority="27"/>
    <cfRule type="duplicateValues" dxfId="147" priority="28"/>
  </conditionalFormatting>
  <conditionalFormatting sqref="E105:E1048576">
    <cfRule type="duplicateValues" dxfId="146" priority="42"/>
    <cfRule type="duplicateValues" dxfId="145" priority="43"/>
  </conditionalFormatting>
  <conditionalFormatting sqref="F105:F1048576">
    <cfRule type="duplicateValues" dxfId="144" priority="29"/>
  </conditionalFormatting>
  <conditionalFormatting sqref="G1:G105 G191:G1048576">
    <cfRule type="duplicateValues" dxfId="143" priority="1"/>
  </conditionalFormatting>
  <conditionalFormatting sqref="G105:H105 G191:H1048576 H106:H190">
    <cfRule type="duplicateValues" dxfId="142" priority="30"/>
    <cfRule type="duplicateValues" dxfId="141" priority="31"/>
  </conditionalFormatting>
  <conditionalFormatting sqref="G105:H105 H106:H184">
    <cfRule type="duplicateValues" dxfId="140" priority="32"/>
    <cfRule type="duplicateValues" dxfId="139" priority="39"/>
  </conditionalFormatting>
  <conditionalFormatting sqref="G191:H1048576 H185:H190">
    <cfRule type="duplicateValues" dxfId="138" priority="33"/>
    <cfRule type="duplicateValues" dxfId="137" priority="34"/>
    <cfRule type="duplicateValues" dxfId="136" priority="35"/>
    <cfRule type="duplicateValues" dxfId="135" priority="36"/>
    <cfRule type="duplicateValues" dxfId="134" priority="37"/>
    <cfRule type="duplicateValues" dxfId="133" priority="38"/>
    <cfRule type="duplicateValues" dxfId="132" priority="40"/>
    <cfRule type="duplicateValues" dxfId="131" priority="41"/>
  </conditionalFormatting>
  <conditionalFormatting sqref="W2:W104">
    <cfRule type="top10" dxfId="130" priority="279" rank="3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F2DA-8C51-48FB-85E2-1C64184494BE}">
  <dimension ref="A3:AC19"/>
  <sheetViews>
    <sheetView topLeftCell="L9" workbookViewId="0">
      <selection activeCell="P24" sqref="P24"/>
    </sheetView>
  </sheetViews>
  <sheetFormatPr defaultRowHeight="14.4" x14ac:dyDescent="0.3"/>
  <cols>
    <col min="1" max="1" width="23.77734375" bestFit="1" customWidth="1"/>
    <col min="2" max="2" width="13.21875" bestFit="1" customWidth="1"/>
    <col min="3" max="3" width="14" bestFit="1" customWidth="1"/>
    <col min="4" max="4" width="13.109375" bestFit="1" customWidth="1"/>
    <col min="5" max="5" width="12.33203125" bestFit="1" customWidth="1"/>
    <col min="6" max="6" width="13.5546875" bestFit="1" customWidth="1"/>
    <col min="7" max="7" width="13.33203125" bestFit="1" customWidth="1"/>
    <col min="8" max="8" width="13.109375" bestFit="1" customWidth="1"/>
    <col min="9" max="9" width="13.6640625" bestFit="1" customWidth="1"/>
    <col min="10" max="10" width="13.33203125" bestFit="1" customWidth="1"/>
    <col min="11" max="11" width="12.88671875" bestFit="1" customWidth="1"/>
    <col min="12" max="12" width="13.21875" bestFit="1" customWidth="1"/>
    <col min="13" max="13" width="13.6640625" bestFit="1" customWidth="1"/>
    <col min="14" max="14" width="17.88671875" bestFit="1" customWidth="1"/>
    <col min="16" max="16" width="23.77734375" bestFit="1" customWidth="1"/>
    <col min="17" max="17" width="14.5546875" bestFit="1" customWidth="1"/>
    <col min="18" max="18" width="15.33203125" bestFit="1" customWidth="1"/>
    <col min="19" max="19" width="14.44140625" bestFit="1" customWidth="1"/>
    <col min="20" max="20" width="13.77734375" bestFit="1" customWidth="1"/>
    <col min="21" max="21" width="14.88671875" bestFit="1" customWidth="1"/>
    <col min="22" max="22" width="14.6640625" bestFit="1" customWidth="1"/>
    <col min="23" max="23" width="14.44140625" bestFit="1" customWidth="1"/>
    <col min="24" max="24" width="15" bestFit="1" customWidth="1"/>
    <col min="25" max="25" width="14.6640625" bestFit="1" customWidth="1"/>
    <col min="26" max="26" width="14.33203125" bestFit="1" customWidth="1"/>
    <col min="27" max="27" width="14.5546875" bestFit="1" customWidth="1"/>
    <col min="28" max="28" width="15" bestFit="1" customWidth="1"/>
    <col min="29" max="29" width="19.21875" bestFit="1" customWidth="1"/>
  </cols>
  <sheetData>
    <row r="3" spans="1:29" x14ac:dyDescent="0.3">
      <c r="A3" s="31" t="s">
        <v>289</v>
      </c>
      <c r="B3" t="s">
        <v>291</v>
      </c>
      <c r="C3" t="s">
        <v>292</v>
      </c>
      <c r="D3" t="s">
        <v>293</v>
      </c>
      <c r="E3" t="s">
        <v>294</v>
      </c>
      <c r="F3" t="s">
        <v>295</v>
      </c>
      <c r="G3" t="s">
        <v>296</v>
      </c>
      <c r="H3" t="s">
        <v>297</v>
      </c>
      <c r="I3" t="s">
        <v>298</v>
      </c>
      <c r="J3" t="s">
        <v>299</v>
      </c>
      <c r="K3" t="s">
        <v>300</v>
      </c>
      <c r="L3" t="s">
        <v>301</v>
      </c>
      <c r="M3" t="s">
        <v>302</v>
      </c>
      <c r="N3" t="s">
        <v>303</v>
      </c>
      <c r="P3" s="31" t="s">
        <v>289</v>
      </c>
      <c r="Q3" t="s">
        <v>304</v>
      </c>
      <c r="R3" t="s">
        <v>305</v>
      </c>
      <c r="S3" t="s">
        <v>306</v>
      </c>
      <c r="T3" t="s">
        <v>307</v>
      </c>
      <c r="U3" t="s">
        <v>308</v>
      </c>
      <c r="V3" t="s">
        <v>309</v>
      </c>
      <c r="W3" t="s">
        <v>310</v>
      </c>
      <c r="X3" t="s">
        <v>311</v>
      </c>
      <c r="Y3" t="s">
        <v>312</v>
      </c>
      <c r="Z3" t="s">
        <v>313</v>
      </c>
      <c r="AA3" t="s">
        <v>314</v>
      </c>
      <c r="AB3" t="s">
        <v>315</v>
      </c>
      <c r="AC3" t="s">
        <v>444</v>
      </c>
    </row>
    <row r="4" spans="1:29" x14ac:dyDescent="0.3">
      <c r="A4" s="32" t="s">
        <v>99</v>
      </c>
      <c r="B4" s="276">
        <v>18991.75</v>
      </c>
      <c r="C4" s="276">
        <v>18855.5</v>
      </c>
      <c r="D4" s="276">
        <v>17157.5</v>
      </c>
      <c r="E4" s="276">
        <v>17569.25</v>
      </c>
      <c r="F4" s="276">
        <v>17868.75</v>
      </c>
      <c r="G4" s="276"/>
      <c r="H4" s="276"/>
      <c r="I4" s="276"/>
      <c r="J4" s="276"/>
      <c r="K4" s="276"/>
      <c r="L4" s="276"/>
      <c r="M4" s="276"/>
      <c r="N4" s="33">
        <v>90442.75</v>
      </c>
      <c r="P4" s="32" t="s">
        <v>99</v>
      </c>
      <c r="Q4" s="276">
        <v>3</v>
      </c>
      <c r="R4" s="276">
        <v>3</v>
      </c>
      <c r="S4" s="276">
        <v>3</v>
      </c>
      <c r="T4" s="276">
        <v>3</v>
      </c>
      <c r="U4" s="276">
        <v>3</v>
      </c>
      <c r="V4" s="276"/>
      <c r="W4" s="276"/>
      <c r="X4" s="276"/>
      <c r="Y4" s="276"/>
      <c r="Z4" s="276"/>
      <c r="AA4" s="276"/>
      <c r="AB4" s="276"/>
      <c r="AC4" s="276">
        <v>3</v>
      </c>
    </row>
    <row r="5" spans="1:29" x14ac:dyDescent="0.3">
      <c r="A5" s="32" t="s">
        <v>97</v>
      </c>
      <c r="B5" s="276">
        <v>15441</v>
      </c>
      <c r="C5" s="276">
        <v>18851</v>
      </c>
      <c r="D5" s="276">
        <v>15705.5</v>
      </c>
      <c r="E5" s="276">
        <v>15151.25</v>
      </c>
      <c r="F5" s="276">
        <v>16130.75</v>
      </c>
      <c r="G5" s="276"/>
      <c r="H5" s="276"/>
      <c r="I5" s="276"/>
      <c r="J5" s="276"/>
      <c r="K5" s="276"/>
      <c r="L5" s="276"/>
      <c r="M5" s="276"/>
      <c r="N5" s="33">
        <v>81279.5</v>
      </c>
      <c r="P5" s="32" t="s">
        <v>97</v>
      </c>
      <c r="Q5" s="276">
        <v>5</v>
      </c>
      <c r="R5" s="276">
        <v>5</v>
      </c>
      <c r="S5" s="276">
        <v>4</v>
      </c>
      <c r="T5" s="276">
        <v>5</v>
      </c>
      <c r="U5" s="276">
        <v>5</v>
      </c>
      <c r="V5" s="276"/>
      <c r="W5" s="276"/>
      <c r="X5" s="276"/>
      <c r="Y5" s="276"/>
      <c r="Z5" s="276"/>
      <c r="AA5" s="276"/>
      <c r="AB5" s="276"/>
      <c r="AC5" s="276">
        <v>5</v>
      </c>
    </row>
    <row r="6" spans="1:29" x14ac:dyDescent="0.3">
      <c r="A6" s="32" t="s">
        <v>93</v>
      </c>
      <c r="B6" s="276">
        <v>5290</v>
      </c>
      <c r="C6" s="276">
        <v>5636.75</v>
      </c>
      <c r="D6" s="276">
        <v>5792.5</v>
      </c>
      <c r="E6" s="276">
        <v>7176.75</v>
      </c>
      <c r="F6" s="276">
        <v>8939.25</v>
      </c>
      <c r="G6" s="276"/>
      <c r="H6" s="276"/>
      <c r="I6" s="276"/>
      <c r="J6" s="276"/>
      <c r="K6" s="276"/>
      <c r="L6" s="276"/>
      <c r="M6" s="276"/>
      <c r="N6" s="33">
        <v>32760.25</v>
      </c>
      <c r="P6" s="32" t="s">
        <v>93</v>
      </c>
      <c r="Q6" s="276">
        <v>4</v>
      </c>
      <c r="R6" s="276">
        <v>5</v>
      </c>
      <c r="S6" s="276">
        <v>6</v>
      </c>
      <c r="T6" s="276">
        <v>6</v>
      </c>
      <c r="U6" s="276">
        <v>7</v>
      </c>
      <c r="V6" s="276"/>
      <c r="W6" s="276"/>
      <c r="X6" s="276"/>
      <c r="Y6" s="276"/>
      <c r="Z6" s="276"/>
      <c r="AA6" s="276"/>
      <c r="AB6" s="276"/>
      <c r="AC6" s="276">
        <v>6</v>
      </c>
    </row>
    <row r="7" spans="1:29" x14ac:dyDescent="0.3">
      <c r="A7" s="32" t="s">
        <v>101</v>
      </c>
      <c r="B7" s="276">
        <v>3126</v>
      </c>
      <c r="C7" s="276">
        <v>3335</v>
      </c>
      <c r="D7" s="276">
        <v>2677</v>
      </c>
      <c r="E7" s="276">
        <v>4570.75</v>
      </c>
      <c r="F7" s="276">
        <v>3072</v>
      </c>
      <c r="G7" s="276"/>
      <c r="H7" s="276"/>
      <c r="I7" s="276"/>
      <c r="J7" s="276"/>
      <c r="K7" s="276"/>
      <c r="L7" s="276"/>
      <c r="M7" s="276"/>
      <c r="N7" s="33">
        <v>16780.75</v>
      </c>
      <c r="P7" s="32" t="s">
        <v>101</v>
      </c>
      <c r="Q7" s="276">
        <v>2</v>
      </c>
      <c r="R7" s="276">
        <v>2</v>
      </c>
      <c r="S7" s="276">
        <v>2</v>
      </c>
      <c r="T7" s="276">
        <v>2</v>
      </c>
      <c r="U7" s="276">
        <v>2</v>
      </c>
      <c r="V7" s="276"/>
      <c r="W7" s="276"/>
      <c r="X7" s="276"/>
      <c r="Y7" s="276"/>
      <c r="Z7" s="276"/>
      <c r="AA7" s="276"/>
      <c r="AB7" s="276"/>
      <c r="AC7" s="276">
        <v>2</v>
      </c>
    </row>
    <row r="8" spans="1:29" x14ac:dyDescent="0.3">
      <c r="A8" s="32" t="s">
        <v>102</v>
      </c>
      <c r="B8" s="276">
        <v>23798</v>
      </c>
      <c r="C8" s="276">
        <v>22839</v>
      </c>
      <c r="D8" s="276">
        <v>27775.75</v>
      </c>
      <c r="E8" s="276">
        <v>39851.5</v>
      </c>
      <c r="F8" s="276">
        <v>65113.5</v>
      </c>
      <c r="G8" s="276"/>
      <c r="H8" s="276"/>
      <c r="I8" s="276"/>
      <c r="J8" s="276"/>
      <c r="K8" s="276"/>
      <c r="L8" s="276"/>
      <c r="M8" s="276"/>
      <c r="N8" s="33">
        <v>179377.75</v>
      </c>
      <c r="P8" s="32" t="s">
        <v>102</v>
      </c>
      <c r="Q8" s="276">
        <v>3</v>
      </c>
      <c r="R8" s="276">
        <v>3</v>
      </c>
      <c r="S8" s="276">
        <v>3</v>
      </c>
      <c r="T8" s="276">
        <v>3</v>
      </c>
      <c r="U8" s="276">
        <v>3</v>
      </c>
      <c r="V8" s="276"/>
      <c r="W8" s="276"/>
      <c r="X8" s="276"/>
      <c r="Y8" s="276"/>
      <c r="Z8" s="276"/>
      <c r="AA8" s="276"/>
      <c r="AB8" s="276"/>
      <c r="AC8" s="276">
        <v>3</v>
      </c>
    </row>
    <row r="9" spans="1:29" x14ac:dyDescent="0.3">
      <c r="A9" s="32" t="s">
        <v>100</v>
      </c>
      <c r="B9" s="276">
        <v>20202.5</v>
      </c>
      <c r="C9" s="276">
        <v>17663</v>
      </c>
      <c r="D9" s="276">
        <v>21646</v>
      </c>
      <c r="E9" s="276">
        <v>19635.75</v>
      </c>
      <c r="F9" s="276">
        <v>18184.5</v>
      </c>
      <c r="G9" s="276"/>
      <c r="H9" s="276"/>
      <c r="I9" s="276"/>
      <c r="J9" s="276"/>
      <c r="K9" s="276"/>
      <c r="L9" s="276"/>
      <c r="M9" s="276"/>
      <c r="N9" s="33">
        <v>97331.75</v>
      </c>
      <c r="P9" s="32" t="s">
        <v>100</v>
      </c>
      <c r="Q9" s="276">
        <v>2</v>
      </c>
      <c r="R9" s="276">
        <v>2</v>
      </c>
      <c r="S9" s="276">
        <v>2</v>
      </c>
      <c r="T9" s="276">
        <v>2</v>
      </c>
      <c r="U9" s="276">
        <v>2</v>
      </c>
      <c r="V9" s="276"/>
      <c r="W9" s="276"/>
      <c r="X9" s="276"/>
      <c r="Y9" s="276"/>
      <c r="Z9" s="276"/>
      <c r="AA9" s="276"/>
      <c r="AB9" s="276"/>
      <c r="AC9" s="276">
        <v>2</v>
      </c>
    </row>
    <row r="10" spans="1:29" x14ac:dyDescent="0.3">
      <c r="A10" s="32" t="s">
        <v>103</v>
      </c>
      <c r="B10" s="276">
        <v>3713.75</v>
      </c>
      <c r="C10" s="276">
        <v>2330.5</v>
      </c>
      <c r="D10" s="276">
        <v>1675.75</v>
      </c>
      <c r="E10" s="276">
        <v>2404.5</v>
      </c>
      <c r="F10" s="276">
        <v>2696.75</v>
      </c>
      <c r="G10" s="276"/>
      <c r="H10" s="276"/>
      <c r="I10" s="276"/>
      <c r="J10" s="276"/>
      <c r="K10" s="276"/>
      <c r="L10" s="276"/>
      <c r="M10" s="276"/>
      <c r="N10" s="33">
        <v>12821.25</v>
      </c>
      <c r="P10" s="32" t="s">
        <v>103</v>
      </c>
      <c r="Q10" s="276">
        <v>1</v>
      </c>
      <c r="R10" s="276">
        <v>1</v>
      </c>
      <c r="S10" s="276">
        <v>1</v>
      </c>
      <c r="T10" s="276">
        <v>1</v>
      </c>
      <c r="U10" s="276">
        <v>1</v>
      </c>
      <c r="V10" s="276"/>
      <c r="W10" s="276"/>
      <c r="X10" s="276"/>
      <c r="Y10" s="276"/>
      <c r="Z10" s="276"/>
      <c r="AA10" s="276"/>
      <c r="AB10" s="276"/>
      <c r="AC10" s="276">
        <v>1</v>
      </c>
    </row>
    <row r="11" spans="1:29" x14ac:dyDescent="0.3">
      <c r="A11" s="32" t="s">
        <v>95</v>
      </c>
      <c r="B11" s="276">
        <v>8379</v>
      </c>
      <c r="C11" s="276">
        <v>8548.5</v>
      </c>
      <c r="D11" s="276">
        <v>5908</v>
      </c>
      <c r="E11" s="276">
        <v>9140.25</v>
      </c>
      <c r="F11" s="276">
        <v>8688.25</v>
      </c>
      <c r="G11" s="276"/>
      <c r="H11" s="276"/>
      <c r="I11" s="276"/>
      <c r="J11" s="276"/>
      <c r="K11" s="276"/>
      <c r="L11" s="276"/>
      <c r="M11" s="276"/>
      <c r="N11" s="33">
        <v>40664</v>
      </c>
      <c r="P11" s="32" t="s">
        <v>95</v>
      </c>
      <c r="Q11" s="276">
        <v>5</v>
      </c>
      <c r="R11" s="276">
        <v>5</v>
      </c>
      <c r="S11" s="276">
        <v>6</v>
      </c>
      <c r="T11" s="276">
        <v>6</v>
      </c>
      <c r="U11" s="276">
        <v>6</v>
      </c>
      <c r="V11" s="276"/>
      <c r="W11" s="276"/>
      <c r="X11" s="276"/>
      <c r="Y11" s="276"/>
      <c r="Z11" s="276"/>
      <c r="AA11" s="276"/>
      <c r="AB11" s="276"/>
      <c r="AC11" s="276">
        <v>6</v>
      </c>
    </row>
    <row r="12" spans="1:29" x14ac:dyDescent="0.3">
      <c r="A12" s="32" t="s">
        <v>98</v>
      </c>
      <c r="B12" s="276">
        <v>10404.5</v>
      </c>
      <c r="C12" s="276">
        <v>9405.75</v>
      </c>
      <c r="D12" s="276">
        <v>9906</v>
      </c>
      <c r="E12" s="276">
        <v>12412.75</v>
      </c>
      <c r="F12" s="276">
        <v>13309.25</v>
      </c>
      <c r="G12" s="276"/>
      <c r="H12" s="276"/>
      <c r="I12" s="276"/>
      <c r="J12" s="276"/>
      <c r="K12" s="276"/>
      <c r="L12" s="276"/>
      <c r="M12" s="276"/>
      <c r="N12" s="33">
        <v>55438.25</v>
      </c>
      <c r="P12" s="32" t="s">
        <v>98</v>
      </c>
      <c r="Q12" s="276">
        <v>3</v>
      </c>
      <c r="R12" s="276">
        <v>3</v>
      </c>
      <c r="S12" s="276">
        <v>3</v>
      </c>
      <c r="T12" s="276">
        <v>3</v>
      </c>
      <c r="U12" s="276">
        <v>3</v>
      </c>
      <c r="V12" s="276"/>
      <c r="W12" s="276"/>
      <c r="X12" s="276"/>
      <c r="Y12" s="276"/>
      <c r="Z12" s="276"/>
      <c r="AA12" s="276"/>
      <c r="AB12" s="276"/>
      <c r="AC12" s="276">
        <v>3</v>
      </c>
    </row>
    <row r="13" spans="1:29" x14ac:dyDescent="0.3">
      <c r="A13" s="32" t="s">
        <v>96</v>
      </c>
      <c r="B13" s="276">
        <v>35691.75</v>
      </c>
      <c r="C13" s="276">
        <v>41215.75</v>
      </c>
      <c r="D13" s="276">
        <v>32128.5</v>
      </c>
      <c r="E13" s="276">
        <v>35305.25</v>
      </c>
      <c r="F13" s="276">
        <v>29368</v>
      </c>
      <c r="G13" s="276"/>
      <c r="H13" s="276"/>
      <c r="I13" s="276"/>
      <c r="J13" s="276"/>
      <c r="K13" s="276"/>
      <c r="L13" s="276"/>
      <c r="M13" s="276"/>
      <c r="N13" s="33">
        <v>173709.25</v>
      </c>
      <c r="P13" s="32" t="s">
        <v>96</v>
      </c>
      <c r="Q13" s="276">
        <v>13</v>
      </c>
      <c r="R13" s="276">
        <v>13</v>
      </c>
      <c r="S13" s="276">
        <v>13</v>
      </c>
      <c r="T13" s="276">
        <v>13</v>
      </c>
      <c r="U13" s="276">
        <v>12</v>
      </c>
      <c r="V13" s="276"/>
      <c r="W13" s="276"/>
      <c r="X13" s="276"/>
      <c r="Y13" s="276"/>
      <c r="Z13" s="276"/>
      <c r="AA13" s="276"/>
      <c r="AB13" s="276"/>
      <c r="AC13" s="276">
        <v>15</v>
      </c>
    </row>
    <row r="14" spans="1:29" x14ac:dyDescent="0.3">
      <c r="A14" s="32" t="s">
        <v>345</v>
      </c>
      <c r="B14" s="276">
        <v>53806.5</v>
      </c>
      <c r="C14" s="276">
        <v>53689.5</v>
      </c>
      <c r="D14" s="276">
        <v>49007.25</v>
      </c>
      <c r="E14" s="276">
        <v>59427.5</v>
      </c>
      <c r="F14" s="276">
        <v>59865.25</v>
      </c>
      <c r="G14" s="276"/>
      <c r="H14" s="276"/>
      <c r="I14" s="276"/>
      <c r="J14" s="276"/>
      <c r="K14" s="276"/>
      <c r="L14" s="276"/>
      <c r="M14" s="276"/>
      <c r="N14" s="33">
        <v>275796</v>
      </c>
      <c r="P14" s="32" t="s">
        <v>345</v>
      </c>
      <c r="Q14" s="276">
        <v>7</v>
      </c>
      <c r="R14" s="276">
        <v>6</v>
      </c>
      <c r="S14" s="276">
        <v>6</v>
      </c>
      <c r="T14" s="276">
        <v>6</v>
      </c>
      <c r="U14" s="276">
        <v>7</v>
      </c>
      <c r="V14" s="276"/>
      <c r="W14" s="276"/>
      <c r="X14" s="276"/>
      <c r="Y14" s="276"/>
      <c r="Z14" s="276"/>
      <c r="AA14" s="276"/>
      <c r="AB14" s="276"/>
      <c r="AC14" s="276">
        <v>7</v>
      </c>
    </row>
    <row r="15" spans="1:29" x14ac:dyDescent="0.3">
      <c r="A15" s="32" t="s">
        <v>449</v>
      </c>
      <c r="B15" s="276"/>
      <c r="C15" s="276"/>
      <c r="D15" s="276"/>
      <c r="E15" s="276"/>
      <c r="F15" s="276">
        <v>1221</v>
      </c>
      <c r="G15" s="276"/>
      <c r="H15" s="276"/>
      <c r="I15" s="276"/>
      <c r="J15" s="276"/>
      <c r="K15" s="276"/>
      <c r="L15" s="276"/>
      <c r="M15" s="276"/>
      <c r="N15" s="33"/>
      <c r="P15" s="32" t="s">
        <v>449</v>
      </c>
      <c r="Q15" s="276"/>
      <c r="R15" s="276"/>
      <c r="S15" s="276"/>
      <c r="T15" s="276"/>
      <c r="U15" s="276">
        <v>1</v>
      </c>
      <c r="V15" s="276"/>
      <c r="W15" s="276"/>
      <c r="X15" s="276"/>
      <c r="Y15" s="276"/>
      <c r="Z15" s="276"/>
      <c r="AA15" s="276"/>
      <c r="AB15" s="276"/>
      <c r="AC15" s="276"/>
    </row>
    <row r="16" spans="1:29" x14ac:dyDescent="0.3">
      <c r="A16" s="32" t="s">
        <v>455</v>
      </c>
      <c r="B16" s="276">
        <v>109253.25</v>
      </c>
      <c r="C16" s="276">
        <v>105819.25</v>
      </c>
      <c r="D16" s="276">
        <v>82410</v>
      </c>
      <c r="E16" s="276">
        <v>99307</v>
      </c>
      <c r="F16" s="276">
        <v>109453.75</v>
      </c>
      <c r="G16" s="276"/>
      <c r="H16" s="276"/>
      <c r="I16" s="276"/>
      <c r="J16" s="276"/>
      <c r="K16" s="276"/>
      <c r="L16" s="276"/>
      <c r="M16" s="276"/>
      <c r="N16" s="33">
        <v>506243.25</v>
      </c>
      <c r="P16" s="32" t="s">
        <v>455</v>
      </c>
      <c r="Q16" s="276">
        <v>16</v>
      </c>
      <c r="R16" s="276">
        <v>16</v>
      </c>
      <c r="S16" s="276">
        <v>16</v>
      </c>
      <c r="T16" s="276">
        <v>16</v>
      </c>
      <c r="U16" s="276">
        <v>16</v>
      </c>
      <c r="V16" s="276"/>
      <c r="W16" s="276"/>
      <c r="X16" s="276"/>
      <c r="Y16" s="276"/>
      <c r="Z16" s="276"/>
      <c r="AA16" s="276"/>
      <c r="AB16" s="276"/>
      <c r="AC16" s="276">
        <v>16</v>
      </c>
    </row>
    <row r="17" spans="1:29" x14ac:dyDescent="0.3">
      <c r="A17" s="32" t="s">
        <v>457</v>
      </c>
      <c r="B17" s="276">
        <v>175386</v>
      </c>
      <c r="C17" s="276">
        <v>185631.75</v>
      </c>
      <c r="D17" s="276">
        <v>170952.25</v>
      </c>
      <c r="E17" s="276">
        <v>194291.5</v>
      </c>
      <c r="F17" s="276">
        <v>218364.5</v>
      </c>
      <c r="G17" s="276"/>
      <c r="H17" s="276"/>
      <c r="I17" s="276"/>
      <c r="J17" s="276"/>
      <c r="K17" s="276"/>
      <c r="L17" s="276"/>
      <c r="M17" s="276"/>
      <c r="N17" s="33">
        <v>944626</v>
      </c>
      <c r="P17" s="32" t="s">
        <v>457</v>
      </c>
      <c r="Q17" s="276">
        <v>19</v>
      </c>
      <c r="R17" s="276">
        <v>19</v>
      </c>
      <c r="S17" s="276">
        <v>19</v>
      </c>
      <c r="T17" s="276">
        <v>19</v>
      </c>
      <c r="U17" s="276">
        <v>19</v>
      </c>
      <c r="V17" s="276"/>
      <c r="W17" s="276"/>
      <c r="X17" s="276"/>
      <c r="Y17" s="276"/>
      <c r="Z17" s="276"/>
      <c r="AA17" s="276"/>
      <c r="AB17" s="276"/>
      <c r="AC17" s="276">
        <v>19</v>
      </c>
    </row>
    <row r="18" spans="1:29" x14ac:dyDescent="0.3">
      <c r="A18" s="32" t="s">
        <v>283</v>
      </c>
      <c r="B18" s="276">
        <v>483484</v>
      </c>
      <c r="C18" s="276">
        <v>493821.25</v>
      </c>
      <c r="D18" s="276">
        <v>442742</v>
      </c>
      <c r="E18" s="276">
        <v>516244</v>
      </c>
      <c r="F18" s="276">
        <v>572275.5</v>
      </c>
      <c r="G18" s="276"/>
      <c r="H18" s="276"/>
      <c r="I18" s="276"/>
      <c r="J18" s="276"/>
      <c r="K18" s="276"/>
      <c r="L18" s="276"/>
      <c r="M18" s="276"/>
      <c r="N18" s="33">
        <v>2507270.75</v>
      </c>
      <c r="P18" s="32" t="s">
        <v>460</v>
      </c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6"/>
      <c r="AC18" s="276"/>
    </row>
    <row r="19" spans="1:29" x14ac:dyDescent="0.3">
      <c r="P19" s="32" t="s">
        <v>283</v>
      </c>
      <c r="Q19" s="276">
        <v>83</v>
      </c>
      <c r="R19" s="276">
        <v>83</v>
      </c>
      <c r="S19" s="276">
        <v>84</v>
      </c>
      <c r="T19" s="276">
        <v>85</v>
      </c>
      <c r="U19" s="276">
        <v>87</v>
      </c>
      <c r="V19" s="276"/>
      <c r="W19" s="276"/>
      <c r="X19" s="276"/>
      <c r="Y19" s="276"/>
      <c r="Z19" s="276"/>
      <c r="AA19" s="276"/>
      <c r="AB19" s="276"/>
      <c r="AC19" s="276">
        <v>88</v>
      </c>
    </row>
  </sheetData>
  <conditionalFormatting sqref="P1:P1048576">
    <cfRule type="duplicateValues" dxfId="129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31EB-124D-4B00-A3C0-9E35D3B542C3}">
  <dimension ref="A3:M19"/>
  <sheetViews>
    <sheetView workbookViewId="0">
      <selection activeCell="L15" sqref="L15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9" width="9" bestFit="1" customWidth="1"/>
    <col min="10" max="11" width="4.88671875" bestFit="1" customWidth="1"/>
    <col min="12" max="12" width="7.5546875" bestFit="1" customWidth="1"/>
    <col min="13" max="13" width="10.77734375" bestFit="1" customWidth="1"/>
  </cols>
  <sheetData>
    <row r="3" spans="1:13" x14ac:dyDescent="0.3">
      <c r="A3" s="31" t="s">
        <v>303</v>
      </c>
      <c r="B3" s="31" t="s">
        <v>326</v>
      </c>
    </row>
    <row r="4" spans="1:13" x14ac:dyDescent="0.3">
      <c r="A4" s="31" t="s">
        <v>289</v>
      </c>
      <c r="B4" t="s">
        <v>364</v>
      </c>
      <c r="C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 t="s">
        <v>371</v>
      </c>
      <c r="J4" t="s">
        <v>363</v>
      </c>
      <c r="K4">
        <v>0</v>
      </c>
      <c r="L4" t="s">
        <v>432</v>
      </c>
      <c r="M4" t="s">
        <v>283</v>
      </c>
    </row>
    <row r="5" spans="1:13" x14ac:dyDescent="0.3">
      <c r="A5" s="32" t="s">
        <v>99</v>
      </c>
      <c r="B5" s="33"/>
      <c r="C5" s="33">
        <v>34445</v>
      </c>
      <c r="D5" s="33"/>
      <c r="E5" s="33"/>
      <c r="F5" s="33"/>
      <c r="G5" s="33"/>
      <c r="H5" s="33">
        <v>55997.75</v>
      </c>
      <c r="I5" s="33"/>
      <c r="J5" s="33"/>
      <c r="K5" s="33"/>
      <c r="L5" s="33"/>
      <c r="M5" s="33">
        <v>90442.75</v>
      </c>
    </row>
    <row r="6" spans="1:13" x14ac:dyDescent="0.3">
      <c r="A6" s="32" t="s">
        <v>97</v>
      </c>
      <c r="B6" s="33">
        <v>5800.75</v>
      </c>
      <c r="C6" s="33"/>
      <c r="D6" s="33"/>
      <c r="E6" s="33"/>
      <c r="F6" s="33">
        <v>75478.75</v>
      </c>
      <c r="G6" s="33"/>
      <c r="H6" s="33"/>
      <c r="I6" s="33"/>
      <c r="J6" s="33"/>
      <c r="K6" s="33"/>
      <c r="L6" s="33"/>
      <c r="M6" s="33">
        <v>81279.5</v>
      </c>
    </row>
    <row r="7" spans="1:13" x14ac:dyDescent="0.3">
      <c r="A7" s="32" t="s">
        <v>93</v>
      </c>
      <c r="B7" s="33">
        <v>5341.75</v>
      </c>
      <c r="C7" s="33">
        <v>27418.5</v>
      </c>
      <c r="D7" s="33"/>
      <c r="E7" s="33"/>
      <c r="F7" s="33"/>
      <c r="G7" s="33"/>
      <c r="H7" s="33"/>
      <c r="I7" s="33"/>
      <c r="J7" s="33"/>
      <c r="K7" s="33"/>
      <c r="L7" s="33"/>
      <c r="M7" s="33">
        <v>32760.25</v>
      </c>
    </row>
    <row r="8" spans="1:13" x14ac:dyDescent="0.3">
      <c r="A8" s="32" t="s">
        <v>101</v>
      </c>
      <c r="B8" s="33">
        <v>4617.75</v>
      </c>
      <c r="C8" s="33">
        <v>12163</v>
      </c>
      <c r="D8" s="33"/>
      <c r="E8" s="33"/>
      <c r="F8" s="33"/>
      <c r="G8" s="33"/>
      <c r="H8" s="33"/>
      <c r="I8" s="33"/>
      <c r="J8" s="33"/>
      <c r="K8" s="33"/>
      <c r="L8" s="33"/>
      <c r="M8" s="33">
        <v>16780.75</v>
      </c>
    </row>
    <row r="9" spans="1:13" x14ac:dyDescent="0.3">
      <c r="A9" s="32" t="s">
        <v>102</v>
      </c>
      <c r="B9" s="33"/>
      <c r="C9" s="33"/>
      <c r="D9" s="33"/>
      <c r="E9" s="33"/>
      <c r="F9" s="33">
        <v>20953.25</v>
      </c>
      <c r="G9" s="33">
        <v>44465.75</v>
      </c>
      <c r="H9" s="33"/>
      <c r="I9" s="33">
        <v>113958.75</v>
      </c>
      <c r="J9" s="33"/>
      <c r="K9" s="33"/>
      <c r="L9" s="33"/>
      <c r="M9" s="33">
        <v>179377.75</v>
      </c>
    </row>
    <row r="10" spans="1:13" x14ac:dyDescent="0.3">
      <c r="A10" s="32" t="s">
        <v>100</v>
      </c>
      <c r="B10" s="33"/>
      <c r="C10" s="33"/>
      <c r="D10" s="33"/>
      <c r="E10" s="33"/>
      <c r="F10" s="33"/>
      <c r="G10" s="33">
        <v>32290.25</v>
      </c>
      <c r="H10" s="33"/>
      <c r="I10" s="33">
        <v>65041.5</v>
      </c>
      <c r="J10" s="33"/>
      <c r="K10" s="33"/>
      <c r="L10" s="33"/>
      <c r="M10" s="33">
        <v>97331.75</v>
      </c>
    </row>
    <row r="11" spans="1:13" x14ac:dyDescent="0.3">
      <c r="A11" s="32" t="s">
        <v>103</v>
      </c>
      <c r="B11" s="33"/>
      <c r="C11" s="33">
        <v>12821.25</v>
      </c>
      <c r="D11" s="33"/>
      <c r="E11" s="33"/>
      <c r="F11" s="33"/>
      <c r="G11" s="33"/>
      <c r="H11" s="33"/>
      <c r="I11" s="33"/>
      <c r="J11" s="33"/>
      <c r="K11" s="33"/>
      <c r="L11" s="33"/>
      <c r="M11" s="33">
        <v>12821.25</v>
      </c>
    </row>
    <row r="12" spans="1:13" x14ac:dyDescent="0.3">
      <c r="A12" s="32" t="s">
        <v>95</v>
      </c>
      <c r="B12" s="33">
        <v>12504.25</v>
      </c>
      <c r="C12" s="33"/>
      <c r="D12" s="33"/>
      <c r="E12" s="33"/>
      <c r="F12" s="33"/>
      <c r="G12" s="33">
        <v>27629.75</v>
      </c>
      <c r="H12" s="33"/>
      <c r="I12" s="33"/>
      <c r="J12" s="33"/>
      <c r="K12" s="33">
        <v>530</v>
      </c>
      <c r="L12" s="33"/>
      <c r="M12" s="33">
        <v>40664</v>
      </c>
    </row>
    <row r="13" spans="1:13" x14ac:dyDescent="0.3">
      <c r="A13" s="32" t="s">
        <v>98</v>
      </c>
      <c r="B13" s="33">
        <v>4878.75</v>
      </c>
      <c r="C13" s="33">
        <v>16370.5</v>
      </c>
      <c r="D13" s="33"/>
      <c r="E13" s="33"/>
      <c r="F13" s="33"/>
      <c r="G13" s="33">
        <v>34189</v>
      </c>
      <c r="H13" s="33"/>
      <c r="I13" s="33"/>
      <c r="J13" s="33"/>
      <c r="K13" s="33"/>
      <c r="L13" s="33"/>
      <c r="M13" s="33">
        <v>55438.25</v>
      </c>
    </row>
    <row r="14" spans="1:13" x14ac:dyDescent="0.3">
      <c r="A14" s="32" t="s">
        <v>96</v>
      </c>
      <c r="B14" s="33">
        <v>17567.75</v>
      </c>
      <c r="C14" s="33">
        <v>26672.75</v>
      </c>
      <c r="D14" s="33"/>
      <c r="E14" s="33"/>
      <c r="F14" s="33">
        <v>86905.25</v>
      </c>
      <c r="G14" s="33"/>
      <c r="H14" s="33">
        <v>42563.5</v>
      </c>
      <c r="I14" s="33"/>
      <c r="J14" s="33"/>
      <c r="K14" s="33"/>
      <c r="L14" s="33"/>
      <c r="M14" s="33">
        <v>173709.25</v>
      </c>
    </row>
    <row r="15" spans="1:13" x14ac:dyDescent="0.3">
      <c r="A15" s="32" t="s">
        <v>345</v>
      </c>
      <c r="B15" s="33">
        <v>206</v>
      </c>
      <c r="C15" s="33"/>
      <c r="D15" s="33"/>
      <c r="E15" s="33"/>
      <c r="F15" s="33">
        <v>41653.75</v>
      </c>
      <c r="G15" s="33">
        <v>29019.5</v>
      </c>
      <c r="H15" s="33">
        <v>38415.75</v>
      </c>
      <c r="I15" s="33">
        <v>166501</v>
      </c>
      <c r="J15" s="33"/>
      <c r="K15" s="33"/>
      <c r="L15" s="33"/>
      <c r="M15" s="33">
        <v>275796</v>
      </c>
    </row>
    <row r="16" spans="1:13" x14ac:dyDescent="0.3">
      <c r="A16" s="32" t="s">
        <v>449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</row>
    <row r="17" spans="1:13" x14ac:dyDescent="0.3">
      <c r="A17" s="32" t="s">
        <v>455</v>
      </c>
      <c r="B17" s="33">
        <v>2893</v>
      </c>
      <c r="C17" s="33">
        <v>49943.5</v>
      </c>
      <c r="D17" s="33">
        <v>97952</v>
      </c>
      <c r="E17" s="33"/>
      <c r="F17" s="33">
        <v>26918.75</v>
      </c>
      <c r="G17" s="33">
        <v>220706.5</v>
      </c>
      <c r="H17" s="33">
        <v>107251</v>
      </c>
      <c r="I17" s="33"/>
      <c r="J17" s="33">
        <v>578.5</v>
      </c>
      <c r="K17" s="33"/>
      <c r="L17" s="33"/>
      <c r="M17" s="33">
        <v>506243.25</v>
      </c>
    </row>
    <row r="18" spans="1:13" x14ac:dyDescent="0.3">
      <c r="A18" s="32" t="s">
        <v>457</v>
      </c>
      <c r="B18" s="33">
        <v>14301.5</v>
      </c>
      <c r="C18" s="33">
        <v>52125.75</v>
      </c>
      <c r="D18" s="33">
        <v>102721.5</v>
      </c>
      <c r="E18" s="33">
        <v>300094.25</v>
      </c>
      <c r="F18" s="33">
        <v>174072.5</v>
      </c>
      <c r="G18" s="33">
        <v>128382.75</v>
      </c>
      <c r="H18" s="33">
        <v>44278</v>
      </c>
      <c r="I18" s="33">
        <v>128649.75</v>
      </c>
      <c r="J18" s="33"/>
      <c r="K18" s="33"/>
      <c r="L18" s="33"/>
      <c r="M18" s="33">
        <v>944626</v>
      </c>
    </row>
    <row r="19" spans="1:13" x14ac:dyDescent="0.3">
      <c r="A19" s="32" t="s">
        <v>283</v>
      </c>
      <c r="B19" s="33">
        <v>68111.5</v>
      </c>
      <c r="C19" s="33">
        <v>231960.25</v>
      </c>
      <c r="D19" s="33">
        <v>200673.5</v>
      </c>
      <c r="E19" s="33">
        <v>300094.25</v>
      </c>
      <c r="F19" s="33">
        <v>425982.25</v>
      </c>
      <c r="G19" s="33">
        <v>516683.5</v>
      </c>
      <c r="H19" s="33">
        <v>288506</v>
      </c>
      <c r="I19" s="33">
        <v>474151</v>
      </c>
      <c r="J19" s="33">
        <v>578.5</v>
      </c>
      <c r="K19" s="33">
        <v>530</v>
      </c>
      <c r="L19" s="33"/>
      <c r="M19" s="33">
        <v>2507270.75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2C3F-0D7C-47BF-A5F8-5BDAD1DBBDAD}">
  <sheetPr codeName="Sheet2"/>
  <dimension ref="A1:W104"/>
  <sheetViews>
    <sheetView topLeftCell="C1" workbookViewId="0">
      <pane ySplit="1" topLeftCell="A2" activePane="bottomLeft" state="frozen"/>
      <selection pane="bottomLeft" activeCell="N2" sqref="N2:N88"/>
    </sheetView>
  </sheetViews>
  <sheetFormatPr defaultRowHeight="14.4" x14ac:dyDescent="0.3"/>
  <cols>
    <col min="1" max="1" width="21.109375" style="2" bestFit="1" customWidth="1"/>
    <col min="2" max="2" width="7.77734375" style="2" bestFit="1" customWidth="1"/>
    <col min="3" max="3" width="8.88671875" style="2" bestFit="1" customWidth="1"/>
    <col min="4" max="4" width="16.88671875" style="2" bestFit="1" customWidth="1"/>
    <col min="5" max="5" width="25.5546875" style="2" bestFit="1" customWidth="1"/>
    <col min="6" max="6" width="11" style="11" bestFit="1" customWidth="1"/>
    <col min="7" max="7" width="8.33203125" style="6" bestFit="1" customWidth="1"/>
    <col min="8" max="8" width="12.44140625" style="6" bestFit="1" customWidth="1"/>
    <col min="9" max="9" width="6.77734375" bestFit="1" customWidth="1"/>
    <col min="10" max="11" width="7.44140625" bestFit="1" customWidth="1"/>
    <col min="12" max="14" width="7.33203125" bestFit="1" customWidth="1"/>
    <col min="15" max="15" width="6.77734375" bestFit="1" customWidth="1"/>
    <col min="16" max="16" width="6.5546875" bestFit="1" customWidth="1"/>
    <col min="17" max="17" width="7.109375" bestFit="1" customWidth="1"/>
    <col min="18" max="18" width="6.77734375" bestFit="1" customWidth="1"/>
    <col min="19" max="19" width="6.44140625" bestFit="1" customWidth="1"/>
    <col min="20" max="20" width="6.77734375" bestFit="1" customWidth="1"/>
    <col min="21" max="21" width="7.109375" bestFit="1" customWidth="1"/>
    <col min="22" max="22" width="11.21875" bestFit="1" customWidth="1"/>
    <col min="23" max="23" width="8" bestFit="1" customWidth="1"/>
  </cols>
  <sheetData>
    <row r="1" spans="1:23" x14ac:dyDescent="0.3">
      <c r="A1" s="13" t="s">
        <v>264</v>
      </c>
      <c r="B1" s="13" t="s">
        <v>271</v>
      </c>
      <c r="C1" s="13" t="s">
        <v>272</v>
      </c>
      <c r="D1" s="13" t="s">
        <v>263</v>
      </c>
      <c r="E1" s="13" t="s">
        <v>265</v>
      </c>
      <c r="F1" s="14" t="s">
        <v>266</v>
      </c>
      <c r="G1" s="1" t="s">
        <v>267</v>
      </c>
      <c r="H1" s="1" t="s">
        <v>374</v>
      </c>
      <c r="I1" s="15" t="s">
        <v>268</v>
      </c>
      <c r="J1" s="15">
        <v>46113</v>
      </c>
      <c r="K1" s="15">
        <v>46143</v>
      </c>
      <c r="L1" s="15">
        <v>46174</v>
      </c>
      <c r="M1" s="15">
        <v>46204</v>
      </c>
      <c r="N1" s="15">
        <v>46235</v>
      </c>
      <c r="O1" s="15">
        <v>46266</v>
      </c>
      <c r="P1" s="15">
        <v>46296</v>
      </c>
      <c r="Q1" s="15">
        <v>46327</v>
      </c>
      <c r="R1" s="15">
        <v>46357</v>
      </c>
      <c r="S1" s="15">
        <v>46388</v>
      </c>
      <c r="T1" s="15">
        <v>46419</v>
      </c>
      <c r="U1" s="15">
        <v>46447</v>
      </c>
      <c r="V1" s="13" t="s">
        <v>273</v>
      </c>
      <c r="W1" s="15" t="s">
        <v>270</v>
      </c>
    </row>
    <row r="2" spans="1:23" x14ac:dyDescent="0.3">
      <c r="A2" s="4" t="str">
        <f>VLOOKUP(G2,Data!$A:$G,2,0)</f>
        <v>Rajendra Kumar Bapari</v>
      </c>
      <c r="B2" s="4" t="str">
        <f>VLOOKUP(G2,Data!$A:$G,3,0)</f>
        <v>Active</v>
      </c>
      <c r="C2" s="4" t="str">
        <f>VLOOKUP(G2,Data!$A:$G,4,0)</f>
        <v>Durgapur</v>
      </c>
      <c r="D2" s="4" t="str">
        <f>VLOOKUP(G2,Data!$A:$G,5,0)</f>
        <v>Kushodanga</v>
      </c>
      <c r="E2" s="4" t="str">
        <f>VLOOKUP(G2,Data!$A:$G,6,0)</f>
        <v>Priti Das</v>
      </c>
      <c r="F2" s="10" t="str">
        <f>VLOOKUP(G2,Data!$A:$G,7,0)</f>
        <v>3390315408</v>
      </c>
      <c r="G2" s="5">
        <v>28176</v>
      </c>
      <c r="H2" s="5" t="str">
        <f>VLOOKUP(G2,'FI txn'!$G:$X,18,0)</f>
        <v>&gt; 900</v>
      </c>
      <c r="I2" s="7">
        <f>VLOOKUP(G2,'FI txn'!$G:$H,2,0)</f>
        <v>6</v>
      </c>
      <c r="J2" s="8">
        <v>10425.5</v>
      </c>
      <c r="K2" s="8">
        <v>9881.5</v>
      </c>
      <c r="L2" s="8">
        <v>16285.25</v>
      </c>
      <c r="M2" s="8">
        <v>27613.5</v>
      </c>
      <c r="N2" s="8">
        <v>49753</v>
      </c>
      <c r="O2" s="8"/>
      <c r="P2" s="8"/>
      <c r="Q2" s="8"/>
      <c r="R2" s="8"/>
      <c r="S2" s="8"/>
      <c r="T2" s="8"/>
      <c r="U2" s="8"/>
      <c r="V2" s="8">
        <f t="shared" ref="V2:V33" si="0">SUM(J2:U2)</f>
        <v>113958.75</v>
      </c>
      <c r="W2" s="9">
        <f t="shared" ref="W2:W33" si="1">V2/I2</f>
        <v>18993.125</v>
      </c>
    </row>
    <row r="3" spans="1:23" x14ac:dyDescent="0.3">
      <c r="A3" s="4" t="str">
        <f>VLOOKUP(G3,Data!$A:$G,2,0)</f>
        <v>Under Office (W Medinipur)</v>
      </c>
      <c r="B3" s="4" t="str">
        <f>VLOOKUP(G3,Data!$A:$G,3,0)</f>
        <v>Active</v>
      </c>
      <c r="C3" s="4" t="str">
        <f>VLOOKUP(G3,Data!$A:$G,4,0)</f>
        <v>Hooghly</v>
      </c>
      <c r="D3" s="4" t="str">
        <f>VLOOKUP(G3,Data!$A:$G,5,0)</f>
        <v>Palaschabrighat</v>
      </c>
      <c r="E3" s="4" t="str">
        <f>VLOOKUP(G3,Data!$A:$G,6,0)</f>
        <v>Asima Bhunia</v>
      </c>
      <c r="F3" s="10" t="str">
        <f>VLOOKUP(G3,Data!$A:$G,7,0)</f>
        <v>2390311420</v>
      </c>
      <c r="G3" s="5">
        <v>22126</v>
      </c>
      <c r="H3" s="5" t="str">
        <f>VLOOKUP(G3,'FI txn'!$G:$X,18,0)</f>
        <v>&gt; 2000</v>
      </c>
      <c r="I3" s="7">
        <f>VLOOKUP(G3,'FI txn'!$G:$H,2,0)</f>
        <v>6</v>
      </c>
      <c r="J3" s="8">
        <v>23358.5</v>
      </c>
      <c r="K3" s="8">
        <v>19975</v>
      </c>
      <c r="L3" s="8">
        <v>24224.5</v>
      </c>
      <c r="M3" s="8">
        <v>26355.75</v>
      </c>
      <c r="N3" s="8">
        <v>35917</v>
      </c>
      <c r="O3" s="8"/>
      <c r="P3" s="8"/>
      <c r="Q3" s="8"/>
      <c r="R3" s="8"/>
      <c r="S3" s="8"/>
      <c r="T3" s="8"/>
      <c r="U3" s="8"/>
      <c r="V3" s="8">
        <f t="shared" si="0"/>
        <v>129830.75</v>
      </c>
      <c r="W3" s="9">
        <f t="shared" si="1"/>
        <v>21638.458333333332</v>
      </c>
    </row>
    <row r="4" spans="1:23" x14ac:dyDescent="0.3">
      <c r="A4" s="4" t="str">
        <f>VLOOKUP(G4,Data!$A:$G,2,0)</f>
        <v>Under Office (W Medinipur)</v>
      </c>
      <c r="B4" s="4" t="str">
        <f>VLOOKUP(G4,Data!$A:$G,3,0)</f>
        <v>Active</v>
      </c>
      <c r="C4" s="4" t="str">
        <f>VLOOKUP(G4,Data!$A:$G,4,0)</f>
        <v>Hooghly</v>
      </c>
      <c r="D4" s="4" t="str">
        <f>VLOOKUP(G4,Data!$A:$G,5,0)</f>
        <v>Binpur</v>
      </c>
      <c r="E4" s="4" t="str">
        <f>VLOOKUP(G4,Data!$A:$G,6,0)</f>
        <v>Debika Singha Patra</v>
      </c>
      <c r="F4" s="10" t="str">
        <f>VLOOKUP(G4,Data!$A:$G,7,0)</f>
        <v>2390311962</v>
      </c>
      <c r="G4" s="5">
        <v>22789</v>
      </c>
      <c r="H4" s="5" t="str">
        <f>VLOOKUP(G4,'FI txn'!$G:$X,18,0)</f>
        <v>&gt; 2000</v>
      </c>
      <c r="I4" s="7">
        <f>VLOOKUP(G4,'FI txn'!$G:$H,2,0)</f>
        <v>6</v>
      </c>
      <c r="J4" s="8">
        <v>33172</v>
      </c>
      <c r="K4" s="8">
        <v>37083</v>
      </c>
      <c r="L4" s="8">
        <v>31899.75</v>
      </c>
      <c r="M4" s="8">
        <v>34082.25</v>
      </c>
      <c r="N4" s="8">
        <v>34026.5</v>
      </c>
      <c r="O4" s="8"/>
      <c r="P4" s="8"/>
      <c r="Q4" s="8"/>
      <c r="R4" s="8"/>
      <c r="S4" s="8"/>
      <c r="T4" s="8"/>
      <c r="U4" s="8"/>
      <c r="V4" s="8">
        <f t="shared" si="0"/>
        <v>170263.5</v>
      </c>
      <c r="W4" s="9">
        <f t="shared" si="1"/>
        <v>28377.25</v>
      </c>
    </row>
    <row r="5" spans="1:23" x14ac:dyDescent="0.3">
      <c r="A5" s="4" t="str">
        <f>VLOOKUP(G5,Data!$A:$G,2,0)</f>
        <v>Under Office (W Medinipur)</v>
      </c>
      <c r="B5" s="4" t="str">
        <f>VLOOKUP(G5,Data!$A:$G,3,0)</f>
        <v>Active</v>
      </c>
      <c r="C5" s="4" t="str">
        <f>VLOOKUP(G5,Data!$A:$G,4,0)</f>
        <v>Hooghly</v>
      </c>
      <c r="D5" s="4" t="str">
        <f>VLOOKUP(G5,Data!$A:$G,5,0)</f>
        <v>Khirpai</v>
      </c>
      <c r="E5" s="4" t="str">
        <f>VLOOKUP(G5,Data!$A:$G,6,0)</f>
        <v>Sk Abbas Ali</v>
      </c>
      <c r="F5" s="10" t="str">
        <f>VLOOKUP(G5,Data!$A:$G,7,0)</f>
        <v>2390311378</v>
      </c>
      <c r="G5" s="5">
        <v>22073</v>
      </c>
      <c r="H5" s="5" t="str">
        <f>VLOOKUP(G5,'FI txn'!$G:$X,18,0)</f>
        <v>&gt; 900</v>
      </c>
      <c r="I5" s="7">
        <f>VLOOKUP(G5,'FI txn'!$G:$H,2,0)</f>
        <v>6</v>
      </c>
      <c r="J5" s="8">
        <v>24752.5</v>
      </c>
      <c r="K5" s="8">
        <v>24741.5</v>
      </c>
      <c r="L5" s="8">
        <v>23878.75</v>
      </c>
      <c r="M5" s="8">
        <v>27476</v>
      </c>
      <c r="N5" s="8">
        <v>27801</v>
      </c>
      <c r="O5" s="8"/>
      <c r="P5" s="8"/>
      <c r="Q5" s="8"/>
      <c r="R5" s="8"/>
      <c r="S5" s="8"/>
      <c r="T5" s="8"/>
      <c r="U5" s="8"/>
      <c r="V5" s="8">
        <f t="shared" si="0"/>
        <v>128649.75</v>
      </c>
      <c r="W5" s="9">
        <f t="shared" si="1"/>
        <v>21441.625</v>
      </c>
    </row>
    <row r="6" spans="1:23" x14ac:dyDescent="0.3">
      <c r="A6" s="4" t="str">
        <f>VLOOKUP(G6,Data!$A:$G,2,0)</f>
        <v>Souvik Maity</v>
      </c>
      <c r="B6" s="4" t="str">
        <f>VLOOKUP(G6,Data!$A:$G,3,0)</f>
        <v>Active</v>
      </c>
      <c r="C6" s="4" t="str">
        <f>VLOOKUP(G6,Data!$A:$G,4,0)</f>
        <v>Hooghly</v>
      </c>
      <c r="D6" s="4" t="str">
        <f>VLOOKUP(G6,Data!$A:$G,5,0)</f>
        <v>Rajhati</v>
      </c>
      <c r="E6" s="4" t="str">
        <f>VLOOKUP(G6,Data!$A:$G,6,0)</f>
        <v>Arnnapurna Maji</v>
      </c>
      <c r="F6" s="10" t="str">
        <f>VLOOKUP(G6,Data!$A:$G,7,0)</f>
        <v>3390311610</v>
      </c>
      <c r="G6" s="5">
        <v>22346</v>
      </c>
      <c r="H6" s="5" t="str">
        <f>VLOOKUP(G6,'FI txn'!$G:$X,18,0)</f>
        <v>&gt; 1500</v>
      </c>
      <c r="I6" s="7">
        <f>VLOOKUP(G6,'FI txn'!$G:$H,2,0)</f>
        <v>6</v>
      </c>
      <c r="J6" s="8">
        <v>20843.25</v>
      </c>
      <c r="K6" s="8">
        <v>20225.75</v>
      </c>
      <c r="L6" s="8">
        <v>15774.75</v>
      </c>
      <c r="M6" s="8">
        <v>19754.5</v>
      </c>
      <c r="N6" s="8">
        <v>21353.75</v>
      </c>
      <c r="O6" s="8"/>
      <c r="P6" s="8"/>
      <c r="Q6" s="8"/>
      <c r="R6" s="8"/>
      <c r="S6" s="8"/>
      <c r="T6" s="8"/>
      <c r="U6" s="8"/>
      <c r="V6" s="8">
        <f t="shared" si="0"/>
        <v>97952</v>
      </c>
      <c r="W6" s="9">
        <f t="shared" si="1"/>
        <v>16325.333333333334</v>
      </c>
    </row>
    <row r="7" spans="1:23" x14ac:dyDescent="0.3">
      <c r="A7" s="4" t="str">
        <f>VLOOKUP(G7,Data!$A:$G,2,0)</f>
        <v>Under Office (W Medinipur)</v>
      </c>
      <c r="B7" s="4" t="str">
        <f>VLOOKUP(G7,Data!$A:$G,3,0)</f>
        <v>Active</v>
      </c>
      <c r="C7" s="4" t="str">
        <f>VLOOKUP(G7,Data!$A:$G,4,0)</f>
        <v>Hooghly</v>
      </c>
      <c r="D7" s="4" t="str">
        <f>VLOOKUP(G7,Data!$A:$G,5,0)</f>
        <v>Ramjibanpur</v>
      </c>
      <c r="E7" s="4" t="str">
        <f>VLOOKUP(G7,Data!$A:$G,6,0)</f>
        <v>Abhijit Modak</v>
      </c>
      <c r="F7" s="10" t="str">
        <f>VLOOKUP(G7,Data!$A:$G,7,0)</f>
        <v>3390311425</v>
      </c>
      <c r="G7" s="5">
        <v>22131</v>
      </c>
      <c r="H7" s="5" t="str">
        <f>VLOOKUP(G7,'FI txn'!$G:$X,18,0)</f>
        <v>&gt; 1500</v>
      </c>
      <c r="I7" s="7">
        <f>VLOOKUP(G7,'FI txn'!$G:$H,2,0)</f>
        <v>6</v>
      </c>
      <c r="J7" s="8">
        <v>22716.5</v>
      </c>
      <c r="K7" s="8">
        <v>22787.5</v>
      </c>
      <c r="L7" s="8">
        <v>17543.5</v>
      </c>
      <c r="M7" s="8">
        <v>19429.75</v>
      </c>
      <c r="N7" s="8">
        <v>20244.25</v>
      </c>
      <c r="O7" s="8"/>
      <c r="P7" s="8"/>
      <c r="Q7" s="8"/>
      <c r="R7" s="8"/>
      <c r="S7" s="8"/>
      <c r="T7" s="8"/>
      <c r="U7" s="8"/>
      <c r="V7" s="8">
        <f t="shared" si="0"/>
        <v>102721.5</v>
      </c>
      <c r="W7" s="9">
        <f t="shared" si="1"/>
        <v>17120.25</v>
      </c>
    </row>
    <row r="8" spans="1:23" x14ac:dyDescent="0.3">
      <c r="A8" s="4" t="str">
        <f>VLOOKUP(G8,Data!$A:$G,2,0)</f>
        <v>Under Office (Birbhum)</v>
      </c>
      <c r="B8" s="4" t="str">
        <f>VLOOKUP(G8,Data!$A:$G,3,0)</f>
        <v>Active</v>
      </c>
      <c r="C8" s="4" t="str">
        <f>VLOOKUP(G8,Data!$A:$G,4,0)</f>
        <v>Siliguri</v>
      </c>
      <c r="D8" s="4" t="str">
        <f>VLOOKUP(G8,Data!$A:$G,5,0)</f>
        <v>Jajigram</v>
      </c>
      <c r="E8" s="4" t="str">
        <f>VLOOKUP(G8,Data!$A:$G,6,0)</f>
        <v>Mosaraf Sk</v>
      </c>
      <c r="F8" s="10" t="str">
        <f>VLOOKUP(G8,Data!$A:$G,7,0)</f>
        <v>0140311323</v>
      </c>
      <c r="G8" s="5">
        <v>21998</v>
      </c>
      <c r="H8" s="5" t="str">
        <f>VLOOKUP(G8,'FI txn'!$G:$X,18,0)</f>
        <v>&gt; 900</v>
      </c>
      <c r="I8" s="7">
        <f>VLOOKUP(G8,'FI txn'!$G:$H,2,0)</f>
        <v>6</v>
      </c>
      <c r="J8" s="8">
        <v>12892</v>
      </c>
      <c r="K8" s="8">
        <v>13435</v>
      </c>
      <c r="L8" s="8">
        <v>14045</v>
      </c>
      <c r="M8" s="8">
        <v>17355.5</v>
      </c>
      <c r="N8" s="8">
        <v>18163</v>
      </c>
      <c r="O8" s="8"/>
      <c r="P8" s="8"/>
      <c r="Q8" s="8"/>
      <c r="R8" s="8"/>
      <c r="S8" s="8"/>
      <c r="T8" s="8"/>
      <c r="U8" s="8"/>
      <c r="V8" s="8">
        <f t="shared" si="0"/>
        <v>75890.5</v>
      </c>
      <c r="W8" s="9">
        <f t="shared" si="1"/>
        <v>12648.416666666666</v>
      </c>
    </row>
    <row r="9" spans="1:23" x14ac:dyDescent="0.3">
      <c r="A9" s="4" t="str">
        <f>VLOOKUP(G9,Data!$A:$G,2,0)</f>
        <v>Under Office (Birbhum)</v>
      </c>
      <c r="B9" s="4" t="str">
        <f>VLOOKUP(G9,Data!$A:$G,3,0)</f>
        <v>Active</v>
      </c>
      <c r="C9" s="4" t="str">
        <f>VLOOKUP(G9,Data!$A:$G,4,0)</f>
        <v>Siliguri</v>
      </c>
      <c r="D9" s="4" t="str">
        <f>VLOOKUP(G9,Data!$A:$G,5,0)</f>
        <v>Paikar</v>
      </c>
      <c r="E9" s="4" t="str">
        <f>VLOOKUP(G9,Data!$A:$G,6,0)</f>
        <v>Saheb Sk</v>
      </c>
      <c r="F9" s="10" t="str">
        <f>VLOOKUP(G9,Data!$A:$G,7,0)</f>
        <v>0140311324</v>
      </c>
      <c r="G9" s="5">
        <v>21999</v>
      </c>
      <c r="H9" s="5" t="str">
        <f>VLOOKUP(G9,'FI txn'!$G:$X,18,0)</f>
        <v>&gt; 900</v>
      </c>
      <c r="I9" s="7">
        <f>VLOOKUP(G9,'FI txn'!$G:$H,2,0)</f>
        <v>6</v>
      </c>
      <c r="J9" s="8">
        <v>20519.25</v>
      </c>
      <c r="K9" s="8">
        <v>18974</v>
      </c>
      <c r="L9" s="8">
        <v>16085.75</v>
      </c>
      <c r="M9" s="8">
        <v>17235.25</v>
      </c>
      <c r="N9" s="8">
        <v>17796.25</v>
      </c>
      <c r="O9" s="8"/>
      <c r="P9" s="8"/>
      <c r="Q9" s="8"/>
      <c r="R9" s="8"/>
      <c r="S9" s="8"/>
      <c r="T9" s="8"/>
      <c r="U9" s="8"/>
      <c r="V9" s="8">
        <f t="shared" si="0"/>
        <v>90610.5</v>
      </c>
      <c r="W9" s="9">
        <f t="shared" si="1"/>
        <v>15101.75</v>
      </c>
    </row>
    <row r="10" spans="1:23" x14ac:dyDescent="0.3">
      <c r="A10" s="4" t="str">
        <f>VLOOKUP(G10,Data!$A:$G,2,0)</f>
        <v>Under Office (W Medinipur)</v>
      </c>
      <c r="B10" s="4" t="str">
        <f>VLOOKUP(G10,Data!$A:$G,3,0)</f>
        <v>Active</v>
      </c>
      <c r="C10" s="4" t="str">
        <f>VLOOKUP(G10,Data!$A:$G,4,0)</f>
        <v>Hooghly</v>
      </c>
      <c r="D10" s="4" t="str">
        <f>VLOOKUP(G10,Data!$A:$G,5,0)</f>
        <v>Kharar</v>
      </c>
      <c r="E10" s="4" t="str">
        <f>VLOOKUP(G10,Data!$A:$G,6,0)</f>
        <v>Pinki Ghosh</v>
      </c>
      <c r="F10" s="10" t="str">
        <f>VLOOKUP(G10,Data!$A:$G,7,0)</f>
        <v>2390311944</v>
      </c>
      <c r="G10" s="5">
        <v>29368</v>
      </c>
      <c r="H10" s="5" t="str">
        <f>VLOOKUP(G10,'FI txn'!$G:$X,18,0)</f>
        <v>&gt; 300</v>
      </c>
      <c r="I10" s="7">
        <f>VLOOKUP(G10,'FI txn'!$G:$H,2,0)</f>
        <v>6</v>
      </c>
      <c r="J10" s="8">
        <v>1782</v>
      </c>
      <c r="K10" s="8">
        <v>9855</v>
      </c>
      <c r="L10" s="8">
        <v>8681</v>
      </c>
      <c r="M10" s="8">
        <v>8132</v>
      </c>
      <c r="N10" s="8">
        <v>13270</v>
      </c>
      <c r="O10" s="8"/>
      <c r="P10" s="8"/>
      <c r="Q10" s="8"/>
      <c r="R10" s="8"/>
      <c r="S10" s="8"/>
      <c r="T10" s="8"/>
      <c r="U10" s="8"/>
      <c r="V10" s="8">
        <f t="shared" si="0"/>
        <v>41720</v>
      </c>
      <c r="W10" s="9">
        <f t="shared" si="1"/>
        <v>6953.333333333333</v>
      </c>
    </row>
    <row r="11" spans="1:23" x14ac:dyDescent="0.3">
      <c r="A11" s="4" t="str">
        <f>VLOOKUP(G11,Data!$A:$G,2,0)</f>
        <v>Under Office (W Medinipur)</v>
      </c>
      <c r="B11" s="4" t="str">
        <f>VLOOKUP(G11,Data!$A:$G,3,0)</f>
        <v>Active</v>
      </c>
      <c r="C11" s="4" t="str">
        <f>VLOOKUP(G11,Data!$A:$G,4,0)</f>
        <v>Hooghly</v>
      </c>
      <c r="D11" s="4" t="str">
        <f>VLOOKUP(G11,Data!$A:$G,5,0)</f>
        <v>Guiadaha</v>
      </c>
      <c r="E11" s="4" t="str">
        <f>VLOOKUP(G11,Data!$A:$G,6,0)</f>
        <v>Munmun Chakraborty</v>
      </c>
      <c r="F11" s="10" t="str">
        <f>VLOOKUP(G11,Data!$A:$G,7,0)</f>
        <v>2390312218</v>
      </c>
      <c r="G11" s="5">
        <v>23142</v>
      </c>
      <c r="H11" s="5" t="str">
        <f>VLOOKUP(G11,'FI txn'!$G:$X,18,0)</f>
        <v>&gt; 450</v>
      </c>
      <c r="I11" s="7">
        <f>VLOOKUP(G11,'FI txn'!$G:$H,2,0)</f>
        <v>6</v>
      </c>
      <c r="J11" s="8">
        <v>5756.25</v>
      </c>
      <c r="K11" s="8">
        <v>5512.5</v>
      </c>
      <c r="L11" s="8">
        <v>7078</v>
      </c>
      <c r="M11" s="8">
        <v>8823</v>
      </c>
      <c r="N11" s="8">
        <v>11995.75</v>
      </c>
      <c r="O11" s="8"/>
      <c r="P11" s="8"/>
      <c r="Q11" s="8"/>
      <c r="R11" s="8"/>
      <c r="S11" s="8"/>
      <c r="T11" s="8"/>
      <c r="U11" s="8"/>
      <c r="V11" s="8">
        <f t="shared" si="0"/>
        <v>39165.5</v>
      </c>
      <c r="W11" s="9">
        <f t="shared" si="1"/>
        <v>6527.583333333333</v>
      </c>
    </row>
    <row r="12" spans="1:23" x14ac:dyDescent="0.3">
      <c r="A12" s="4" t="str">
        <f>VLOOKUP(G12,Data!$A:$G,2,0)</f>
        <v>Under Office (W Medinipur)</v>
      </c>
      <c r="B12" s="4" t="str">
        <f>VLOOKUP(G12,Data!$A:$G,3,0)</f>
        <v>Active</v>
      </c>
      <c r="C12" s="4" t="str">
        <f>VLOOKUP(G12,Data!$A:$G,4,0)</f>
        <v>Hooghly</v>
      </c>
      <c r="D12" s="4" t="str">
        <f>VLOOKUP(G12,Data!$A:$G,5,0)</f>
        <v>Khirpai</v>
      </c>
      <c r="E12" s="4" t="str">
        <f>VLOOKUP(G12,Data!$A:$G,6,0)</f>
        <v>Reshma Khatun</v>
      </c>
      <c r="F12" s="10" t="str">
        <f>VLOOKUP(G12,Data!$A:$G,7,0)</f>
        <v>2390314453</v>
      </c>
      <c r="G12" s="5">
        <v>26501</v>
      </c>
      <c r="H12" s="5" t="str">
        <f>VLOOKUP(G12,'FI txn'!$G:$X,18,0)</f>
        <v>&gt; 450</v>
      </c>
      <c r="I12" s="7">
        <f>VLOOKUP(G12,'FI txn'!$G:$H,2,0)</f>
        <v>6</v>
      </c>
      <c r="J12" s="8">
        <v>10551.5</v>
      </c>
      <c r="K12" s="8">
        <v>11424</v>
      </c>
      <c r="L12" s="8">
        <v>10113.75</v>
      </c>
      <c r="M12" s="8">
        <v>9831</v>
      </c>
      <c r="N12" s="8">
        <v>11903</v>
      </c>
      <c r="O12" s="8"/>
      <c r="P12" s="8"/>
      <c r="Q12" s="8"/>
      <c r="R12" s="8"/>
      <c r="S12" s="8"/>
      <c r="T12" s="8"/>
      <c r="U12" s="8"/>
      <c r="V12" s="8">
        <f t="shared" si="0"/>
        <v>53823.25</v>
      </c>
      <c r="W12" s="9">
        <f t="shared" si="1"/>
        <v>8970.5416666666661</v>
      </c>
    </row>
    <row r="13" spans="1:23" x14ac:dyDescent="0.3">
      <c r="A13" s="4" t="str">
        <f>VLOOKUP(G13,Data!$A:$G,2,0)</f>
        <v>Rajiul Momin</v>
      </c>
      <c r="B13" s="4" t="str">
        <f>VLOOKUP(G13,Data!$A:$G,3,0)</f>
        <v>Active</v>
      </c>
      <c r="C13" s="4" t="str">
        <f>VLOOKUP(G13,Data!$A:$G,4,0)</f>
        <v>Siliguri</v>
      </c>
      <c r="D13" s="4" t="str">
        <f>VLOOKUP(G13,Data!$A:$G,5,0)</f>
        <v>Kaluari</v>
      </c>
      <c r="E13" s="4" t="str">
        <f>VLOOKUP(G13,Data!$A:$G,6,0)</f>
        <v>Masidur Rahaman</v>
      </c>
      <c r="F13" s="10" t="str">
        <f>VLOOKUP(G13,Data!$A:$G,7,0)</f>
        <v>2370310973</v>
      </c>
      <c r="G13" s="5">
        <v>21583</v>
      </c>
      <c r="H13" s="5" t="str">
        <f>VLOOKUP(G13,'FI txn'!$G:$X,18,0)</f>
        <v>&gt; 900</v>
      </c>
      <c r="I13" s="7">
        <f>VLOOKUP(G13,'FI txn'!$G:$H,2,0)</f>
        <v>6</v>
      </c>
      <c r="J13" s="8">
        <v>13621</v>
      </c>
      <c r="K13" s="8">
        <v>12210</v>
      </c>
      <c r="L13" s="8">
        <v>15242.25</v>
      </c>
      <c r="M13" s="8">
        <v>12195.75</v>
      </c>
      <c r="N13" s="8">
        <v>11772.5</v>
      </c>
      <c r="O13" s="8"/>
      <c r="P13" s="8"/>
      <c r="Q13" s="8"/>
      <c r="R13" s="8"/>
      <c r="S13" s="8"/>
      <c r="T13" s="8"/>
      <c r="U13" s="8"/>
      <c r="V13" s="8">
        <f t="shared" si="0"/>
        <v>65041.5</v>
      </c>
      <c r="W13" s="9">
        <f t="shared" si="1"/>
        <v>10840.25</v>
      </c>
    </row>
    <row r="14" spans="1:23" x14ac:dyDescent="0.3">
      <c r="A14" s="4" t="str">
        <f>VLOOKUP(G14,Data!$A:$G,2,0)</f>
        <v>Under Office (W Medinipur)</v>
      </c>
      <c r="B14" s="4" t="str">
        <f>VLOOKUP(G14,Data!$A:$G,3,0)</f>
        <v>Active</v>
      </c>
      <c r="C14" s="4" t="str">
        <f>VLOOKUP(G14,Data!$A:$G,4,0)</f>
        <v>Hooghly</v>
      </c>
      <c r="D14" s="4" t="str">
        <f>VLOOKUP(G14,Data!$A:$G,5,0)</f>
        <v>Bhairabpur</v>
      </c>
      <c r="E14" s="4" t="str">
        <f>VLOOKUP(G14,Data!$A:$G,6,0)</f>
        <v>Srabani Chatterjee</v>
      </c>
      <c r="F14" s="10" t="str">
        <f>VLOOKUP(G14,Data!$A:$G,7,0)</f>
        <v>2390312437</v>
      </c>
      <c r="G14" s="5">
        <v>23429</v>
      </c>
      <c r="H14" s="5" t="str">
        <f>VLOOKUP(G14,'FI txn'!$G:$X,18,0)</f>
        <v>&gt; 600</v>
      </c>
      <c r="I14" s="7">
        <f>VLOOKUP(G14,'FI txn'!$G:$H,2,0)</f>
        <v>6</v>
      </c>
      <c r="J14" s="8">
        <v>8283</v>
      </c>
      <c r="K14" s="8">
        <v>6398.5</v>
      </c>
      <c r="L14" s="8">
        <v>7930</v>
      </c>
      <c r="M14" s="8">
        <v>9949</v>
      </c>
      <c r="N14" s="8">
        <v>11717.5</v>
      </c>
      <c r="O14" s="8"/>
      <c r="P14" s="8"/>
      <c r="Q14" s="8"/>
      <c r="R14" s="8"/>
      <c r="S14" s="8"/>
      <c r="T14" s="8"/>
      <c r="U14" s="8"/>
      <c r="V14" s="8">
        <f t="shared" si="0"/>
        <v>44278</v>
      </c>
      <c r="W14" s="9">
        <f t="shared" si="1"/>
        <v>7379.666666666667</v>
      </c>
    </row>
    <row r="15" spans="1:23" x14ac:dyDescent="0.3">
      <c r="A15" s="4" t="str">
        <f>VLOOKUP(G15,Data!$A:$G,2,0)</f>
        <v>Avi Sk</v>
      </c>
      <c r="B15" s="4" t="str">
        <f>VLOOKUP(G15,Data!$A:$G,3,0)</f>
        <v>Active</v>
      </c>
      <c r="C15" s="4" t="str">
        <f>VLOOKUP(G15,Data!$A:$G,4,0)</f>
        <v>Siliguri</v>
      </c>
      <c r="D15" s="4" t="str">
        <f>VLOOKUP(G15,Data!$A:$G,5,0)</f>
        <v>Talgachi</v>
      </c>
      <c r="E15" s="4" t="str">
        <f>VLOOKUP(G15,Data!$A:$G,6,0)</f>
        <v>Giridhari Sarkar</v>
      </c>
      <c r="F15" s="10" t="str">
        <f>VLOOKUP(G15,Data!$A:$G,7,0)</f>
        <v>2410310083</v>
      </c>
      <c r="G15" s="5">
        <v>20509</v>
      </c>
      <c r="H15" s="5" t="str">
        <f>VLOOKUP(G15,'FI txn'!$G:$X,18,0)</f>
        <v>&gt; 600</v>
      </c>
      <c r="I15" s="7">
        <f>VLOOKUP(G15,'FI txn'!$G:$H,2,0)</f>
        <v>6</v>
      </c>
      <c r="J15" s="8">
        <v>11499.75</v>
      </c>
      <c r="K15" s="8">
        <v>11397.5</v>
      </c>
      <c r="L15" s="8">
        <v>10138.5</v>
      </c>
      <c r="M15" s="8">
        <v>11705.25</v>
      </c>
      <c r="N15" s="8">
        <v>11256.75</v>
      </c>
      <c r="O15" s="8"/>
      <c r="P15" s="8"/>
      <c r="Q15" s="8"/>
      <c r="R15" s="8"/>
      <c r="S15" s="8"/>
      <c r="T15" s="8"/>
      <c r="U15" s="8"/>
      <c r="V15" s="8">
        <f t="shared" si="0"/>
        <v>55997.75</v>
      </c>
      <c r="W15" s="9">
        <f t="shared" si="1"/>
        <v>9332.9583333333339</v>
      </c>
    </row>
    <row r="16" spans="1:23" x14ac:dyDescent="0.3">
      <c r="A16" s="4" t="str">
        <f>VLOOKUP(G16,Data!$A:$G,2,0)</f>
        <v>Souvik Maity</v>
      </c>
      <c r="B16" s="4" t="str">
        <f>VLOOKUP(G16,Data!$A:$G,3,0)</f>
        <v>Active</v>
      </c>
      <c r="C16" s="4" t="str">
        <f>VLOOKUP(G16,Data!$A:$G,4,0)</f>
        <v>Hooghly</v>
      </c>
      <c r="D16" s="4" t="str">
        <f>VLOOKUP(G16,Data!$A:$G,5,0)</f>
        <v>Rajhati</v>
      </c>
      <c r="E16" s="4" t="str">
        <f>VLOOKUP(G16,Data!$A:$G,6,0)</f>
        <v>Santanu Ghosh</v>
      </c>
      <c r="F16" s="10" t="str">
        <f>VLOOKUP(G16,Data!$A:$G,7,0)</f>
        <v>3390314383</v>
      </c>
      <c r="G16" s="5">
        <v>26399</v>
      </c>
      <c r="H16" s="5" t="str">
        <f>VLOOKUP(G16,'FI txn'!$G:$X,18,0)</f>
        <v>&gt; 600</v>
      </c>
      <c r="I16" s="7">
        <f>VLOOKUP(G16,'FI txn'!$G:$H,2,0)</f>
        <v>6</v>
      </c>
      <c r="J16" s="8">
        <v>9975.75</v>
      </c>
      <c r="K16" s="8">
        <v>10069.25</v>
      </c>
      <c r="L16" s="8">
        <v>7285.25</v>
      </c>
      <c r="M16" s="8">
        <v>11704.75</v>
      </c>
      <c r="N16" s="8">
        <v>11232.25</v>
      </c>
      <c r="O16" s="8"/>
      <c r="P16" s="8"/>
      <c r="Q16" s="8"/>
      <c r="R16" s="8"/>
      <c r="S16" s="8"/>
      <c r="T16" s="8"/>
      <c r="U16" s="8"/>
      <c r="V16" s="8">
        <f t="shared" si="0"/>
        <v>50267.25</v>
      </c>
      <c r="W16" s="9">
        <f t="shared" si="1"/>
        <v>8377.875</v>
      </c>
    </row>
    <row r="17" spans="1:23" x14ac:dyDescent="0.3">
      <c r="A17" s="4" t="str">
        <f>VLOOKUP(G17,Data!$A:$G,2,0)</f>
        <v>Souvik Maity</v>
      </c>
      <c r="B17" s="4" t="str">
        <f>VLOOKUP(G17,Data!$A:$G,3,0)</f>
        <v>Active</v>
      </c>
      <c r="C17" s="4" t="str">
        <f>VLOOKUP(G17,Data!$A:$G,4,0)</f>
        <v>Hooghly</v>
      </c>
      <c r="D17" s="4" t="str">
        <f>VLOOKUP(G17,Data!$A:$G,5,0)</f>
        <v>Jirat</v>
      </c>
      <c r="E17" s="4" t="str">
        <f>VLOOKUP(G17,Data!$A:$G,6,0)</f>
        <v>Sahadeb Chakraborty</v>
      </c>
      <c r="F17" s="10" t="str">
        <f>VLOOKUP(G17,Data!$A:$G,7,0)</f>
        <v>3390314204</v>
      </c>
      <c r="G17" s="5">
        <v>26084</v>
      </c>
      <c r="H17" s="5" t="str">
        <f>VLOOKUP(G17,'FI txn'!$G:$X,18,0)</f>
        <v>&gt; 600</v>
      </c>
      <c r="I17" s="7">
        <f>VLOOKUP(G17,'FI txn'!$G:$H,2,0)</f>
        <v>6</v>
      </c>
      <c r="J17" s="8">
        <v>8939.25</v>
      </c>
      <c r="K17" s="8">
        <v>12096</v>
      </c>
      <c r="L17" s="8">
        <v>11165.5</v>
      </c>
      <c r="M17" s="8">
        <v>13827.25</v>
      </c>
      <c r="N17" s="8">
        <v>10955.75</v>
      </c>
      <c r="O17" s="8"/>
      <c r="P17" s="8"/>
      <c r="Q17" s="8"/>
      <c r="R17" s="8"/>
      <c r="S17" s="8"/>
      <c r="T17" s="8"/>
      <c r="U17" s="8"/>
      <c r="V17" s="8">
        <f t="shared" si="0"/>
        <v>56983.75</v>
      </c>
      <c r="W17" s="9">
        <f t="shared" si="1"/>
        <v>9497.2916666666661</v>
      </c>
    </row>
    <row r="18" spans="1:23" x14ac:dyDescent="0.3">
      <c r="A18" s="4" t="str">
        <f>VLOOKUP(G18,Data!$A:$G,2,0)</f>
        <v>Rajendra Kumar Bapari</v>
      </c>
      <c r="B18" s="4" t="str">
        <f>VLOOKUP(G18,Data!$A:$G,3,0)</f>
        <v>Active</v>
      </c>
      <c r="C18" s="4" t="str">
        <f>VLOOKUP(G18,Data!$A:$G,4,0)</f>
        <v>Durgapur</v>
      </c>
      <c r="D18" s="4" t="str">
        <f>VLOOKUP(G18,Data!$A:$G,5,0)</f>
        <v>Patuli</v>
      </c>
      <c r="E18" s="4" t="str">
        <f>VLOOKUP(G18,Data!$A:$G,6,0)</f>
        <v>Satyajit Kar</v>
      </c>
      <c r="F18" s="10" t="str">
        <f>VLOOKUP(G18,Data!$A:$G,7,0)</f>
        <v>3390314928</v>
      </c>
      <c r="G18" s="5">
        <v>27154</v>
      </c>
      <c r="H18" s="5" t="str">
        <f>VLOOKUP(G18,'FI txn'!$G:$X,18,0)</f>
        <v>&gt; 450</v>
      </c>
      <c r="I18" s="7">
        <f>VLOOKUP(G18,'FI txn'!$G:$H,2,0)</f>
        <v>6</v>
      </c>
      <c r="J18" s="8">
        <v>8492</v>
      </c>
      <c r="K18" s="8">
        <v>9099</v>
      </c>
      <c r="L18" s="8">
        <v>7996.25</v>
      </c>
      <c r="M18" s="8">
        <v>8076.5</v>
      </c>
      <c r="N18" s="8">
        <v>10802</v>
      </c>
      <c r="O18" s="8"/>
      <c r="P18" s="8"/>
      <c r="Q18" s="8"/>
      <c r="R18" s="8"/>
      <c r="S18" s="8"/>
      <c r="T18" s="8"/>
      <c r="U18" s="8"/>
      <c r="V18" s="8">
        <f t="shared" si="0"/>
        <v>44465.75</v>
      </c>
      <c r="W18" s="9">
        <f t="shared" si="1"/>
        <v>7410.958333333333</v>
      </c>
    </row>
    <row r="19" spans="1:23" x14ac:dyDescent="0.3">
      <c r="A19" s="4" t="str">
        <f>VLOOKUP(G19,Data!$A:$G,2,0)</f>
        <v>Souvik Maity</v>
      </c>
      <c r="B19" s="4" t="str">
        <f>VLOOKUP(G19,Data!$A:$G,3,0)</f>
        <v>Active</v>
      </c>
      <c r="C19" s="4" t="str">
        <f>VLOOKUP(G19,Data!$A:$G,4,0)</f>
        <v>Hooghly</v>
      </c>
      <c r="D19" s="4" t="str">
        <f>VLOOKUP(G19,Data!$A:$G,5,0)</f>
        <v>Khanakul</v>
      </c>
      <c r="E19" s="4" t="str">
        <f>VLOOKUP(G19,Data!$A:$G,6,0)</f>
        <v>Susobhan Patra</v>
      </c>
      <c r="F19" s="10" t="str">
        <f>VLOOKUP(G19,Data!$A:$G,7,0)</f>
        <v>3390312968</v>
      </c>
      <c r="G19" s="5">
        <v>24153</v>
      </c>
      <c r="H19" s="5" t="str">
        <f>VLOOKUP(G19,'FI txn'!$G:$X,18,0)</f>
        <v>&gt; 450</v>
      </c>
      <c r="I19" s="7">
        <f>VLOOKUP(G19,'FI txn'!$G:$H,2,0)</f>
        <v>6</v>
      </c>
      <c r="J19" s="8">
        <v>7504</v>
      </c>
      <c r="K19" s="8">
        <v>6622</v>
      </c>
      <c r="L19" s="8">
        <v>5669</v>
      </c>
      <c r="M19" s="8">
        <v>7755.75</v>
      </c>
      <c r="N19" s="8">
        <v>10196.5</v>
      </c>
      <c r="O19" s="8"/>
      <c r="P19" s="8"/>
      <c r="Q19" s="8"/>
      <c r="R19" s="8"/>
      <c r="S19" s="8"/>
      <c r="T19" s="8"/>
      <c r="U19" s="8"/>
      <c r="V19" s="8">
        <f t="shared" si="0"/>
        <v>37747.25</v>
      </c>
      <c r="W19" s="9">
        <f t="shared" si="1"/>
        <v>6291.208333333333</v>
      </c>
    </row>
    <row r="20" spans="1:23" x14ac:dyDescent="0.3">
      <c r="A20" s="4" t="str">
        <f>VLOOKUP(G20,Data!$A:$G,2,0)</f>
        <v>Under Office (W Medinipur)</v>
      </c>
      <c r="B20" s="4" t="str">
        <f>VLOOKUP(G20,Data!$A:$G,3,0)</f>
        <v>Active</v>
      </c>
      <c r="C20" s="4" t="str">
        <f>VLOOKUP(G20,Data!$A:$G,4,0)</f>
        <v>Hooghly</v>
      </c>
      <c r="D20" s="4" t="str">
        <f>VLOOKUP(G20,Data!$A:$G,5,0)</f>
        <v>Nayabasat</v>
      </c>
      <c r="E20" s="4" t="str">
        <f>VLOOKUP(G20,Data!$A:$G,6,0)</f>
        <v>Mousumi Chanda Dey</v>
      </c>
      <c r="F20" s="10" t="str">
        <f>VLOOKUP(G20,Data!$A:$G,7,0)</f>
        <v>2390315855</v>
      </c>
      <c r="G20" s="5">
        <v>29123</v>
      </c>
      <c r="H20" s="5" t="str">
        <f>VLOOKUP(G20,'FI txn'!$G:$X,18,0)</f>
        <v>&gt; 450</v>
      </c>
      <c r="I20" s="7">
        <f>VLOOKUP(G20,'FI txn'!$G:$H,2,0)</f>
        <v>6</v>
      </c>
      <c r="J20" s="8">
        <v>3844.25</v>
      </c>
      <c r="K20" s="8">
        <v>9008.75</v>
      </c>
      <c r="L20" s="8">
        <v>3907.75</v>
      </c>
      <c r="M20" s="8">
        <v>9610.25</v>
      </c>
      <c r="N20" s="8">
        <v>9023</v>
      </c>
      <c r="O20" s="8"/>
      <c r="P20" s="8"/>
      <c r="Q20" s="8"/>
      <c r="R20" s="8"/>
      <c r="S20" s="8"/>
      <c r="T20" s="8"/>
      <c r="U20" s="8"/>
      <c r="V20" s="8">
        <f t="shared" si="0"/>
        <v>35394</v>
      </c>
      <c r="W20" s="9">
        <f t="shared" si="1"/>
        <v>5899</v>
      </c>
    </row>
    <row r="21" spans="1:23" x14ac:dyDescent="0.3">
      <c r="A21" s="4" t="str">
        <f>VLOOKUP(G21,Data!$A:$G,2,0)</f>
        <v>Souvik Maity</v>
      </c>
      <c r="B21" s="4" t="str">
        <f>VLOOKUP(G21,Data!$A:$G,3,0)</f>
        <v>Active</v>
      </c>
      <c r="C21" s="4" t="str">
        <f>VLOOKUP(G21,Data!$A:$G,4,0)</f>
        <v>Hooghly</v>
      </c>
      <c r="D21" s="4" t="str">
        <f>VLOOKUP(G21,Data!$A:$G,5,0)</f>
        <v>Dhanyaghori</v>
      </c>
      <c r="E21" s="4" t="str">
        <f>VLOOKUP(G21,Data!$A:$G,6,0)</f>
        <v>Pratik Chakraborty</v>
      </c>
      <c r="F21" s="10" t="str">
        <f>VLOOKUP(G21,Data!$A:$G,7,0)</f>
        <v>3390311946</v>
      </c>
      <c r="G21" s="5">
        <v>22773</v>
      </c>
      <c r="H21" s="5" t="str">
        <f>VLOOKUP(G21,'FI txn'!$G:$X,18,0)</f>
        <v>&gt; 450</v>
      </c>
      <c r="I21" s="7">
        <f>VLOOKUP(G21,'FI txn'!$G:$H,2,0)</f>
        <v>6</v>
      </c>
      <c r="J21" s="8">
        <v>7118</v>
      </c>
      <c r="K21" s="8">
        <v>7268.5</v>
      </c>
      <c r="L21" s="8">
        <v>7071.5</v>
      </c>
      <c r="M21" s="8">
        <v>7193.25</v>
      </c>
      <c r="N21" s="8">
        <v>8555.5</v>
      </c>
      <c r="O21" s="8"/>
      <c r="P21" s="8"/>
      <c r="Q21" s="8"/>
      <c r="R21" s="8"/>
      <c r="S21" s="8"/>
      <c r="T21" s="8"/>
      <c r="U21" s="8"/>
      <c r="V21" s="8">
        <f t="shared" si="0"/>
        <v>37206.75</v>
      </c>
      <c r="W21" s="9">
        <f t="shared" si="1"/>
        <v>6201.125</v>
      </c>
    </row>
    <row r="22" spans="1:23" x14ac:dyDescent="0.3">
      <c r="A22" s="4" t="str">
        <f>VLOOKUP(G22,Data!$A:$G,2,0)</f>
        <v>Sunil Biswas</v>
      </c>
      <c r="B22" s="4" t="str">
        <f>VLOOKUP(G22,Data!$A:$G,3,0)</f>
        <v>Active</v>
      </c>
      <c r="C22" s="4" t="str">
        <f>VLOOKUP(G22,Data!$A:$G,4,0)</f>
        <v>Durgapur</v>
      </c>
      <c r="D22" s="4" t="str">
        <f>VLOOKUP(G22,Data!$A:$G,5,0)</f>
        <v>Santipur</v>
      </c>
      <c r="E22" s="4" t="str">
        <f>VLOOKUP(G22,Data!$A:$G,6,0)</f>
        <v>Sahabul Mandal</v>
      </c>
      <c r="F22" s="10" t="str">
        <f>VLOOKUP(G22,Data!$A:$G,7,0)</f>
        <v>2430315156</v>
      </c>
      <c r="G22" s="5">
        <v>27630</v>
      </c>
      <c r="H22" s="5" t="str">
        <f>VLOOKUP(G22,'FI txn'!$G:$X,18,0)</f>
        <v>&gt; 600</v>
      </c>
      <c r="I22" s="7">
        <f>VLOOKUP(G22,'FI txn'!$G:$H,2,0)</f>
        <v>6</v>
      </c>
      <c r="J22" s="8">
        <v>8325</v>
      </c>
      <c r="K22" s="8">
        <v>8985</v>
      </c>
      <c r="L22" s="8">
        <v>7814</v>
      </c>
      <c r="M22" s="8">
        <v>9148</v>
      </c>
      <c r="N22" s="8">
        <v>8291.5</v>
      </c>
      <c r="O22" s="8"/>
      <c r="P22" s="8"/>
      <c r="Q22" s="8"/>
      <c r="R22" s="8"/>
      <c r="S22" s="8"/>
      <c r="T22" s="8"/>
      <c r="U22" s="8"/>
      <c r="V22" s="8">
        <f t="shared" si="0"/>
        <v>42563.5</v>
      </c>
      <c r="W22" s="9">
        <f t="shared" si="1"/>
        <v>7093.916666666667</v>
      </c>
    </row>
    <row r="23" spans="1:23" x14ac:dyDescent="0.3">
      <c r="A23" s="4" t="str">
        <f>VLOOKUP(G23,Data!$A:$G,2,0)</f>
        <v>Under Office (Birbhum)</v>
      </c>
      <c r="B23" s="4" t="str">
        <f>VLOOKUP(G23,Data!$A:$G,3,0)</f>
        <v>Active</v>
      </c>
      <c r="C23" s="4" t="str">
        <f>VLOOKUP(G23,Data!$A:$G,4,0)</f>
        <v>Siliguri</v>
      </c>
      <c r="D23" s="4" t="str">
        <f>VLOOKUP(G23,Data!$A:$G,5,0)</f>
        <v>Parsundi</v>
      </c>
      <c r="E23" s="4" t="str">
        <f>VLOOKUP(G23,Data!$A:$G,6,0)</f>
        <v>Parimal Das</v>
      </c>
      <c r="F23" s="10" t="str">
        <f>VLOOKUP(G23,Data!$A:$G,7,0)</f>
        <v>0140311628</v>
      </c>
      <c r="G23" s="5">
        <v>22365</v>
      </c>
      <c r="H23" s="5" t="str">
        <f>VLOOKUP(G23,'FI txn'!$G:$X,18,0)</f>
        <v>&gt; 600</v>
      </c>
      <c r="I23" s="7">
        <f>VLOOKUP(G23,'FI txn'!$G:$H,2,0)</f>
        <v>6</v>
      </c>
      <c r="J23" s="8">
        <v>6535</v>
      </c>
      <c r="K23" s="8">
        <v>8141.5</v>
      </c>
      <c r="L23" s="8">
        <v>7041.75</v>
      </c>
      <c r="M23" s="8">
        <v>8550.5</v>
      </c>
      <c r="N23" s="8">
        <v>8147</v>
      </c>
      <c r="O23" s="8"/>
      <c r="P23" s="8"/>
      <c r="Q23" s="8"/>
      <c r="R23" s="8"/>
      <c r="S23" s="8"/>
      <c r="T23" s="8"/>
      <c r="U23" s="8"/>
      <c r="V23" s="8">
        <f t="shared" si="0"/>
        <v>38415.75</v>
      </c>
      <c r="W23" s="9">
        <f t="shared" si="1"/>
        <v>6402.625</v>
      </c>
    </row>
    <row r="24" spans="1:23" x14ac:dyDescent="0.3">
      <c r="A24" s="4" t="str">
        <f>VLOOKUP(G24,Data!$A:$G,2,0)</f>
        <v>Shyamalesh Sarkar</v>
      </c>
      <c r="B24" s="4" t="str">
        <f>VLOOKUP(G24,Data!$A:$G,3,0)</f>
        <v>Active</v>
      </c>
      <c r="C24" s="4" t="str">
        <f>VLOOKUP(G24,Data!$A:$G,4,0)</f>
        <v>Siliguri</v>
      </c>
      <c r="D24" s="4" t="str">
        <f>VLOOKUP(G24,Data!$A:$G,5,0)</f>
        <v>Sagardighi Square</v>
      </c>
      <c r="E24" s="4" t="str">
        <f>VLOOKUP(G24,Data!$A:$G,6,0)</f>
        <v>Ajit Modak</v>
      </c>
      <c r="F24" s="10" t="str">
        <f>VLOOKUP(G24,Data!$A:$G,7,0)</f>
        <v>2200309916</v>
      </c>
      <c r="G24" s="5">
        <v>20322</v>
      </c>
      <c r="H24" s="5" t="str">
        <f>VLOOKUP(G24,'FI txn'!$G:$X,18,0)</f>
        <v>&gt; 450</v>
      </c>
      <c r="I24" s="7">
        <f>VLOOKUP(G24,'FI txn'!$G:$H,2,0)</f>
        <v>6</v>
      </c>
      <c r="J24" s="8">
        <v>6816.5</v>
      </c>
      <c r="K24" s="8">
        <v>6311.5</v>
      </c>
      <c r="L24" s="8">
        <v>6247</v>
      </c>
      <c r="M24" s="8">
        <v>6672.75</v>
      </c>
      <c r="N24" s="8">
        <v>8141.25</v>
      </c>
      <c r="O24" s="8"/>
      <c r="P24" s="8"/>
      <c r="Q24" s="8"/>
      <c r="R24" s="8"/>
      <c r="S24" s="8"/>
      <c r="T24" s="8"/>
      <c r="U24" s="8"/>
      <c r="V24" s="8">
        <f t="shared" si="0"/>
        <v>34189</v>
      </c>
      <c r="W24" s="9">
        <f t="shared" si="1"/>
        <v>5698.166666666667</v>
      </c>
    </row>
    <row r="25" spans="1:23" x14ac:dyDescent="0.3">
      <c r="A25" s="4" t="str">
        <f>VLOOKUP(G25,Data!$A:$G,2,0)</f>
        <v>Under Office (W Medinipur)</v>
      </c>
      <c r="B25" s="4" t="str">
        <f>VLOOKUP(G25,Data!$A:$G,3,0)</f>
        <v>Active</v>
      </c>
      <c r="C25" s="4" t="str">
        <f>VLOOKUP(G25,Data!$A:$G,4,0)</f>
        <v>Hooghly</v>
      </c>
      <c r="D25" s="4" t="str">
        <f>VLOOKUP(G25,Data!$A:$G,5,0)</f>
        <v>Nayabasat</v>
      </c>
      <c r="E25" s="4" t="str">
        <f>VLOOKUP(G25,Data!$A:$G,6,0)</f>
        <v>Soumya Ghosh</v>
      </c>
      <c r="F25" s="10" t="str">
        <f>VLOOKUP(G25,Data!$A:$G,7,0)</f>
        <v>2390314387</v>
      </c>
      <c r="G25" s="5">
        <v>26403</v>
      </c>
      <c r="H25" s="5" t="str">
        <f>VLOOKUP(G25,'FI txn'!$G:$X,18,0)</f>
        <v>&gt; 150</v>
      </c>
      <c r="I25" s="7">
        <f>VLOOKUP(G25,'FI txn'!$G:$H,2,0)</f>
        <v>6</v>
      </c>
      <c r="J25" s="8">
        <v>5403</v>
      </c>
      <c r="K25" s="8">
        <v>5497.5</v>
      </c>
      <c r="L25" s="8">
        <v>4609</v>
      </c>
      <c r="M25" s="8">
        <v>5841</v>
      </c>
      <c r="N25" s="8">
        <v>7648.5</v>
      </c>
      <c r="O25" s="8"/>
      <c r="P25" s="8"/>
      <c r="Q25" s="8"/>
      <c r="R25" s="8"/>
      <c r="S25" s="8"/>
      <c r="T25" s="8"/>
      <c r="U25" s="8"/>
      <c r="V25" s="8">
        <f t="shared" si="0"/>
        <v>28999</v>
      </c>
      <c r="W25" s="9">
        <f t="shared" si="1"/>
        <v>4833.166666666667</v>
      </c>
    </row>
    <row r="26" spans="1:23" x14ac:dyDescent="0.3">
      <c r="A26" s="4" t="str">
        <f>VLOOKUP(G26,Data!$A:$G,2,0)</f>
        <v>Souvik Maity</v>
      </c>
      <c r="B26" s="4" t="str">
        <f>VLOOKUP(G26,Data!$A:$G,3,0)</f>
        <v>Active</v>
      </c>
      <c r="C26" s="4" t="str">
        <f>VLOOKUP(G26,Data!$A:$G,4,0)</f>
        <v>Hooghly</v>
      </c>
      <c r="D26" s="4" t="str">
        <f>VLOOKUP(G26,Data!$A:$G,5,0)</f>
        <v>Haripal</v>
      </c>
      <c r="E26" s="4" t="str">
        <f>VLOOKUP(G26,Data!$A:$G,6,0)</f>
        <v>Sk Nasim Ali</v>
      </c>
      <c r="F26" s="10" t="str">
        <f>VLOOKUP(G26,Data!$A:$G,7,0)</f>
        <v>3390312613</v>
      </c>
      <c r="G26" s="5">
        <v>23669</v>
      </c>
      <c r="H26" s="5" t="str">
        <f>VLOOKUP(G26,'FI txn'!$G:$X,18,0)</f>
        <v>&gt; 450</v>
      </c>
      <c r="I26" s="7">
        <f>VLOOKUP(G26,'FI txn'!$G:$H,2,0)</f>
        <v>6</v>
      </c>
      <c r="J26" s="8">
        <v>6448.5</v>
      </c>
      <c r="K26" s="8">
        <v>6378.25</v>
      </c>
      <c r="L26" s="8">
        <v>5400</v>
      </c>
      <c r="M26" s="8">
        <v>6216</v>
      </c>
      <c r="N26" s="8">
        <v>7187</v>
      </c>
      <c r="O26" s="8"/>
      <c r="P26" s="8"/>
      <c r="Q26" s="8"/>
      <c r="R26" s="8"/>
      <c r="S26" s="8"/>
      <c r="T26" s="8"/>
      <c r="U26" s="8"/>
      <c r="V26" s="8">
        <f t="shared" si="0"/>
        <v>31629.75</v>
      </c>
      <c r="W26" s="9">
        <f t="shared" si="1"/>
        <v>5271.625</v>
      </c>
    </row>
    <row r="27" spans="1:23" x14ac:dyDescent="0.3">
      <c r="A27" s="4" t="str">
        <f>VLOOKUP(G27,Data!$A:$G,2,0)</f>
        <v>Souvik Maity</v>
      </c>
      <c r="B27" s="4" t="str">
        <f>VLOOKUP(G27,Data!$A:$G,3,0)</f>
        <v>Active</v>
      </c>
      <c r="C27" s="4" t="str">
        <f>VLOOKUP(G27,Data!$A:$G,4,0)</f>
        <v>Hooghly</v>
      </c>
      <c r="D27" s="4" t="str">
        <f>VLOOKUP(G27,Data!$A:$G,5,0)</f>
        <v>Khanakul</v>
      </c>
      <c r="E27" s="4" t="str">
        <f>VLOOKUP(G27,Data!$A:$G,6,0)</f>
        <v>Sahanaj Parvin</v>
      </c>
      <c r="F27" s="10" t="str">
        <f>VLOOKUP(G27,Data!$A:$G,7,0)</f>
        <v>3390312801</v>
      </c>
      <c r="G27" s="5">
        <v>23969</v>
      </c>
      <c r="H27" s="5" t="str">
        <f>VLOOKUP(G27,'FI txn'!$G:$X,18,0)</f>
        <v>&gt; 450</v>
      </c>
      <c r="I27" s="7">
        <f>VLOOKUP(G27,'FI txn'!$G:$H,2,0)</f>
        <v>6</v>
      </c>
      <c r="J27" s="8">
        <v>6287</v>
      </c>
      <c r="K27" s="8">
        <v>5876.5</v>
      </c>
      <c r="L27" s="8">
        <v>3947.75</v>
      </c>
      <c r="M27" s="8">
        <v>6185.5</v>
      </c>
      <c r="N27" s="8">
        <v>7110</v>
      </c>
      <c r="O27" s="8"/>
      <c r="P27" s="8"/>
      <c r="Q27" s="8"/>
      <c r="R27" s="8"/>
      <c r="S27" s="8"/>
      <c r="T27" s="8"/>
      <c r="U27" s="8"/>
      <c r="V27" s="8">
        <f t="shared" si="0"/>
        <v>29406.75</v>
      </c>
      <c r="W27" s="9">
        <f t="shared" si="1"/>
        <v>4901.125</v>
      </c>
    </row>
    <row r="28" spans="1:23" x14ac:dyDescent="0.3">
      <c r="A28" s="4" t="str">
        <f>VLOOKUP(G28,Data!$A:$G,2,0)</f>
        <v>Under Office (W Medinipur)</v>
      </c>
      <c r="B28" s="4" t="str">
        <f>VLOOKUP(G28,Data!$A:$G,3,0)</f>
        <v>Active</v>
      </c>
      <c r="C28" s="4" t="str">
        <f>VLOOKUP(G28,Data!$A:$G,4,0)</f>
        <v>Hooghly</v>
      </c>
      <c r="D28" s="4" t="str">
        <f>VLOOKUP(G28,Data!$A:$G,5,0)</f>
        <v>Jara</v>
      </c>
      <c r="E28" s="4" t="str">
        <f>VLOOKUP(G28,Data!$A:$G,6,0)</f>
        <v>Priyanka Biswas</v>
      </c>
      <c r="F28" s="10" t="str">
        <f>VLOOKUP(G28,Data!$A:$G,7,0)</f>
        <v>2390311424</v>
      </c>
      <c r="G28" s="5">
        <v>22130</v>
      </c>
      <c r="H28" s="5" t="str">
        <f>VLOOKUP(G28,'FI txn'!$G:$X,18,0)</f>
        <v>&gt; 300</v>
      </c>
      <c r="I28" s="7">
        <f>VLOOKUP(G28,'FI txn'!$G:$H,2,0)</f>
        <v>6</v>
      </c>
      <c r="J28" s="8">
        <v>7811</v>
      </c>
      <c r="K28" s="8">
        <v>6236.5</v>
      </c>
      <c r="L28" s="8">
        <v>5714</v>
      </c>
      <c r="M28" s="8">
        <v>9306.5</v>
      </c>
      <c r="N28" s="8">
        <v>7013.75</v>
      </c>
      <c r="O28" s="8"/>
      <c r="P28" s="8"/>
      <c r="Q28" s="8"/>
      <c r="R28" s="8"/>
      <c r="S28" s="8"/>
      <c r="T28" s="8"/>
      <c r="U28" s="8"/>
      <c r="V28" s="8">
        <f t="shared" si="0"/>
        <v>36081.75</v>
      </c>
      <c r="W28" s="9">
        <f t="shared" si="1"/>
        <v>6013.625</v>
      </c>
    </row>
    <row r="29" spans="1:23" x14ac:dyDescent="0.3">
      <c r="A29" s="4" t="str">
        <f>VLOOKUP(G29,Data!$A:$G,2,0)</f>
        <v>Chandi Charan Mahato</v>
      </c>
      <c r="B29" s="4" t="str">
        <f>VLOOKUP(G29,Data!$A:$G,3,0)</f>
        <v>Active</v>
      </c>
      <c r="C29" s="4" t="str">
        <f>VLOOKUP(G29,Data!$A:$G,4,0)</f>
        <v>Durgapur</v>
      </c>
      <c r="D29" s="4" t="str">
        <f>VLOOKUP(G29,Data!$A:$G,5,0)</f>
        <v>Jhantipahari</v>
      </c>
      <c r="E29" s="4" t="str">
        <f>VLOOKUP(G29,Data!$A:$G,6,0)</f>
        <v>Asish Kumar Mandal</v>
      </c>
      <c r="F29" s="10" t="str">
        <f>VLOOKUP(G29,Data!$A:$G,7,0)</f>
        <v>2160314962</v>
      </c>
      <c r="G29" s="5">
        <v>27220</v>
      </c>
      <c r="H29" s="5" t="str">
        <f>VLOOKUP(G29,'FI txn'!$G:$X,18,0)</f>
        <v>&gt; 300</v>
      </c>
      <c r="I29" s="7">
        <f>VLOOKUP(G29,'FI txn'!$G:$H,2,0)</f>
        <v>6</v>
      </c>
      <c r="J29" s="8">
        <v>6825</v>
      </c>
      <c r="K29" s="8">
        <v>7527.25</v>
      </c>
      <c r="L29" s="8">
        <v>7114</v>
      </c>
      <c r="M29" s="8">
        <v>6949.75</v>
      </c>
      <c r="N29" s="8">
        <v>6685.5</v>
      </c>
      <c r="O29" s="8"/>
      <c r="P29" s="8"/>
      <c r="Q29" s="8"/>
      <c r="R29" s="8"/>
      <c r="S29" s="8"/>
      <c r="T29" s="8"/>
      <c r="U29" s="8"/>
      <c r="V29" s="8">
        <f t="shared" si="0"/>
        <v>35101.5</v>
      </c>
      <c r="W29" s="9">
        <f t="shared" si="1"/>
        <v>5850.25</v>
      </c>
    </row>
    <row r="30" spans="1:23" x14ac:dyDescent="0.3">
      <c r="A30" s="4" t="str">
        <f>VLOOKUP(G30,Data!$A:$G,2,0)</f>
        <v>Under Office (Birbhum)</v>
      </c>
      <c r="B30" s="4" t="str">
        <f>VLOOKUP(G30,Data!$A:$G,3,0)</f>
        <v>Active</v>
      </c>
      <c r="C30" s="4" t="str">
        <f>VLOOKUP(G30,Data!$A:$G,4,0)</f>
        <v>Siliguri</v>
      </c>
      <c r="D30" s="4" t="str">
        <f>VLOOKUP(G30,Data!$A:$G,5,0)</f>
        <v>Mangaldihi</v>
      </c>
      <c r="E30" s="4" t="str">
        <f>VLOOKUP(G30,Data!$A:$G,6,0)</f>
        <v>Ruma Bagdi</v>
      </c>
      <c r="F30" s="10" t="str">
        <f>VLOOKUP(G30,Data!$A:$G,7,0)</f>
        <v>0140311670</v>
      </c>
      <c r="G30" s="5">
        <v>27028</v>
      </c>
      <c r="H30" s="5" t="str">
        <f>VLOOKUP(G30,'FI txn'!$G:$X,18,0)</f>
        <v>&gt; 450</v>
      </c>
      <c r="I30" s="7">
        <f>VLOOKUP(G30,'FI txn'!$G:$H,2,0)</f>
        <v>6</v>
      </c>
      <c r="J30" s="8">
        <v>5822</v>
      </c>
      <c r="K30" s="8">
        <v>5556</v>
      </c>
      <c r="L30" s="8">
        <v>4255</v>
      </c>
      <c r="M30" s="8">
        <v>6895.5</v>
      </c>
      <c r="N30" s="8">
        <v>6491</v>
      </c>
      <c r="O30" s="8"/>
      <c r="P30" s="8"/>
      <c r="Q30" s="8"/>
      <c r="R30" s="8"/>
      <c r="S30" s="8"/>
      <c r="T30" s="8"/>
      <c r="U30" s="8"/>
      <c r="V30" s="8">
        <f t="shared" si="0"/>
        <v>29019.5</v>
      </c>
      <c r="W30" s="9">
        <f t="shared" si="1"/>
        <v>4836.583333333333</v>
      </c>
    </row>
    <row r="31" spans="1:23" x14ac:dyDescent="0.3">
      <c r="A31" s="4" t="str">
        <f>VLOOKUP(G31,Data!$A:$G,2,0)</f>
        <v>Rajiul Momin</v>
      </c>
      <c r="B31" s="4" t="str">
        <f>VLOOKUP(G31,Data!$A:$G,3,0)</f>
        <v>Active</v>
      </c>
      <c r="C31" s="4" t="str">
        <f>VLOOKUP(G31,Data!$A:$G,4,0)</f>
        <v>Siliguri</v>
      </c>
      <c r="D31" s="4" t="str">
        <f>VLOOKUP(G31,Data!$A:$G,5,0)</f>
        <v>Inyathpur</v>
      </c>
      <c r="E31" s="4" t="str">
        <f>VLOOKUP(G31,Data!$A:$G,6,0)</f>
        <v>Tumpa Poddar</v>
      </c>
      <c r="F31" s="10" t="str">
        <f>VLOOKUP(G31,Data!$A:$G,7,0)</f>
        <v>2370312246</v>
      </c>
      <c r="G31" s="5">
        <v>23178</v>
      </c>
      <c r="H31" s="5" t="str">
        <f>VLOOKUP(G31,'FI txn'!$G:$X,18,0)</f>
        <v>&gt; 450</v>
      </c>
      <c r="I31" s="7">
        <f>VLOOKUP(G31,'FI txn'!$G:$H,2,0)</f>
        <v>6</v>
      </c>
      <c r="J31" s="8">
        <v>6581.5</v>
      </c>
      <c r="K31" s="8">
        <v>5453</v>
      </c>
      <c r="L31" s="8">
        <v>6403.75</v>
      </c>
      <c r="M31" s="8">
        <v>7440</v>
      </c>
      <c r="N31" s="8">
        <v>6412</v>
      </c>
      <c r="O31" s="8"/>
      <c r="P31" s="8"/>
      <c r="Q31" s="8"/>
      <c r="R31" s="8"/>
      <c r="S31" s="8"/>
      <c r="T31" s="8"/>
      <c r="U31" s="8"/>
      <c r="V31" s="8">
        <f t="shared" si="0"/>
        <v>32290.25</v>
      </c>
      <c r="W31" s="9">
        <f t="shared" si="1"/>
        <v>5381.708333333333</v>
      </c>
    </row>
    <row r="32" spans="1:23" x14ac:dyDescent="0.3">
      <c r="A32" s="4" t="str">
        <f>VLOOKUP(G32,Data!$A:$G,2,0)</f>
        <v>Under Office (W Medinipur)</v>
      </c>
      <c r="B32" s="4" t="str">
        <f>VLOOKUP(G32,Data!$A:$G,3,0)</f>
        <v>Active</v>
      </c>
      <c r="C32" s="4" t="str">
        <f>VLOOKUP(G32,Data!$A:$G,4,0)</f>
        <v>Hooghly</v>
      </c>
      <c r="D32" s="4" t="str">
        <f>VLOOKUP(G32,Data!$A:$G,5,0)</f>
        <v>Ramjibanpur</v>
      </c>
      <c r="E32" s="4" t="str">
        <f>VLOOKUP(G32,Data!$A:$G,6,0)</f>
        <v xml:space="preserve">Mahadeb Das </v>
      </c>
      <c r="F32" s="10" t="str">
        <f>VLOOKUP(G32,Data!$A:$G,7,0)</f>
        <v>3390315155</v>
      </c>
      <c r="G32" s="5">
        <v>27629</v>
      </c>
      <c r="H32" s="5" t="str">
        <f>VLOOKUP(G32,'FI txn'!$G:$X,18,0)</f>
        <v>&gt; 300</v>
      </c>
      <c r="I32" s="7">
        <f>VLOOKUP(G32,'FI txn'!$G:$H,2,0)</f>
        <v>6</v>
      </c>
      <c r="J32" s="8">
        <v>6745.5</v>
      </c>
      <c r="K32" s="8">
        <v>6771</v>
      </c>
      <c r="L32" s="8">
        <v>6650</v>
      </c>
      <c r="M32" s="8">
        <v>5332.5</v>
      </c>
      <c r="N32" s="8">
        <v>6161.75</v>
      </c>
      <c r="O32" s="8"/>
      <c r="P32" s="8"/>
      <c r="Q32" s="8"/>
      <c r="R32" s="8"/>
      <c r="S32" s="8"/>
      <c r="T32" s="8"/>
      <c r="U32" s="8"/>
      <c r="V32" s="8">
        <f t="shared" si="0"/>
        <v>31660.75</v>
      </c>
      <c r="W32" s="9">
        <f t="shared" si="1"/>
        <v>5276.791666666667</v>
      </c>
    </row>
    <row r="33" spans="1:23" x14ac:dyDescent="0.3">
      <c r="A33" s="4" t="str">
        <f>VLOOKUP(G33,Data!$A:$G,2,0)</f>
        <v>Souvik Maity</v>
      </c>
      <c r="B33" s="4" t="str">
        <f>VLOOKUP(G33,Data!$A:$G,3,0)</f>
        <v>Active</v>
      </c>
      <c r="C33" s="4" t="str">
        <f>VLOOKUP(G33,Data!$A:$G,4,0)</f>
        <v>Hooghly</v>
      </c>
      <c r="D33" s="4" t="str">
        <f>VLOOKUP(G33,Data!$A:$G,5,0)</f>
        <v>Rajbalhat</v>
      </c>
      <c r="E33" s="4" t="str">
        <f>VLOOKUP(G33,Data!$A:$G,6,0)</f>
        <v>Dibyendu Bhowmick</v>
      </c>
      <c r="F33" s="10" t="str">
        <f>VLOOKUP(G33,Data!$A:$G,7,0)</f>
        <v>3390314186</v>
      </c>
      <c r="G33" s="5">
        <v>26015</v>
      </c>
      <c r="H33" s="5" t="str">
        <f>VLOOKUP(G33,'FI txn'!$G:$X,18,0)</f>
        <v>&gt; 450</v>
      </c>
      <c r="I33" s="7">
        <f>VLOOKUP(G33,'FI txn'!$G:$H,2,0)</f>
        <v>6</v>
      </c>
      <c r="J33" s="8">
        <v>4970</v>
      </c>
      <c r="K33" s="8">
        <v>4667</v>
      </c>
      <c r="L33" s="8">
        <v>6460</v>
      </c>
      <c r="M33" s="8">
        <v>6049.75</v>
      </c>
      <c r="N33" s="8">
        <v>6019</v>
      </c>
      <c r="O33" s="8"/>
      <c r="P33" s="8"/>
      <c r="Q33" s="8"/>
      <c r="R33" s="8"/>
      <c r="S33" s="8"/>
      <c r="T33" s="8"/>
      <c r="U33" s="8"/>
      <c r="V33" s="8">
        <f t="shared" si="0"/>
        <v>28165.75</v>
      </c>
      <c r="W33" s="9">
        <f t="shared" si="1"/>
        <v>4694.291666666667</v>
      </c>
    </row>
    <row r="34" spans="1:23" x14ac:dyDescent="0.3">
      <c r="A34" s="4" t="str">
        <f>VLOOKUP(G34,Data!$A:$G,2,0)</f>
        <v>Sunil Biswas</v>
      </c>
      <c r="B34" s="4" t="str">
        <f>VLOOKUP(G34,Data!$A:$G,3,0)</f>
        <v>Active</v>
      </c>
      <c r="C34" s="4" t="str">
        <f>VLOOKUP(G34,Data!$A:$G,4,0)</f>
        <v>Durgapur</v>
      </c>
      <c r="D34" s="4" t="str">
        <f>VLOOKUP(G34,Data!$A:$G,5,0)</f>
        <v>Hridaypur</v>
      </c>
      <c r="E34" s="4" t="str">
        <f>VLOOKUP(G34,Data!$A:$G,6,0)</f>
        <v xml:space="preserve">Injamul Rahaman </v>
      </c>
      <c r="F34" s="10" t="str">
        <f>VLOOKUP(G34,Data!$A:$G,7,0)</f>
        <v>2430314512</v>
      </c>
      <c r="G34" s="5">
        <v>26588</v>
      </c>
      <c r="H34" s="5" t="str">
        <f>VLOOKUP(G34,'FI txn'!$G:$X,18,0)</f>
        <v>&gt; 300</v>
      </c>
      <c r="I34" s="7">
        <f>VLOOKUP(G34,'FI txn'!$G:$H,2,0)</f>
        <v>6</v>
      </c>
      <c r="J34" s="8">
        <v>5195.75</v>
      </c>
      <c r="K34" s="8">
        <v>9214.5</v>
      </c>
      <c r="L34" s="8">
        <v>5806.75</v>
      </c>
      <c r="M34" s="8">
        <v>5831.75</v>
      </c>
      <c r="N34" s="8">
        <v>5994.5</v>
      </c>
      <c r="O34" s="8"/>
      <c r="P34" s="8"/>
      <c r="Q34" s="8"/>
      <c r="R34" s="8"/>
      <c r="S34" s="8"/>
      <c r="T34" s="8"/>
      <c r="U34" s="8"/>
      <c r="V34" s="8">
        <f t="shared" ref="V34:V65" si="2">SUM(J34:U34)</f>
        <v>32043.25</v>
      </c>
      <c r="W34" s="9">
        <f t="shared" ref="W34:W65" si="3">V34/I34</f>
        <v>5340.541666666667</v>
      </c>
    </row>
    <row r="35" spans="1:23" x14ac:dyDescent="0.3">
      <c r="A35" s="4" t="str">
        <f>VLOOKUP(G35,Data!$A:$G,2,0)</f>
        <v>Souvik Maity</v>
      </c>
      <c r="B35" s="4" t="str">
        <f>VLOOKUP(G35,Data!$A:$G,3,0)</f>
        <v>Active</v>
      </c>
      <c r="C35" s="4" t="str">
        <f>VLOOKUP(G35,Data!$A:$G,4,0)</f>
        <v>Hooghly</v>
      </c>
      <c r="D35" s="4" t="str">
        <f>VLOOKUP(G35,Data!$A:$G,5,0)</f>
        <v>Kalipur</v>
      </c>
      <c r="E35" s="4" t="str">
        <f>VLOOKUP(G35,Data!$A:$G,6,0)</f>
        <v>Satyajit Chattopadhyay</v>
      </c>
      <c r="F35" s="10" t="str">
        <f>VLOOKUP(G35,Data!$A:$G,7,0)</f>
        <v>3390311422</v>
      </c>
      <c r="G35" s="5">
        <v>22128</v>
      </c>
      <c r="H35" s="5" t="str">
        <f>VLOOKUP(G35,'FI txn'!$G:$X,18,0)</f>
        <v>&gt; 450</v>
      </c>
      <c r="I35" s="7">
        <f>VLOOKUP(G35,'FI txn'!$G:$H,2,0)</f>
        <v>6</v>
      </c>
      <c r="J35" s="8">
        <v>7965.5</v>
      </c>
      <c r="K35" s="8">
        <v>7551</v>
      </c>
      <c r="L35" s="8">
        <v>4747.75</v>
      </c>
      <c r="M35" s="8">
        <v>5583.75</v>
      </c>
      <c r="N35" s="8">
        <v>5964.75</v>
      </c>
      <c r="O35" s="8"/>
      <c r="P35" s="8"/>
      <c r="Q35" s="8"/>
      <c r="R35" s="8"/>
      <c r="S35" s="8"/>
      <c r="T35" s="8"/>
      <c r="U35" s="8"/>
      <c r="V35" s="8">
        <f t="shared" si="2"/>
        <v>31812.75</v>
      </c>
      <c r="W35" s="9">
        <f t="shared" si="3"/>
        <v>5302.125</v>
      </c>
    </row>
    <row r="36" spans="1:23" x14ac:dyDescent="0.3">
      <c r="A36" s="4" t="str">
        <f>VLOOKUP(G36,Data!$A:$G,2,0)</f>
        <v>Souvik Maity</v>
      </c>
      <c r="B36" s="4" t="str">
        <f>VLOOKUP(G36,Data!$A:$G,3,0)</f>
        <v>Active</v>
      </c>
      <c r="C36" s="4" t="str">
        <f>VLOOKUP(G36,Data!$A:$G,4,0)</f>
        <v>Hooghly</v>
      </c>
      <c r="D36" s="4" t="str">
        <f>VLOOKUP(G36,Data!$A:$G,5,0)</f>
        <v>Kamarpara</v>
      </c>
      <c r="E36" s="4" t="str">
        <f>VLOOKUP(G36,Data!$A:$G,6,0)</f>
        <v>Mithu Ghosh</v>
      </c>
      <c r="F36" s="10" t="str">
        <f>VLOOKUP(G36,Data!$A:$G,7,0)</f>
        <v>3390312440</v>
      </c>
      <c r="G36" s="5">
        <v>23432</v>
      </c>
      <c r="H36" s="5" t="str">
        <f>VLOOKUP(G36,'FI txn'!$G:$X,18,0)</f>
        <v>&gt; 450</v>
      </c>
      <c r="I36" s="7">
        <f>VLOOKUP(G36,'FI txn'!$G:$H,2,0)</f>
        <v>6</v>
      </c>
      <c r="J36" s="8">
        <v>5197</v>
      </c>
      <c r="K36" s="8">
        <v>3724</v>
      </c>
      <c r="L36" s="8">
        <v>5089.5</v>
      </c>
      <c r="M36" s="8">
        <v>4845</v>
      </c>
      <c r="N36" s="8">
        <v>5882</v>
      </c>
      <c r="O36" s="8"/>
      <c r="P36" s="8"/>
      <c r="Q36" s="8"/>
      <c r="R36" s="8"/>
      <c r="S36" s="8"/>
      <c r="T36" s="8"/>
      <c r="U36" s="8"/>
      <c r="V36" s="8">
        <f t="shared" si="2"/>
        <v>24737.5</v>
      </c>
      <c r="W36" s="9">
        <f t="shared" si="3"/>
        <v>4122.916666666667</v>
      </c>
    </row>
    <row r="37" spans="1:23" x14ac:dyDescent="0.3">
      <c r="A37" s="4" t="str">
        <f>VLOOKUP(G37,Data!$A:$G,2,0)</f>
        <v>Souvik Maity</v>
      </c>
      <c r="B37" s="4" t="str">
        <f>VLOOKUP(G37,Data!$A:$G,3,0)</f>
        <v>Active</v>
      </c>
      <c r="C37" s="4" t="str">
        <f>VLOOKUP(G37,Data!$A:$G,4,0)</f>
        <v>Hooghly</v>
      </c>
      <c r="D37" s="4" t="str">
        <f>VLOOKUP(G37,Data!$A:$G,5,0)</f>
        <v>Kamarpara</v>
      </c>
      <c r="E37" s="4" t="str">
        <f>VLOOKUP(G37,Data!$A:$G,6,0)</f>
        <v>Md Mustakim</v>
      </c>
      <c r="F37" s="10" t="str">
        <f>VLOOKUP(G37,Data!$A:$G,7,0)</f>
        <v>3390312441</v>
      </c>
      <c r="G37" s="5">
        <v>23433</v>
      </c>
      <c r="H37" s="5" t="str">
        <f>VLOOKUP(G37,'FI txn'!$G:$X,18,0)</f>
        <v>&gt; 300</v>
      </c>
      <c r="I37" s="7">
        <f>VLOOKUP(G37,'FI txn'!$G:$H,2,0)</f>
        <v>6</v>
      </c>
      <c r="J37" s="8">
        <v>8208</v>
      </c>
      <c r="K37" s="8">
        <v>7113</v>
      </c>
      <c r="L37" s="8">
        <v>2905</v>
      </c>
      <c r="M37" s="8">
        <v>3140</v>
      </c>
      <c r="N37" s="8">
        <v>5552.75</v>
      </c>
      <c r="O37" s="8"/>
      <c r="P37" s="8"/>
      <c r="Q37" s="8"/>
      <c r="R37" s="8"/>
      <c r="S37" s="8"/>
      <c r="T37" s="8"/>
      <c r="U37" s="8"/>
      <c r="V37" s="8">
        <f t="shared" si="2"/>
        <v>26918.75</v>
      </c>
      <c r="W37" s="9">
        <f t="shared" si="3"/>
        <v>4486.458333333333</v>
      </c>
    </row>
    <row r="38" spans="1:23" x14ac:dyDescent="0.3">
      <c r="A38" s="4" t="str">
        <f>VLOOKUP(G38,Data!$A:$G,2,0)</f>
        <v>Under Office (W Medinipur)</v>
      </c>
      <c r="B38" s="4" t="str">
        <f>VLOOKUP(G38,Data!$A:$G,3,0)</f>
        <v>Active</v>
      </c>
      <c r="C38" s="4" t="str">
        <f>VLOOKUP(G38,Data!$A:$G,4,0)</f>
        <v>Hooghly</v>
      </c>
      <c r="D38" s="4" t="str">
        <f>VLOOKUP(G38,Data!$A:$G,5,0)</f>
        <v>Chandrakona</v>
      </c>
      <c r="E38" s="4" t="str">
        <f>VLOOKUP(G38,Data!$A:$G,6,0)</f>
        <v>Ananya Maity Bag</v>
      </c>
      <c r="F38" s="10" t="str">
        <f>VLOOKUP(G38,Data!$A:$G,7,0)</f>
        <v>2390313181</v>
      </c>
      <c r="G38" s="5">
        <v>24495</v>
      </c>
      <c r="H38" s="5" t="str">
        <f>VLOOKUP(G38,'FI txn'!$G:$X,18,0)</f>
        <v>&gt; 300</v>
      </c>
      <c r="I38" s="7">
        <f>VLOOKUP(G38,'FI txn'!$G:$H,2,0)</f>
        <v>6</v>
      </c>
      <c r="J38" s="8">
        <v>4611</v>
      </c>
      <c r="K38" s="8">
        <v>3713.5</v>
      </c>
      <c r="L38" s="8">
        <v>4278.75</v>
      </c>
      <c r="M38" s="8">
        <v>4419.75</v>
      </c>
      <c r="N38" s="8">
        <v>5523.5</v>
      </c>
      <c r="O38" s="8"/>
      <c r="P38" s="8"/>
      <c r="Q38" s="8"/>
      <c r="R38" s="8"/>
      <c r="S38" s="8"/>
      <c r="T38" s="8"/>
      <c r="U38" s="8"/>
      <c r="V38" s="8">
        <f t="shared" si="2"/>
        <v>22546.5</v>
      </c>
      <c r="W38" s="9">
        <f t="shared" si="3"/>
        <v>3757.75</v>
      </c>
    </row>
    <row r="39" spans="1:23" x14ac:dyDescent="0.3">
      <c r="A39" s="4" t="str">
        <f>VLOOKUP(G39,Data!$A:$G,2,0)</f>
        <v>Santanu Bera</v>
      </c>
      <c r="B39" s="4" t="str">
        <f>VLOOKUP(G39,Data!$A:$G,3,0)</f>
        <v>Active</v>
      </c>
      <c r="C39" s="4" t="str">
        <f>VLOOKUP(G39,Data!$A:$G,4,0)</f>
        <v>Hooghly</v>
      </c>
      <c r="D39" s="4" t="str">
        <f>VLOOKUP(G39,Data!$A:$G,5,0)</f>
        <v>Panskura</v>
      </c>
      <c r="E39" s="4" t="str">
        <f>VLOOKUP(G39,Data!$A:$G,6,0)</f>
        <v>Kartik Maity</v>
      </c>
      <c r="F39" s="10" t="str">
        <f>VLOOKUP(G39,Data!$A:$G,7,0)</f>
        <v>2380311666</v>
      </c>
      <c r="G39" s="5">
        <v>22404</v>
      </c>
      <c r="H39" s="5" t="str">
        <f>VLOOKUP(G39,'FI txn'!$G:$X,18,0)</f>
        <v>&gt; 450</v>
      </c>
      <c r="I39" s="7">
        <f>VLOOKUP(G39,'FI txn'!$G:$H,2,0)</f>
        <v>6</v>
      </c>
      <c r="J39" s="8">
        <v>5356</v>
      </c>
      <c r="K39" s="8">
        <v>6070</v>
      </c>
      <c r="L39" s="8">
        <v>4033</v>
      </c>
      <c r="M39" s="8">
        <v>6731.5</v>
      </c>
      <c r="N39" s="8">
        <v>5439.25</v>
      </c>
      <c r="O39" s="8"/>
      <c r="P39" s="8"/>
      <c r="Q39" s="8"/>
      <c r="R39" s="8"/>
      <c r="S39" s="8"/>
      <c r="T39" s="8"/>
      <c r="U39" s="8"/>
      <c r="V39" s="8">
        <f t="shared" si="2"/>
        <v>27629.75</v>
      </c>
      <c r="W39" s="9">
        <f t="shared" si="3"/>
        <v>4604.958333333333</v>
      </c>
    </row>
    <row r="40" spans="1:23" x14ac:dyDescent="0.3">
      <c r="A40" s="4" t="str">
        <f>VLOOKUP(G40,Data!$A:$G,2,0)</f>
        <v>Under Office (Birbhum)</v>
      </c>
      <c r="B40" s="4" t="str">
        <f>VLOOKUP(G40,Data!$A:$G,3,0)</f>
        <v>Active</v>
      </c>
      <c r="C40" s="4" t="str">
        <f>VLOOKUP(G40,Data!$A:$G,4,0)</f>
        <v>Siliguri</v>
      </c>
      <c r="D40" s="4" t="str">
        <f>VLOOKUP(G40,Data!$A:$G,5,0)</f>
        <v>Dharampur</v>
      </c>
      <c r="E40" s="4" t="str">
        <f>VLOOKUP(G40,Data!$A:$G,6,0)</f>
        <v>Md Zulfikar Ali</v>
      </c>
      <c r="F40" s="10" t="str">
        <f>VLOOKUP(G40,Data!$A:$G,7,0)</f>
        <v>0140315201</v>
      </c>
      <c r="G40" s="5">
        <v>27792</v>
      </c>
      <c r="H40" s="5" t="str">
        <f>VLOOKUP(G40,'FI txn'!$G:$X,18,0)</f>
        <v>&gt; 300</v>
      </c>
      <c r="I40" s="7">
        <f>VLOOKUP(G40,'FI txn'!$G:$H,2,0)</f>
        <v>6</v>
      </c>
      <c r="J40" s="8">
        <v>4829</v>
      </c>
      <c r="K40" s="8">
        <v>4196</v>
      </c>
      <c r="L40" s="8">
        <v>4501</v>
      </c>
      <c r="M40" s="8">
        <v>5812</v>
      </c>
      <c r="N40" s="8">
        <v>5102</v>
      </c>
      <c r="O40" s="8"/>
      <c r="P40" s="8"/>
      <c r="Q40" s="8"/>
      <c r="R40" s="8"/>
      <c r="S40" s="8"/>
      <c r="T40" s="8"/>
      <c r="U40" s="8"/>
      <c r="V40" s="8">
        <f t="shared" si="2"/>
        <v>24440</v>
      </c>
      <c r="W40" s="9">
        <f t="shared" si="3"/>
        <v>4073.3333333333335</v>
      </c>
    </row>
    <row r="41" spans="1:23" x14ac:dyDescent="0.3">
      <c r="A41" s="4" t="str">
        <f>VLOOKUP(G41,Data!$A:$G,2,0)</f>
        <v>Under Office (W Medinipur)</v>
      </c>
      <c r="B41" s="4" t="str">
        <f>VLOOKUP(G41,Data!$A:$G,3,0)</f>
        <v>Active</v>
      </c>
      <c r="C41" s="4" t="str">
        <f>VLOOKUP(G41,Data!$A:$G,4,0)</f>
        <v>Hooghly</v>
      </c>
      <c r="D41" s="4" t="str">
        <f>VLOOKUP(G41,Data!$A:$G,5,0)</f>
        <v>Chandrakona</v>
      </c>
      <c r="E41" s="4" t="str">
        <f>VLOOKUP(G41,Data!$A:$G,6,0)</f>
        <v>Mani Dhara</v>
      </c>
      <c r="F41" s="10" t="str">
        <f>VLOOKUP(G41,Data!$A:$G,7,0)</f>
        <v>2390313180</v>
      </c>
      <c r="G41" s="5">
        <v>24494</v>
      </c>
      <c r="H41" s="5" t="str">
        <f>VLOOKUP(G41,'FI txn'!$G:$X,18,0)</f>
        <v>&gt; 300</v>
      </c>
      <c r="I41" s="7">
        <f>VLOOKUP(G41,'FI txn'!$G:$H,2,0)</f>
        <v>6</v>
      </c>
      <c r="J41" s="8">
        <v>3859</v>
      </c>
      <c r="K41" s="8">
        <v>2864</v>
      </c>
      <c r="L41" s="8">
        <v>3428</v>
      </c>
      <c r="M41" s="8">
        <v>3849</v>
      </c>
      <c r="N41" s="8">
        <v>5026.5</v>
      </c>
      <c r="O41" s="8"/>
      <c r="P41" s="8"/>
      <c r="Q41" s="8"/>
      <c r="R41" s="8"/>
      <c r="S41" s="8"/>
      <c r="T41" s="8"/>
      <c r="U41" s="8"/>
      <c r="V41" s="8">
        <f t="shared" si="2"/>
        <v>19026.5</v>
      </c>
      <c r="W41" s="9">
        <f t="shared" si="3"/>
        <v>3171.0833333333335</v>
      </c>
    </row>
    <row r="42" spans="1:23" x14ac:dyDescent="0.3">
      <c r="A42" s="4" t="str">
        <f>VLOOKUP(G42,Data!$A:$G,2,0)</f>
        <v>Chandi Charan Mahato</v>
      </c>
      <c r="B42" s="4" t="str">
        <f>VLOOKUP(G42,Data!$A:$G,3,0)</f>
        <v>Active</v>
      </c>
      <c r="C42" s="4" t="str">
        <f>VLOOKUP(G42,Data!$A:$G,4,0)</f>
        <v>Durgapur</v>
      </c>
      <c r="D42" s="4" t="str">
        <f>VLOOKUP(G42,Data!$A:$G,5,0)</f>
        <v>Anara</v>
      </c>
      <c r="E42" s="4" t="str">
        <f>VLOOKUP(G42,Data!$A:$G,6,0)</f>
        <v>Biswajit Majee</v>
      </c>
      <c r="F42" s="10" t="str">
        <f>VLOOKUP(G42,Data!$A:$G,7,0)</f>
        <v>2460314961</v>
      </c>
      <c r="G42" s="5">
        <v>27219</v>
      </c>
      <c r="H42" s="5" t="str">
        <f>VLOOKUP(G42,'FI txn'!$G:$X,18,0)</f>
        <v>&gt; 300</v>
      </c>
      <c r="I42" s="7">
        <f>VLOOKUP(G42,'FI txn'!$G:$H,2,0)</f>
        <v>6</v>
      </c>
      <c r="J42" s="8">
        <v>4247</v>
      </c>
      <c r="K42" s="8">
        <v>7078.5</v>
      </c>
      <c r="L42" s="8">
        <v>3735.5</v>
      </c>
      <c r="M42" s="8">
        <v>3881.75</v>
      </c>
      <c r="N42" s="8">
        <v>4836.25</v>
      </c>
      <c r="O42" s="8"/>
      <c r="P42" s="8"/>
      <c r="Q42" s="8"/>
      <c r="R42" s="8"/>
      <c r="S42" s="8"/>
      <c r="T42" s="8"/>
      <c r="U42" s="8"/>
      <c r="V42" s="8">
        <f t="shared" si="2"/>
        <v>23779</v>
      </c>
      <c r="W42" s="9">
        <f t="shared" si="3"/>
        <v>3963.1666666666665</v>
      </c>
    </row>
    <row r="43" spans="1:23" x14ac:dyDescent="0.3">
      <c r="A43" s="4" t="str">
        <f>VLOOKUP(G43,Data!$A:$G,2,0)</f>
        <v>Rajendra Kumar Bapari</v>
      </c>
      <c r="B43" s="4" t="str">
        <f>VLOOKUP(G43,Data!$A:$G,3,0)</f>
        <v>Active</v>
      </c>
      <c r="C43" s="4" t="str">
        <f>VLOOKUP(G43,Data!$A:$G,4,0)</f>
        <v>Durgapur</v>
      </c>
      <c r="D43" s="4" t="str">
        <f>VLOOKUP(G43,Data!$A:$G,5,0)</f>
        <v>Kushodanga</v>
      </c>
      <c r="E43" s="4" t="str">
        <f>VLOOKUP(G43,Data!$A:$G,6,0)</f>
        <v>Rumpa Pal Mondal</v>
      </c>
      <c r="F43" s="10" t="str">
        <f>VLOOKUP(G43,Data!$A:$G,7,0)</f>
        <v>3390315402</v>
      </c>
      <c r="G43" s="5">
        <v>28170</v>
      </c>
      <c r="H43" s="5" t="str">
        <f>VLOOKUP(G43,'FI txn'!$G:$X,18,0)</f>
        <v>&gt; 300</v>
      </c>
      <c r="I43" s="7">
        <f>VLOOKUP(G43,'FI txn'!$G:$H,2,0)</f>
        <v>6</v>
      </c>
      <c r="J43" s="8">
        <v>4880.5</v>
      </c>
      <c r="K43" s="8">
        <v>3858.5</v>
      </c>
      <c r="L43" s="8">
        <v>3494.25</v>
      </c>
      <c r="M43" s="8">
        <v>4161.5</v>
      </c>
      <c r="N43" s="8">
        <v>4558.5</v>
      </c>
      <c r="O43" s="8"/>
      <c r="P43" s="8"/>
      <c r="Q43" s="8"/>
      <c r="R43" s="8"/>
      <c r="S43" s="8"/>
      <c r="T43" s="8"/>
      <c r="U43" s="8"/>
      <c r="V43" s="8">
        <f t="shared" si="2"/>
        <v>20953.25</v>
      </c>
      <c r="W43" s="9">
        <f t="shared" si="3"/>
        <v>3492.2083333333335</v>
      </c>
    </row>
    <row r="44" spans="1:23" x14ac:dyDescent="0.3">
      <c r="A44" s="4" t="str">
        <f>VLOOKUP(G44,Data!$A:$G,2,0)</f>
        <v>Under Office (W Medinipur)</v>
      </c>
      <c r="B44" s="4" t="str">
        <f>VLOOKUP(G44,Data!$A:$G,3,0)</f>
        <v>Active</v>
      </c>
      <c r="C44" s="4" t="str">
        <f>VLOOKUP(G44,Data!$A:$G,4,0)</f>
        <v>Hooghly</v>
      </c>
      <c r="D44" s="4" t="str">
        <f>VLOOKUP(G44,Data!$A:$G,5,0)</f>
        <v>Banka</v>
      </c>
      <c r="E44" s="4" t="str">
        <f>VLOOKUP(G44,Data!$A:$G,6,0)</f>
        <v>Subhajit Chanda</v>
      </c>
      <c r="F44" s="10" t="str">
        <f>VLOOKUP(G44,Data!$A:$G,7,0)</f>
        <v>2390312543</v>
      </c>
      <c r="G44" s="5">
        <v>23560</v>
      </c>
      <c r="H44" s="5" t="str">
        <f>VLOOKUP(G44,'FI txn'!$G:$X,18,0)</f>
        <v>&gt; 300</v>
      </c>
      <c r="I44" s="7">
        <f>VLOOKUP(G44,'FI txn'!$G:$H,2,0)</f>
        <v>6</v>
      </c>
      <c r="J44" s="8">
        <v>5207</v>
      </c>
      <c r="K44" s="8">
        <v>4997</v>
      </c>
      <c r="L44" s="8">
        <v>4292</v>
      </c>
      <c r="M44" s="8">
        <v>4160</v>
      </c>
      <c r="N44" s="8">
        <v>4381</v>
      </c>
      <c r="O44" s="8"/>
      <c r="P44" s="8"/>
      <c r="Q44" s="8"/>
      <c r="R44" s="8"/>
      <c r="S44" s="8"/>
      <c r="T44" s="8"/>
      <c r="U44" s="8"/>
      <c r="V44" s="8">
        <f t="shared" si="2"/>
        <v>23037</v>
      </c>
      <c r="W44" s="9">
        <f t="shared" si="3"/>
        <v>3839.5</v>
      </c>
    </row>
    <row r="45" spans="1:23" x14ac:dyDescent="0.3">
      <c r="A45" s="4" t="str">
        <f>VLOOKUP(G45,Data!$A:$G,2,0)</f>
        <v>Sunil Biswas</v>
      </c>
      <c r="B45" s="4" t="str">
        <f>VLOOKUP(G45,Data!$A:$G,3,0)</f>
        <v>Active</v>
      </c>
      <c r="C45" s="4" t="str">
        <f>VLOOKUP(G45,Data!$A:$G,4,0)</f>
        <v>Durgapur</v>
      </c>
      <c r="D45" s="4" t="str">
        <f>VLOOKUP(G45,Data!$A:$G,5,0)</f>
        <v>Haringhata</v>
      </c>
      <c r="E45" s="4" t="str">
        <f>VLOOKUP(G45,Data!$A:$G,6,0)</f>
        <v>Eyakub Mondal</v>
      </c>
      <c r="F45" s="10" t="str">
        <f>VLOOKUP(G45,Data!$A:$G,7,0)</f>
        <v>2430315345</v>
      </c>
      <c r="G45" s="5">
        <v>28085</v>
      </c>
      <c r="H45" s="5" t="str">
        <f>VLOOKUP(G45,'FI txn'!$G:$X,18,0)</f>
        <v>&gt; 300</v>
      </c>
      <c r="I45" s="7">
        <f>VLOOKUP(G45,'FI txn'!$G:$H,2,0)</f>
        <v>6</v>
      </c>
      <c r="J45" s="8">
        <v>3530.5</v>
      </c>
      <c r="K45" s="8">
        <v>6714.5</v>
      </c>
      <c r="L45" s="8">
        <v>3471</v>
      </c>
      <c r="M45" s="8">
        <v>6391</v>
      </c>
      <c r="N45" s="8">
        <v>4328</v>
      </c>
      <c r="O45" s="8"/>
      <c r="P45" s="8"/>
      <c r="Q45" s="8"/>
      <c r="R45" s="8"/>
      <c r="S45" s="8"/>
      <c r="T45" s="8"/>
      <c r="U45" s="8"/>
      <c r="V45" s="8">
        <f t="shared" si="2"/>
        <v>24435</v>
      </c>
      <c r="W45" s="9">
        <f t="shared" si="3"/>
        <v>4072.5</v>
      </c>
    </row>
    <row r="46" spans="1:23" x14ac:dyDescent="0.3">
      <c r="A46" s="4" t="str">
        <f>VLOOKUP(G46,Data!$A:$G,2,0)</f>
        <v>Manindra Nath Barman</v>
      </c>
      <c r="B46" s="4" t="str">
        <f>VLOOKUP(G46,Data!$A:$G,3,0)</f>
        <v>Active</v>
      </c>
      <c r="C46" s="4" t="str">
        <f>VLOOKUP(G46,Data!$A:$G,4,0)</f>
        <v>Siliguri</v>
      </c>
      <c r="D46" s="4" t="str">
        <f>VLOOKUP(G46,Data!$A:$G,5,0)</f>
        <v>Barobisha</v>
      </c>
      <c r="E46" s="4" t="str">
        <f>VLOOKUP(G46,Data!$A:$G,6,0)</f>
        <v>Md Akimuzzaman</v>
      </c>
      <c r="F46" s="10" t="str">
        <f>VLOOKUP(G46,Data!$A:$G,7,0)</f>
        <v>2310315481</v>
      </c>
      <c r="G46" s="5">
        <v>28270</v>
      </c>
      <c r="H46" s="5" t="str">
        <f>VLOOKUP(G46,'FI txn'!$G:$X,18,0)</f>
        <v>&gt; 150</v>
      </c>
      <c r="I46" s="7">
        <f>VLOOKUP(G46,'FI txn'!$G:$H,2,0)</f>
        <v>6</v>
      </c>
      <c r="J46" s="8">
        <v>1758.5</v>
      </c>
      <c r="K46" s="8">
        <v>1461</v>
      </c>
      <c r="L46" s="8">
        <v>2362</v>
      </c>
      <c r="M46" s="8">
        <v>3000.5</v>
      </c>
      <c r="N46" s="8">
        <v>4267.75</v>
      </c>
      <c r="O46" s="8"/>
      <c r="P46" s="8"/>
      <c r="Q46" s="8"/>
      <c r="R46" s="8"/>
      <c r="S46" s="8"/>
      <c r="T46" s="8"/>
      <c r="U46" s="8"/>
      <c r="V46" s="8">
        <f t="shared" si="2"/>
        <v>12849.75</v>
      </c>
      <c r="W46" s="9">
        <f t="shared" si="3"/>
        <v>2141.625</v>
      </c>
    </row>
    <row r="47" spans="1:23" x14ac:dyDescent="0.3">
      <c r="A47" s="4" t="str">
        <f>VLOOKUP(G47,Data!$A:$G,2,0)</f>
        <v>Souvik Maity</v>
      </c>
      <c r="B47" s="4" t="str">
        <f>VLOOKUP(G47,Data!$A:$G,3,0)</f>
        <v>Active</v>
      </c>
      <c r="C47" s="4" t="str">
        <f>VLOOKUP(G47,Data!$A:$G,4,0)</f>
        <v>Hooghly</v>
      </c>
      <c r="D47" s="4" t="str">
        <f>VLOOKUP(G47,Data!$A:$G,5,0)</f>
        <v>Polba</v>
      </c>
      <c r="E47" s="4" t="str">
        <f>VLOOKUP(G47,Data!$A:$G,6,0)</f>
        <v>Arindam Sadhukhan</v>
      </c>
      <c r="F47" s="10" t="str">
        <f>VLOOKUP(G47,Data!$A:$G,7,0)</f>
        <v>3390315433</v>
      </c>
      <c r="G47" s="5">
        <v>28201</v>
      </c>
      <c r="H47" s="5" t="str">
        <f>VLOOKUP(G47,'FI txn'!$G:$X,18,0)</f>
        <v>&gt; 150</v>
      </c>
      <c r="I47" s="7">
        <f>VLOOKUP(G47,'FI txn'!$G:$H,2,0)</f>
        <v>6</v>
      </c>
      <c r="J47" s="8">
        <v>8957</v>
      </c>
      <c r="K47" s="8">
        <v>7444.5</v>
      </c>
      <c r="L47" s="8">
        <v>2711</v>
      </c>
      <c r="M47" s="8">
        <v>2279</v>
      </c>
      <c r="N47" s="8">
        <v>4198</v>
      </c>
      <c r="O47" s="8"/>
      <c r="P47" s="8"/>
      <c r="Q47" s="8"/>
      <c r="R47" s="8"/>
      <c r="S47" s="8"/>
      <c r="T47" s="8"/>
      <c r="U47" s="8"/>
      <c r="V47" s="8">
        <f t="shared" si="2"/>
        <v>25589.5</v>
      </c>
      <c r="W47" s="9">
        <f t="shared" si="3"/>
        <v>4264.916666666667</v>
      </c>
    </row>
    <row r="48" spans="1:23" x14ac:dyDescent="0.3">
      <c r="A48" s="4" t="str">
        <f>VLOOKUP(G48,Data!$A:$G,2,0)</f>
        <v>Under Office (Birbhum)</v>
      </c>
      <c r="B48" s="4" t="str">
        <f>VLOOKUP(G48,Data!$A:$G,3,0)</f>
        <v>Active</v>
      </c>
      <c r="C48" s="4" t="str">
        <f>VLOOKUP(G48,Data!$A:$G,4,0)</f>
        <v>Siliguri</v>
      </c>
      <c r="D48" s="4" t="str">
        <f>VLOOKUP(G48,Data!$A:$G,5,0)</f>
        <v>Kapista</v>
      </c>
      <c r="E48" s="4" t="str">
        <f>VLOOKUP(G48,Data!$A:$G,6,0)</f>
        <v>Swarup Karmakar</v>
      </c>
      <c r="F48" s="10" t="str">
        <f>VLOOKUP(G48,Data!$A:$G,7,0)</f>
        <v>0140311629</v>
      </c>
      <c r="G48" s="5">
        <v>22366</v>
      </c>
      <c r="H48" s="5" t="str">
        <f>VLOOKUP(G48,'FI txn'!$G:$X,18,0)</f>
        <v>&gt; 300</v>
      </c>
      <c r="I48" s="7">
        <f>VLOOKUP(G48,'FI txn'!$G:$H,2,0)</f>
        <v>6</v>
      </c>
      <c r="J48" s="8">
        <v>3033.25</v>
      </c>
      <c r="K48" s="8">
        <v>3387</v>
      </c>
      <c r="L48" s="8">
        <v>3078.75</v>
      </c>
      <c r="M48" s="8">
        <v>3578.75</v>
      </c>
      <c r="N48" s="8">
        <v>4136</v>
      </c>
      <c r="O48" s="8"/>
      <c r="P48" s="8"/>
      <c r="Q48" s="8"/>
      <c r="R48" s="8"/>
      <c r="S48" s="8"/>
      <c r="T48" s="8"/>
      <c r="U48" s="8"/>
      <c r="V48" s="8">
        <f t="shared" si="2"/>
        <v>17213.75</v>
      </c>
      <c r="W48" s="9">
        <f t="shared" si="3"/>
        <v>2868.9583333333335</v>
      </c>
    </row>
    <row r="49" spans="1:23" x14ac:dyDescent="0.3">
      <c r="A49" s="4" t="str">
        <f>VLOOKUP(G49,Data!$A:$G,2,0)</f>
        <v>Souvik Maity</v>
      </c>
      <c r="B49" s="4" t="str">
        <f>VLOOKUP(G49,Data!$A:$G,3,0)</f>
        <v>Active</v>
      </c>
      <c r="C49" s="4" t="str">
        <f>VLOOKUP(G49,Data!$A:$G,4,0)</f>
        <v>Hooghly</v>
      </c>
      <c r="D49" s="4" t="str">
        <f>VLOOKUP(G49,Data!$A:$G,5,0)</f>
        <v>Sahapur</v>
      </c>
      <c r="E49" s="4" t="str">
        <f>VLOOKUP(G49,Data!$A:$G,6,0)</f>
        <v>Bishal Maity</v>
      </c>
      <c r="F49" s="10" t="str">
        <f>VLOOKUP(G49,Data!$A:$G,7,0)</f>
        <v>3390312548</v>
      </c>
      <c r="G49" s="5">
        <v>23565</v>
      </c>
      <c r="H49" s="5" t="str">
        <f>VLOOKUP(G49,'FI txn'!$G:$X,18,0)</f>
        <v>&gt; 150</v>
      </c>
      <c r="I49" s="7">
        <f>VLOOKUP(G49,'FI txn'!$G:$H,2,0)</f>
        <v>6</v>
      </c>
      <c r="J49" s="8">
        <v>6375</v>
      </c>
      <c r="K49" s="8">
        <v>6210</v>
      </c>
      <c r="L49" s="8">
        <v>3785</v>
      </c>
      <c r="M49" s="8">
        <v>3902</v>
      </c>
      <c r="N49" s="8">
        <v>4082</v>
      </c>
      <c r="O49" s="8"/>
      <c r="P49" s="8"/>
      <c r="Q49" s="8"/>
      <c r="R49" s="8"/>
      <c r="S49" s="8"/>
      <c r="T49" s="8"/>
      <c r="U49" s="8"/>
      <c r="V49" s="8">
        <f t="shared" si="2"/>
        <v>24354</v>
      </c>
      <c r="W49" s="9">
        <f t="shared" si="3"/>
        <v>4059</v>
      </c>
    </row>
    <row r="50" spans="1:23" x14ac:dyDescent="0.3">
      <c r="A50" s="4" t="str">
        <f>VLOOKUP(G50,Data!$A:$G,2,0)</f>
        <v>Shyamalesh Sarkar</v>
      </c>
      <c r="B50" s="4" t="str">
        <f>VLOOKUP(G50,Data!$A:$G,3,0)</f>
        <v>Active</v>
      </c>
      <c r="C50" s="4" t="str">
        <f>VLOOKUP(G50,Data!$A:$G,4,0)</f>
        <v>Siliguri</v>
      </c>
      <c r="D50" s="4" t="str">
        <f>VLOOKUP(G50,Data!$A:$G,5,0)</f>
        <v>Sagardighi Square</v>
      </c>
      <c r="E50" s="4" t="str">
        <f>VLOOKUP(G50,Data!$A:$G,6,0)</f>
        <v>Rajani Roy</v>
      </c>
      <c r="F50" s="10" t="str">
        <f>VLOOKUP(G50,Data!$A:$G,7,0)</f>
        <v>2200310076</v>
      </c>
      <c r="G50" s="5">
        <v>20502</v>
      </c>
      <c r="H50" s="5" t="str">
        <f>VLOOKUP(G50,'FI txn'!$G:$X,18,0)</f>
        <v>&gt; 150</v>
      </c>
      <c r="I50" s="7">
        <f>VLOOKUP(G50,'FI txn'!$G:$H,2,0)</f>
        <v>6</v>
      </c>
      <c r="J50" s="8">
        <v>2368</v>
      </c>
      <c r="K50" s="8">
        <v>2326.75</v>
      </c>
      <c r="L50" s="8">
        <v>2844</v>
      </c>
      <c r="M50" s="8">
        <v>4899.25</v>
      </c>
      <c r="N50" s="8">
        <v>3932.5</v>
      </c>
      <c r="O50" s="8"/>
      <c r="P50" s="8"/>
      <c r="Q50" s="8"/>
      <c r="R50" s="8"/>
      <c r="S50" s="8"/>
      <c r="T50" s="8"/>
      <c r="U50" s="8"/>
      <c r="V50" s="8">
        <f t="shared" si="2"/>
        <v>16370.5</v>
      </c>
      <c r="W50" s="9">
        <f t="shared" si="3"/>
        <v>2728.4166666666665</v>
      </c>
    </row>
    <row r="51" spans="1:23" x14ac:dyDescent="0.3">
      <c r="A51" s="4" t="str">
        <f>VLOOKUP(G51,Data!$A:$G,2,0)</f>
        <v>Sunil Biswas</v>
      </c>
      <c r="B51" s="4" t="str">
        <f>VLOOKUP(G51,Data!$A:$G,3,0)</f>
        <v>Active</v>
      </c>
      <c r="C51" s="4" t="str">
        <f>VLOOKUP(G51,Data!$A:$G,4,0)</f>
        <v>Durgapur</v>
      </c>
      <c r="D51" s="4" t="str">
        <f>VLOOKUP(G51,Data!$A:$G,5,0)</f>
        <v>Hidaypur</v>
      </c>
      <c r="E51" s="4" t="str">
        <f>VLOOKUP(G51,Data!$A:$G,6,0)</f>
        <v>Akramul Shaikh</v>
      </c>
      <c r="F51" s="10" t="str">
        <f>VLOOKUP(G51,Data!$A:$G,7,0)</f>
        <v>2430315571</v>
      </c>
      <c r="G51" s="5">
        <v>28485</v>
      </c>
      <c r="H51" s="5" t="str">
        <f>VLOOKUP(G51,'FI txn'!$G:$X,18,0)</f>
        <v>&gt; 150</v>
      </c>
      <c r="I51" s="7">
        <f>VLOOKUP(G51,'FI txn'!$G:$H,2,0)</f>
        <v>6</v>
      </c>
      <c r="J51" s="8">
        <v>2601</v>
      </c>
      <c r="K51" s="8">
        <v>2744.5</v>
      </c>
      <c r="L51" s="8">
        <v>3046.25</v>
      </c>
      <c r="M51" s="8">
        <v>3710.75</v>
      </c>
      <c r="N51" s="8">
        <v>3903</v>
      </c>
      <c r="O51" s="8"/>
      <c r="P51" s="8"/>
      <c r="Q51" s="8"/>
      <c r="R51" s="8"/>
      <c r="S51" s="8"/>
      <c r="T51" s="8"/>
      <c r="U51" s="8"/>
      <c r="V51" s="8">
        <f t="shared" si="2"/>
        <v>16005.5</v>
      </c>
      <c r="W51" s="9">
        <f t="shared" si="3"/>
        <v>2667.5833333333335</v>
      </c>
    </row>
    <row r="52" spans="1:23" x14ac:dyDescent="0.3">
      <c r="A52" s="4" t="str">
        <f>VLOOKUP(G52,Data!$A:$G,2,0)</f>
        <v>Chandi Charan Mahato</v>
      </c>
      <c r="B52" s="4" t="str">
        <f>VLOOKUP(G52,Data!$A:$G,3,0)</f>
        <v>Active</v>
      </c>
      <c r="C52" s="4" t="str">
        <f>VLOOKUP(G52,Data!$A:$G,4,0)</f>
        <v>Durgapur</v>
      </c>
      <c r="D52" s="4" t="str">
        <f>VLOOKUP(G52,Data!$A:$G,5,0)</f>
        <v>Patrasayer</v>
      </c>
      <c r="E52" s="4" t="str">
        <f>VLOOKUP(G52,Data!$A:$G,6,0)</f>
        <v>Satish Ankure</v>
      </c>
      <c r="F52" s="10" t="str">
        <f>VLOOKUP(G52,Data!$A:$G,7,0)</f>
        <v>2160314679</v>
      </c>
      <c r="G52" s="5">
        <v>26810</v>
      </c>
      <c r="H52" s="5" t="str">
        <f>VLOOKUP(G52,'FI txn'!$G:$X,18,0)</f>
        <v>&gt; 300</v>
      </c>
      <c r="I52" s="7">
        <f>VLOOKUP(G52,'FI txn'!$G:$H,2,0)</f>
        <v>6</v>
      </c>
      <c r="J52" s="8">
        <v>4068.5</v>
      </c>
      <c r="K52" s="8">
        <v>3147</v>
      </c>
      <c r="L52" s="8">
        <v>2200</v>
      </c>
      <c r="M52" s="8">
        <v>3446.75</v>
      </c>
      <c r="N52" s="8">
        <v>3736</v>
      </c>
      <c r="O52" s="8"/>
      <c r="P52" s="8"/>
      <c r="Q52" s="8"/>
      <c r="R52" s="8"/>
      <c r="S52" s="8"/>
      <c r="T52" s="8"/>
      <c r="U52" s="8"/>
      <c r="V52" s="8">
        <f t="shared" si="2"/>
        <v>16598.25</v>
      </c>
      <c r="W52" s="9">
        <f t="shared" si="3"/>
        <v>2766.375</v>
      </c>
    </row>
    <row r="53" spans="1:23" x14ac:dyDescent="0.3">
      <c r="A53" s="4" t="str">
        <f>VLOOKUP(G53,Data!$A:$G,2,0)</f>
        <v>Under Office (W Medinipur)</v>
      </c>
      <c r="B53" s="4" t="str">
        <f>VLOOKUP(G53,Data!$A:$G,3,0)</f>
        <v>Active</v>
      </c>
      <c r="C53" s="4" t="str">
        <f>VLOOKUP(G53,Data!$A:$G,4,0)</f>
        <v>Hooghly</v>
      </c>
      <c r="D53" s="4" t="str">
        <f>VLOOKUP(G53,Data!$A:$G,5,0)</f>
        <v>Jhargram</v>
      </c>
      <c r="E53" s="4" t="str">
        <f>VLOOKUP(G53,Data!$A:$G,6,0)</f>
        <v>Sk Imran</v>
      </c>
      <c r="F53" s="10" t="str">
        <f>VLOOKUP(G53,Data!$A:$G,7,0)</f>
        <v>2390311695</v>
      </c>
      <c r="G53" s="5">
        <v>22452</v>
      </c>
      <c r="H53" s="5" t="str">
        <f>VLOOKUP(G53,'FI txn'!$G:$X,18,0)</f>
        <v>&gt; 150</v>
      </c>
      <c r="I53" s="7">
        <f>VLOOKUP(G53,'FI txn'!$G:$H,2,0)</f>
        <v>6</v>
      </c>
      <c r="J53" s="8">
        <v>2897.5</v>
      </c>
      <c r="K53" s="8">
        <v>2355.5</v>
      </c>
      <c r="L53" s="8">
        <v>2931.5</v>
      </c>
      <c r="M53" s="8">
        <v>3862</v>
      </c>
      <c r="N53" s="8">
        <v>3417</v>
      </c>
      <c r="O53" s="8"/>
      <c r="P53" s="8"/>
      <c r="Q53" s="8"/>
      <c r="R53" s="8"/>
      <c r="S53" s="8"/>
      <c r="T53" s="8"/>
      <c r="U53" s="8"/>
      <c r="V53" s="8">
        <f t="shared" si="2"/>
        <v>15463.5</v>
      </c>
      <c r="W53" s="9">
        <f t="shared" si="3"/>
        <v>2577.25</v>
      </c>
    </row>
    <row r="54" spans="1:23" x14ac:dyDescent="0.3">
      <c r="A54" s="4" t="str">
        <f>VLOOKUP(G54,Data!$A:$G,2,0)</f>
        <v>Avi Sk</v>
      </c>
      <c r="B54" s="4" t="str">
        <f>VLOOKUP(G54,Data!$A:$G,3,0)</f>
        <v>Active</v>
      </c>
      <c r="C54" s="4" t="str">
        <f>VLOOKUP(G54,Data!$A:$G,4,0)</f>
        <v>Siliguri</v>
      </c>
      <c r="D54" s="4" t="str">
        <f>VLOOKUP(G54,Data!$A:$G,5,0)</f>
        <v>Kanupur</v>
      </c>
      <c r="E54" s="4" t="str">
        <f>VLOOKUP(G54,Data!$A:$G,6,0)</f>
        <v>Shobhan Majhi</v>
      </c>
      <c r="F54" s="10" t="str">
        <f>VLOOKUP(G54,Data!$A:$G,7,0)</f>
        <v>2410311257</v>
      </c>
      <c r="G54" s="5">
        <v>21926</v>
      </c>
      <c r="H54" s="5" t="str">
        <f>VLOOKUP(G54,'FI txn'!$G:$X,18,0)</f>
        <v>&gt; 150</v>
      </c>
      <c r="I54" s="7">
        <f>VLOOKUP(G54,'FI txn'!$G:$H,2,0)</f>
        <v>6</v>
      </c>
      <c r="J54" s="8">
        <v>4147</v>
      </c>
      <c r="K54" s="8">
        <v>3907</v>
      </c>
      <c r="L54" s="8">
        <v>3985</v>
      </c>
      <c r="M54" s="8">
        <v>3326</v>
      </c>
      <c r="N54" s="8">
        <v>3386</v>
      </c>
      <c r="O54" s="8"/>
      <c r="P54" s="8"/>
      <c r="Q54" s="8"/>
      <c r="R54" s="8"/>
      <c r="S54" s="8"/>
      <c r="T54" s="8"/>
      <c r="U54" s="8"/>
      <c r="V54" s="8">
        <f t="shared" si="2"/>
        <v>18751</v>
      </c>
      <c r="W54" s="9">
        <f t="shared" si="3"/>
        <v>3125.1666666666665</v>
      </c>
    </row>
    <row r="55" spans="1:23" x14ac:dyDescent="0.3">
      <c r="A55" s="4" t="str">
        <f>VLOOKUP(G55,Data!$A:$G,2,0)</f>
        <v>Avi Sk</v>
      </c>
      <c r="B55" s="4" t="str">
        <f>VLOOKUP(G55,Data!$A:$G,3,0)</f>
        <v>Active</v>
      </c>
      <c r="C55" s="4" t="str">
        <f>VLOOKUP(G55,Data!$A:$G,4,0)</f>
        <v>Siliguri</v>
      </c>
      <c r="D55" s="4" t="str">
        <f>VLOOKUP(G55,Data!$A:$G,5,0)</f>
        <v>Sagarpara</v>
      </c>
      <c r="E55" s="4" t="str">
        <f>VLOOKUP(G55,Data!$A:$G,6,0)</f>
        <v>Habibur Rahaman</v>
      </c>
      <c r="F55" s="10" t="str">
        <f>VLOOKUP(G55,Data!$A:$G,7,0)</f>
        <v>2410311259</v>
      </c>
      <c r="G55" s="5">
        <v>28860</v>
      </c>
      <c r="H55" s="5" t="str">
        <f>VLOOKUP(G55,'FI txn'!$G:$X,18,0)</f>
        <v>&gt; 150</v>
      </c>
      <c r="I55" s="7">
        <f>VLOOKUP(G55,'FI txn'!$G:$H,2,0)</f>
        <v>6</v>
      </c>
      <c r="J55" s="8">
        <v>3345</v>
      </c>
      <c r="K55" s="8">
        <v>3551</v>
      </c>
      <c r="L55" s="8">
        <v>3034</v>
      </c>
      <c r="M55" s="8">
        <v>2538</v>
      </c>
      <c r="N55" s="8">
        <v>3226</v>
      </c>
      <c r="O55" s="8"/>
      <c r="P55" s="8"/>
      <c r="Q55" s="8"/>
      <c r="R55" s="8"/>
      <c r="S55" s="8"/>
      <c r="T55" s="8"/>
      <c r="U55" s="8"/>
      <c r="V55" s="8">
        <f t="shared" si="2"/>
        <v>15694</v>
      </c>
      <c r="W55" s="9">
        <f t="shared" si="3"/>
        <v>2615.6666666666665</v>
      </c>
    </row>
    <row r="56" spans="1:23" x14ac:dyDescent="0.3">
      <c r="A56" s="4" t="str">
        <f>VLOOKUP(G56,Data!$A:$G,2,0)</f>
        <v>Sanjoy Paul</v>
      </c>
      <c r="B56" s="4" t="str">
        <f>VLOOKUP(G56,Data!$A:$G,3,0)</f>
        <v>Active</v>
      </c>
      <c r="C56" s="4" t="str">
        <f>VLOOKUP(G56,Data!$A:$G,4,0)</f>
        <v>Siliguri</v>
      </c>
      <c r="D56" s="4" t="str">
        <f>VLOOKUP(G56,Data!$A:$G,5,0)</f>
        <v>Raiganj</v>
      </c>
      <c r="E56" s="4" t="str">
        <f>VLOOKUP(G56,Data!$A:$G,6,0)</f>
        <v>Joydev Das</v>
      </c>
      <c r="F56" s="10" t="str">
        <f>VLOOKUP(G56,Data!$A:$G,7,0)</f>
        <v>2560315042</v>
      </c>
      <c r="G56" s="5">
        <v>27372</v>
      </c>
      <c r="H56" s="5" t="str">
        <f>VLOOKUP(G56,'FI txn'!$G:$X,18,0)</f>
        <v>&gt; 150</v>
      </c>
      <c r="I56" s="7">
        <f>VLOOKUP(G56,'FI txn'!$G:$H,2,0)</f>
        <v>6</v>
      </c>
      <c r="J56" s="8">
        <v>3713.75</v>
      </c>
      <c r="K56" s="8">
        <v>2330.5</v>
      </c>
      <c r="L56" s="8">
        <v>1675.75</v>
      </c>
      <c r="M56" s="8">
        <v>2404.5</v>
      </c>
      <c r="N56" s="8">
        <v>2696.75</v>
      </c>
      <c r="O56" s="8"/>
      <c r="P56" s="8"/>
      <c r="Q56" s="8"/>
      <c r="R56" s="8"/>
      <c r="S56" s="8"/>
      <c r="T56" s="8"/>
      <c r="U56" s="8"/>
      <c r="V56" s="8">
        <f t="shared" si="2"/>
        <v>12821.25</v>
      </c>
      <c r="W56" s="9">
        <f t="shared" si="3"/>
        <v>2136.875</v>
      </c>
    </row>
    <row r="57" spans="1:23" x14ac:dyDescent="0.3">
      <c r="A57" s="4" t="str">
        <f>VLOOKUP(G57,Data!$A:$G,2,0)</f>
        <v>Manindra Nath Barman</v>
      </c>
      <c r="B57" s="4" t="str">
        <f>VLOOKUP(G57,Data!$A:$G,3,0)</f>
        <v>Active</v>
      </c>
      <c r="C57" s="4" t="str">
        <f>VLOOKUP(G57,Data!$A:$G,4,0)</f>
        <v>Siliguri</v>
      </c>
      <c r="D57" s="4" t="str">
        <f>VLOOKUP(G57,Data!$A:$G,5,0)</f>
        <v>Damanpur</v>
      </c>
      <c r="E57" s="4" t="str">
        <f>VLOOKUP(G57,Data!$A:$G,6,0)</f>
        <v>Biplab Barman</v>
      </c>
      <c r="F57" s="10" t="str">
        <f>VLOOKUP(G57,Data!$A:$G,7,0)</f>
        <v>9490310566</v>
      </c>
      <c r="G57" s="5">
        <v>21091</v>
      </c>
      <c r="H57" s="5" t="str">
        <f>VLOOKUP(G57,'FI txn'!$G:$X,18,0)</f>
        <v>&gt; 150</v>
      </c>
      <c r="I57" s="7">
        <f>VLOOKUP(G57,'FI txn'!$G:$H,2,0)</f>
        <v>6</v>
      </c>
      <c r="J57" s="8">
        <v>2539.25</v>
      </c>
      <c r="K57" s="8">
        <v>3544.75</v>
      </c>
      <c r="L57" s="8">
        <v>2498.5</v>
      </c>
      <c r="M57" s="8">
        <v>3355.25</v>
      </c>
      <c r="N57" s="8">
        <v>2631</v>
      </c>
      <c r="O57" s="8"/>
      <c r="P57" s="8"/>
      <c r="Q57" s="8"/>
      <c r="R57" s="8"/>
      <c r="S57" s="8"/>
      <c r="T57" s="8"/>
      <c r="U57" s="8"/>
      <c r="V57" s="8">
        <f t="shared" si="2"/>
        <v>14568.75</v>
      </c>
      <c r="W57" s="9">
        <f t="shared" si="3"/>
        <v>2428.125</v>
      </c>
    </row>
    <row r="58" spans="1:23" x14ac:dyDescent="0.3">
      <c r="A58" s="4" t="str">
        <f>VLOOKUP(G58,Data!$A:$G,2,0)</f>
        <v>Pijush Singha</v>
      </c>
      <c r="B58" s="4" t="str">
        <f>VLOOKUP(G58,Data!$A:$G,3,0)</f>
        <v>Active</v>
      </c>
      <c r="C58" s="4" t="str">
        <f>VLOOKUP(G58,Data!$A:$G,4,0)</f>
        <v>Siliguri</v>
      </c>
      <c r="D58" s="4" t="str">
        <f>VLOOKUP(G58,Data!$A:$G,5,0)</f>
        <v>Nabagram</v>
      </c>
      <c r="E58" s="4" t="str">
        <f>VLOOKUP(G58,Data!$A:$G,6,0)</f>
        <v>Sahabuddin Ahmed</v>
      </c>
      <c r="F58" s="10" t="str">
        <f>VLOOKUP(G58,Data!$A:$G,7,0)</f>
        <v>2410312329</v>
      </c>
      <c r="G58" s="5">
        <v>23270</v>
      </c>
      <c r="H58" s="5" t="str">
        <f>VLOOKUP(G58,'FI txn'!$G:$X,18,0)</f>
        <v>&gt; 150</v>
      </c>
      <c r="I58" s="7">
        <f>VLOOKUP(G58,'FI txn'!$G:$H,2,0)</f>
        <v>6</v>
      </c>
      <c r="J58" s="8">
        <v>2625</v>
      </c>
      <c r="K58" s="8">
        <v>2438</v>
      </c>
      <c r="L58" s="8">
        <v>2111</v>
      </c>
      <c r="M58" s="8">
        <v>2636</v>
      </c>
      <c r="N58" s="8">
        <v>2353</v>
      </c>
      <c r="O58" s="8"/>
      <c r="P58" s="8"/>
      <c r="Q58" s="8"/>
      <c r="R58" s="8"/>
      <c r="S58" s="8"/>
      <c r="T58" s="8"/>
      <c r="U58" s="8"/>
      <c r="V58" s="8">
        <f t="shared" si="2"/>
        <v>12163</v>
      </c>
      <c r="W58" s="9">
        <f t="shared" si="3"/>
        <v>2027.1666666666667</v>
      </c>
    </row>
    <row r="59" spans="1:23" x14ac:dyDescent="0.3">
      <c r="A59" s="4" t="str">
        <f>VLOOKUP(G59,Data!$A:$G,2,0)</f>
        <v>Santanu Bera</v>
      </c>
      <c r="B59" s="4" t="str">
        <f>VLOOKUP(G59,Data!$A:$G,3,0)</f>
        <v>Active</v>
      </c>
      <c r="C59" s="4" t="str">
        <f>VLOOKUP(G59,Data!$A:$G,4,0)</f>
        <v>Hooghly</v>
      </c>
      <c r="D59" s="4" t="str">
        <f>VLOOKUP(G59,Data!$A:$G,5,0)</f>
        <v>Kolaghat (Ktpps)</v>
      </c>
      <c r="E59" s="4" t="str">
        <f>VLOOKUP(G59,Data!$A:$G,6,0)</f>
        <v>Sudipta Mandal</v>
      </c>
      <c r="F59" s="10" t="str">
        <f>VLOOKUP(G59,Data!$A:$G,7,0)</f>
        <v>2380315163</v>
      </c>
      <c r="G59" s="5">
        <v>27637</v>
      </c>
      <c r="H59" s="5" t="str">
        <f>VLOOKUP(G59,'FI txn'!$G:$X,18,0)</f>
        <v>&lt; 150</v>
      </c>
      <c r="I59" s="7">
        <f>VLOOKUP(G59,'FI txn'!$G:$H,2,0)</f>
        <v>6</v>
      </c>
      <c r="J59" s="8">
        <v>1776</v>
      </c>
      <c r="K59" s="8">
        <v>1268</v>
      </c>
      <c r="L59" s="8">
        <v>919</v>
      </c>
      <c r="M59" s="8">
        <v>877</v>
      </c>
      <c r="N59" s="8">
        <v>2339</v>
      </c>
      <c r="O59" s="8"/>
      <c r="P59" s="8"/>
      <c r="Q59" s="8"/>
      <c r="R59" s="8"/>
      <c r="S59" s="8"/>
      <c r="T59" s="8"/>
      <c r="U59" s="8"/>
      <c r="V59" s="8">
        <f t="shared" si="2"/>
        <v>7179</v>
      </c>
      <c r="W59" s="9">
        <f t="shared" si="3"/>
        <v>1196.5</v>
      </c>
    </row>
    <row r="60" spans="1:23" x14ac:dyDescent="0.3">
      <c r="A60" s="4" t="str">
        <f>VLOOKUP(G60,Data!$A:$G,2,0)</f>
        <v>Sunil Biswas</v>
      </c>
      <c r="B60" s="4" t="str">
        <f>VLOOKUP(G60,Data!$A:$G,3,0)</f>
        <v>Active</v>
      </c>
      <c r="C60" s="4" t="str">
        <f>VLOOKUP(G60,Data!$A:$G,4,0)</f>
        <v>Durgapur</v>
      </c>
      <c r="D60" s="4" t="str">
        <f>VLOOKUP(G60,Data!$A:$G,5,0)</f>
        <v>Badkulla</v>
      </c>
      <c r="E60" s="4" t="str">
        <f>VLOOKUP(G60,Data!$A:$G,6,0)</f>
        <v>Swapan Kumar Biswas</v>
      </c>
      <c r="F60" s="10" t="str">
        <f>VLOOKUP(G60,Data!$A:$G,7,0)</f>
        <v>2430315186</v>
      </c>
      <c r="G60" s="5">
        <v>27732</v>
      </c>
      <c r="H60" s="5" t="str">
        <f>VLOOKUP(G60,'FI txn'!$G:$X,18,0)</f>
        <v>&gt; 150</v>
      </c>
      <c r="I60" s="7">
        <f>VLOOKUP(G60,'FI txn'!$G:$H,2,0)</f>
        <v>6</v>
      </c>
      <c r="J60" s="8">
        <v>2180.5</v>
      </c>
      <c r="K60" s="8">
        <v>2134.75</v>
      </c>
      <c r="L60" s="8">
        <v>2283</v>
      </c>
      <c r="M60" s="8">
        <v>2063</v>
      </c>
      <c r="N60" s="8">
        <v>2006</v>
      </c>
      <c r="O60" s="8"/>
      <c r="P60" s="8"/>
      <c r="Q60" s="8"/>
      <c r="R60" s="8"/>
      <c r="S60" s="8"/>
      <c r="T60" s="8"/>
      <c r="U60" s="8"/>
      <c r="V60" s="8">
        <f t="shared" si="2"/>
        <v>10667.25</v>
      </c>
      <c r="W60" s="9">
        <f t="shared" si="3"/>
        <v>1777.875</v>
      </c>
    </row>
    <row r="61" spans="1:23" x14ac:dyDescent="0.3">
      <c r="A61" s="4" t="str">
        <f>VLOOKUP(G61,Data!$A:$G,2,0)</f>
        <v>Sunil Biswas</v>
      </c>
      <c r="B61" s="4" t="str">
        <f>VLOOKUP(G61,Data!$A:$G,3,0)</f>
        <v>Active</v>
      </c>
      <c r="C61" s="4" t="str">
        <f>VLOOKUP(G61,Data!$A:$G,4,0)</f>
        <v>Durgapur</v>
      </c>
      <c r="D61" s="4" t="str">
        <f>VLOOKUP(G61,Data!$A:$G,5,0)</f>
        <v>Ranaghat</v>
      </c>
      <c r="E61" s="4" t="str">
        <f>VLOOKUP(G61,Data!$A:$G,6,0)</f>
        <v>Sagari Ghosh</v>
      </c>
      <c r="F61" s="10" t="str">
        <f>VLOOKUP(G61,Data!$A:$G,7,0)</f>
        <v>2430314519</v>
      </c>
      <c r="G61" s="5">
        <v>26595</v>
      </c>
      <c r="H61" s="5" t="str">
        <f>VLOOKUP(G61,'FI txn'!$G:$X,18,0)</f>
        <v>&gt; 300</v>
      </c>
      <c r="I61" s="7">
        <f>VLOOKUP(G61,'FI txn'!$G:$H,2,0)</f>
        <v>6</v>
      </c>
      <c r="J61" s="8">
        <v>10993</v>
      </c>
      <c r="K61" s="8">
        <v>8491</v>
      </c>
      <c r="L61" s="8">
        <v>6645</v>
      </c>
      <c r="M61" s="8">
        <v>2647</v>
      </c>
      <c r="N61" s="8">
        <v>1651</v>
      </c>
      <c r="O61" s="8"/>
      <c r="P61" s="8"/>
      <c r="Q61" s="8"/>
      <c r="R61" s="8"/>
      <c r="S61" s="8"/>
      <c r="T61" s="8"/>
      <c r="U61" s="8"/>
      <c r="V61" s="8">
        <f t="shared" si="2"/>
        <v>30427</v>
      </c>
      <c r="W61" s="9">
        <f t="shared" si="3"/>
        <v>5071.166666666667</v>
      </c>
    </row>
    <row r="62" spans="1:23" x14ac:dyDescent="0.3">
      <c r="A62" s="4" t="str">
        <f>VLOOKUP(G62,Data!$A:$G,2,0)</f>
        <v>Under Office (W Medinipur)</v>
      </c>
      <c r="B62" s="4" t="str">
        <f>VLOOKUP(G62,Data!$A:$G,3,0)</f>
        <v>Active</v>
      </c>
      <c r="C62" s="4" t="str">
        <f>VLOOKUP(G62,Data!$A:$G,4,0)</f>
        <v>Hooghly</v>
      </c>
      <c r="D62" s="4" t="str">
        <f>VLOOKUP(G62,Data!$A:$G,5,0)</f>
        <v>Banka</v>
      </c>
      <c r="E62" s="4" t="str">
        <f>VLOOKUP(G62,Data!$A:$G,6,0)</f>
        <v>Shampa Mandal</v>
      </c>
      <c r="F62" s="10" t="str">
        <f>VLOOKUP(G62,Data!$A:$G,7,0)</f>
        <v>2390312439</v>
      </c>
      <c r="G62" s="5">
        <v>23431</v>
      </c>
      <c r="H62" s="5" t="str">
        <f>VLOOKUP(G62,'FI txn'!$G:$X,18,0)</f>
        <v>&gt; 150</v>
      </c>
      <c r="I62" s="7">
        <f>VLOOKUP(G62,'FI txn'!$G:$H,2,0)</f>
        <v>6</v>
      </c>
      <c r="J62" s="8">
        <v>1745.5</v>
      </c>
      <c r="K62" s="8">
        <v>777</v>
      </c>
      <c r="L62" s="8">
        <v>1807.75</v>
      </c>
      <c r="M62" s="8">
        <v>1898</v>
      </c>
      <c r="N62" s="8">
        <v>1435</v>
      </c>
      <c r="O62" s="8"/>
      <c r="P62" s="8"/>
      <c r="Q62" s="8"/>
      <c r="R62" s="8"/>
      <c r="S62" s="8"/>
      <c r="T62" s="8"/>
      <c r="U62" s="8"/>
      <c r="V62" s="8">
        <f t="shared" si="2"/>
        <v>7663.25</v>
      </c>
      <c r="W62" s="9">
        <f t="shared" si="3"/>
        <v>1277.2083333333333</v>
      </c>
    </row>
    <row r="63" spans="1:23" x14ac:dyDescent="0.3">
      <c r="A63" s="4" t="str">
        <f>VLOOKUP(G63,Data!$A:$G,2,0)</f>
        <v>Shyamalesh Sarkar</v>
      </c>
      <c r="B63" s="4" t="str">
        <f>VLOOKUP(G63,Data!$A:$G,3,0)</f>
        <v>Active</v>
      </c>
      <c r="C63" s="4" t="str">
        <f>VLOOKUP(G63,Data!$A:$G,4,0)</f>
        <v>Siliguri</v>
      </c>
      <c r="D63" s="4" t="str">
        <f>VLOOKUP(G63,Data!$A:$G,5,0)</f>
        <v>Sagardighi Square</v>
      </c>
      <c r="E63" s="4" t="str">
        <f>VLOOKUP(G63,Data!$A:$G,6,0)</f>
        <v xml:space="preserve">Khurshid Alom </v>
      </c>
      <c r="F63" s="10" t="str">
        <f>VLOOKUP(G63,Data!$A:$G,7,0)</f>
        <v>2200311941</v>
      </c>
      <c r="G63" s="5">
        <v>22768</v>
      </c>
      <c r="H63" s="5" t="str">
        <f>VLOOKUP(G63,'FI txn'!$G:$X,18,0)</f>
        <v>&lt; 150</v>
      </c>
      <c r="I63" s="7">
        <f>VLOOKUP(G63,'FI txn'!$G:$H,2,0)</f>
        <v>6</v>
      </c>
      <c r="J63" s="8">
        <v>1220</v>
      </c>
      <c r="K63" s="8">
        <v>767.5</v>
      </c>
      <c r="L63" s="8">
        <v>815</v>
      </c>
      <c r="M63" s="8">
        <v>840.75</v>
      </c>
      <c r="N63" s="8">
        <v>1235.5</v>
      </c>
      <c r="O63" s="8"/>
      <c r="P63" s="8"/>
      <c r="Q63" s="8"/>
      <c r="R63" s="8"/>
      <c r="S63" s="8"/>
      <c r="T63" s="8"/>
      <c r="U63" s="8"/>
      <c r="V63" s="8">
        <f t="shared" si="2"/>
        <v>4878.75</v>
      </c>
      <c r="W63" s="9">
        <f t="shared" si="3"/>
        <v>813.125</v>
      </c>
    </row>
    <row r="64" spans="1:23" x14ac:dyDescent="0.3">
      <c r="A64" s="4" t="str">
        <f>VLOOKUP(G64,Data!$A:$G,2,0)</f>
        <v>Mousumi Sarkar</v>
      </c>
      <c r="B64" s="4" t="str">
        <f>VLOOKUP(G64,Data!$A:$G,3,0)</f>
        <v>Active</v>
      </c>
      <c r="C64" s="4" t="str">
        <f>VLOOKUP(G64,Data!$A:$G,4,0)</f>
        <v>Saltlake</v>
      </c>
      <c r="D64" s="4" t="str">
        <f>VLOOKUP(G64,Data!$A:$G,5,0)</f>
        <v>Hingalganj</v>
      </c>
      <c r="E64" s="4" t="str">
        <f>VLOOKUP(G64,Data!$A:$G,6,0)</f>
        <v>Khairulla Mistri</v>
      </c>
      <c r="F64" s="10" t="str">
        <f>VLOOKUP(G64,Data!$A:$G,7,0)</f>
        <v>8410316210</v>
      </c>
      <c r="G64" s="5">
        <v>29799</v>
      </c>
      <c r="H64" s="5" t="str">
        <f>VLOOKUP(G64,'FI txn'!$G:$X,18,0)</f>
        <v>&lt; 150</v>
      </c>
      <c r="I64" s="7">
        <f>VLOOKUP(G64,'FI txn'!$G:$H,2,0)</f>
        <v>2</v>
      </c>
      <c r="J64" s="8"/>
      <c r="K64" s="8"/>
      <c r="L64" s="8"/>
      <c r="M64" s="8"/>
      <c r="N64" s="8">
        <v>1221</v>
      </c>
      <c r="O64" s="8"/>
      <c r="P64" s="8"/>
      <c r="Q64" s="8"/>
      <c r="R64" s="8"/>
      <c r="S64" s="8"/>
      <c r="T64" s="8"/>
      <c r="U64" s="8"/>
      <c r="V64" s="8"/>
      <c r="W64" s="9">
        <f t="shared" si="3"/>
        <v>0</v>
      </c>
    </row>
    <row r="65" spans="1:23" x14ac:dyDescent="0.3">
      <c r="A65" s="4" t="str">
        <f>VLOOKUP(G65,Data!$A:$G,2,0)</f>
        <v>Sunil Biswas</v>
      </c>
      <c r="B65" s="4" t="str">
        <f>VLOOKUP(G65,Data!$A:$G,3,0)</f>
        <v>Active</v>
      </c>
      <c r="C65" s="4" t="str">
        <f>VLOOKUP(G65,Data!$A:$G,4,0)</f>
        <v>Durgapur</v>
      </c>
      <c r="D65" s="4" t="str">
        <f>VLOOKUP(G65,Data!$A:$G,5,0)</f>
        <v>Santipur</v>
      </c>
      <c r="E65" s="4" t="str">
        <f>VLOOKUP(G65,Data!$A:$G,6,0)</f>
        <v>Najmira Khatun</v>
      </c>
      <c r="F65" s="10" t="str">
        <f>VLOOKUP(G65,Data!$A:$G,7,0)</f>
        <v>2430315335</v>
      </c>
      <c r="G65" s="5">
        <v>28075</v>
      </c>
      <c r="H65" s="5" t="str">
        <f>VLOOKUP(G65,'FI txn'!$G:$X,18,0)</f>
        <v>&lt; 150</v>
      </c>
      <c r="I65" s="7">
        <f>VLOOKUP(G65,'FI txn'!$G:$H,2,0)</f>
        <v>6</v>
      </c>
      <c r="J65" s="8">
        <v>1085</v>
      </c>
      <c r="K65" s="8">
        <v>938</v>
      </c>
      <c r="L65" s="8">
        <v>653</v>
      </c>
      <c r="M65" s="8">
        <v>1659</v>
      </c>
      <c r="N65" s="8">
        <v>1130</v>
      </c>
      <c r="O65" s="8"/>
      <c r="P65" s="8"/>
      <c r="Q65" s="8"/>
      <c r="R65" s="8"/>
      <c r="S65" s="8"/>
      <c r="T65" s="8"/>
      <c r="U65" s="8"/>
      <c r="V65" s="8">
        <f t="shared" ref="V65:V85" si="4">SUM(J65:U65)</f>
        <v>5465</v>
      </c>
      <c r="W65" s="9">
        <f t="shared" si="3"/>
        <v>910.83333333333337</v>
      </c>
    </row>
    <row r="66" spans="1:23" x14ac:dyDescent="0.3">
      <c r="A66" s="4" t="str">
        <f>VLOOKUP(G66,Data!$A:$G,2,0)</f>
        <v>Under Office (W Medinipur)</v>
      </c>
      <c r="B66" s="4" t="str">
        <f>VLOOKUP(G66,Data!$A:$G,3,0)</f>
        <v>Active</v>
      </c>
      <c r="C66" s="4" t="str">
        <f>VLOOKUP(G66,Data!$A:$G,4,0)</f>
        <v>Hooghly</v>
      </c>
      <c r="D66" s="4" t="str">
        <f>VLOOKUP(G66,Data!$A:$G,5,0)</f>
        <v>Kankabati</v>
      </c>
      <c r="E66" s="4" t="str">
        <f>VLOOKUP(G66,Data!$A:$G,6,0)</f>
        <v>Mita Samanta</v>
      </c>
      <c r="F66" s="10" t="str">
        <f>VLOOKUP(G66,Data!$A:$G,7,0)</f>
        <v>2390311663</v>
      </c>
      <c r="G66" s="5">
        <v>22401</v>
      </c>
      <c r="H66" s="5" t="str">
        <f>VLOOKUP(G66,'FI txn'!$G:$X,18,0)</f>
        <v>&lt; 150</v>
      </c>
      <c r="I66" s="7">
        <f>VLOOKUP(G66,'FI txn'!$G:$H,2,0)</f>
        <v>6</v>
      </c>
      <c r="J66" s="8">
        <v>1484</v>
      </c>
      <c r="K66" s="8">
        <v>4871</v>
      </c>
      <c r="L66" s="8">
        <v>1429.25</v>
      </c>
      <c r="M66" s="8">
        <v>1015</v>
      </c>
      <c r="N66" s="8">
        <v>1007.5</v>
      </c>
      <c r="O66" s="8"/>
      <c r="P66" s="8"/>
      <c r="Q66" s="8"/>
      <c r="R66" s="8"/>
      <c r="S66" s="8"/>
      <c r="T66" s="8"/>
      <c r="U66" s="8"/>
      <c r="V66" s="8">
        <f t="shared" si="4"/>
        <v>9806.75</v>
      </c>
      <c r="W66" s="9">
        <f t="shared" ref="W66:W97" si="5">V66/I66</f>
        <v>1634.4583333333333</v>
      </c>
    </row>
    <row r="67" spans="1:23" x14ac:dyDescent="0.3">
      <c r="A67" s="4" t="str">
        <f>VLOOKUP(G67,Data!$A:$G,2,0)</f>
        <v>Manindra Nath Barman</v>
      </c>
      <c r="B67" s="4" t="str">
        <f>VLOOKUP(G67,Data!$A:$G,3,0)</f>
        <v>Active</v>
      </c>
      <c r="C67" s="4" t="str">
        <f>VLOOKUP(G67,Data!$A:$G,4,0)</f>
        <v>Siliguri</v>
      </c>
      <c r="D67" s="4" t="str">
        <f>VLOOKUP(G67,Data!$A:$G,5,0)</f>
        <v>Barobisha</v>
      </c>
      <c r="E67" s="4" t="str">
        <f>VLOOKUP(G67,Data!$A:$G,6,0)</f>
        <v>Sankar Arya</v>
      </c>
      <c r="F67" s="10" t="str">
        <f>VLOOKUP(G67,Data!$A:$G,7,0)</f>
        <v>2200315639</v>
      </c>
      <c r="G67" s="5">
        <v>28692</v>
      </c>
      <c r="H67" s="5" t="str">
        <f>VLOOKUP(G67,'FI txn'!$G:$X,18,0)</f>
        <v>&lt; 150</v>
      </c>
      <c r="I67" s="7">
        <f>VLOOKUP(G67,'FI txn'!$G:$H,2,0)</f>
        <v>6</v>
      </c>
      <c r="J67" s="8">
        <v>753.25</v>
      </c>
      <c r="K67" s="8">
        <v>462</v>
      </c>
      <c r="L67" s="8">
        <v>797</v>
      </c>
      <c r="M67" s="8">
        <v>443</v>
      </c>
      <c r="N67" s="8">
        <v>964</v>
      </c>
      <c r="O67" s="8"/>
      <c r="P67" s="8"/>
      <c r="Q67" s="8"/>
      <c r="R67" s="8"/>
      <c r="S67" s="8"/>
      <c r="T67" s="8"/>
      <c r="U67" s="8"/>
      <c r="V67" s="8">
        <f t="shared" si="4"/>
        <v>3419.25</v>
      </c>
      <c r="W67" s="9">
        <f t="shared" si="5"/>
        <v>569.875</v>
      </c>
    </row>
    <row r="68" spans="1:23" x14ac:dyDescent="0.3">
      <c r="A68" s="4" t="str">
        <f>VLOOKUP(G68,Data!$A:$G,2,0)</f>
        <v>Under Office (W Medinipur)</v>
      </c>
      <c r="B68" s="4" t="str">
        <f>VLOOKUP(G68,Data!$A:$G,3,0)</f>
        <v>Active</v>
      </c>
      <c r="C68" s="4" t="str">
        <f>VLOOKUP(G68,Data!$A:$G,4,0)</f>
        <v>Hooghly</v>
      </c>
      <c r="D68" s="4" t="str">
        <f>VLOOKUP(G68,Data!$A:$G,5,0)</f>
        <v>Ghatal</v>
      </c>
      <c r="E68" s="4" t="str">
        <f>VLOOKUP(G68,Data!$A:$G,6,0)</f>
        <v>Chandan Satik</v>
      </c>
      <c r="F68" s="10" t="str">
        <f>VLOOKUP(G68,Data!$A:$G,7,0)</f>
        <v>2390311662</v>
      </c>
      <c r="G68" s="5">
        <v>22400</v>
      </c>
      <c r="H68" s="5" t="str">
        <f>VLOOKUP(G68,'FI txn'!$G:$X,18,0)</f>
        <v>&lt; 150</v>
      </c>
      <c r="I68" s="7">
        <f>VLOOKUP(G68,'FI txn'!$G:$H,2,0)</f>
        <v>6</v>
      </c>
      <c r="J68" s="8">
        <v>1406</v>
      </c>
      <c r="K68" s="8">
        <v>763</v>
      </c>
      <c r="L68" s="8">
        <v>555</v>
      </c>
      <c r="M68" s="8">
        <v>918.75</v>
      </c>
      <c r="N68" s="8">
        <v>852</v>
      </c>
      <c r="O68" s="8"/>
      <c r="P68" s="8"/>
      <c r="Q68" s="8"/>
      <c r="R68" s="8"/>
      <c r="S68" s="8"/>
      <c r="T68" s="8"/>
      <c r="U68" s="8"/>
      <c r="V68" s="8">
        <f t="shared" si="4"/>
        <v>4494.75</v>
      </c>
      <c r="W68" s="9">
        <f t="shared" si="5"/>
        <v>749.125</v>
      </c>
    </row>
    <row r="69" spans="1:23" x14ac:dyDescent="0.3">
      <c r="A69" s="4" t="str">
        <f>VLOOKUP(G69,Data!$A:$G,2,0)</f>
        <v>Chandi Charan Mahato</v>
      </c>
      <c r="B69" s="4" t="str">
        <f>VLOOKUP(G69,Data!$A:$G,3,0)</f>
        <v>Inactive</v>
      </c>
      <c r="C69" s="4" t="str">
        <f>VLOOKUP(G69,Data!$A:$G,4,0)</f>
        <v>Durgapur</v>
      </c>
      <c r="D69" s="4" t="str">
        <f>VLOOKUP(G69,Data!$A:$G,5,0)</f>
        <v>Patrasayer</v>
      </c>
      <c r="E69" s="4" t="str">
        <f>VLOOKUP(G69,Data!$A:$G,6,0)</f>
        <v>Bula Karmakar</v>
      </c>
      <c r="F69" s="10" t="str">
        <f>VLOOKUP(G69,Data!$A:$G,7,0)</f>
        <v>2160315824</v>
      </c>
      <c r="G69" s="5">
        <v>29069</v>
      </c>
      <c r="H69" s="5" t="str">
        <f>VLOOKUP(G69,'FI txn'!$G:$X,18,0)</f>
        <v>&lt; 150</v>
      </c>
      <c r="I69" s="7">
        <f>VLOOKUP(G69,'FI txn'!$G:$H,2,0)</f>
        <v>5</v>
      </c>
      <c r="J69" s="8">
        <v>203.5</v>
      </c>
      <c r="K69" s="8">
        <v>891.25</v>
      </c>
      <c r="L69" s="8">
        <v>2656</v>
      </c>
      <c r="M69" s="8">
        <v>812</v>
      </c>
      <c r="N69" s="8">
        <v>835</v>
      </c>
      <c r="O69" s="8"/>
      <c r="P69" s="8"/>
      <c r="Q69" s="8"/>
      <c r="R69" s="8"/>
      <c r="S69" s="8"/>
      <c r="T69" s="8"/>
      <c r="U69" s="8"/>
      <c r="V69" s="8">
        <f t="shared" si="4"/>
        <v>5397.75</v>
      </c>
      <c r="W69" s="9">
        <f t="shared" si="5"/>
        <v>1079.55</v>
      </c>
    </row>
    <row r="70" spans="1:23" x14ac:dyDescent="0.3">
      <c r="A70" s="4" t="str">
        <f>VLOOKUP(G70,Data!$A:$G,2,0)</f>
        <v>Pijush Singha</v>
      </c>
      <c r="B70" s="4" t="str">
        <f>VLOOKUP(G70,Data!$A:$G,3,0)</f>
        <v>Active</v>
      </c>
      <c r="C70" s="4" t="str">
        <f>VLOOKUP(G70,Data!$A:$G,4,0)</f>
        <v>Siliguri</v>
      </c>
      <c r="D70" s="4" t="str">
        <f>VLOOKUP(G70,Data!$A:$G,5,0)</f>
        <v>Dhuliyan</v>
      </c>
      <c r="E70" s="4" t="str">
        <f>VLOOKUP(G70,Data!$A:$G,6,0)</f>
        <v>Md Asraful Hoque</v>
      </c>
      <c r="F70" s="10" t="str">
        <f>VLOOKUP(G70,Data!$A:$G,7,0)</f>
        <v>2410313985</v>
      </c>
      <c r="G70" s="5">
        <v>25557</v>
      </c>
      <c r="H70" s="5" t="str">
        <f>VLOOKUP(G70,'FI txn'!$G:$X,18,0)</f>
        <v>&lt; 150</v>
      </c>
      <c r="I70" s="7">
        <f>VLOOKUP(G70,'FI txn'!$G:$H,2,0)</f>
        <v>6</v>
      </c>
      <c r="J70" s="8">
        <v>501</v>
      </c>
      <c r="K70" s="8">
        <v>897</v>
      </c>
      <c r="L70" s="8">
        <v>566</v>
      </c>
      <c r="M70" s="8">
        <v>1934.75</v>
      </c>
      <c r="N70" s="8">
        <v>719</v>
      </c>
      <c r="O70" s="8"/>
      <c r="P70" s="8"/>
      <c r="Q70" s="8"/>
      <c r="R70" s="8"/>
      <c r="S70" s="8"/>
      <c r="T70" s="8"/>
      <c r="U70" s="8"/>
      <c r="V70" s="8">
        <f t="shared" si="4"/>
        <v>4617.75</v>
      </c>
      <c r="W70" s="9">
        <f t="shared" si="5"/>
        <v>769.625</v>
      </c>
    </row>
    <row r="71" spans="1:23" x14ac:dyDescent="0.3">
      <c r="A71" s="4" t="str">
        <f>VLOOKUP(G71,Data!$A:$G,2,0)</f>
        <v>Sunil Biswas</v>
      </c>
      <c r="B71" s="4" t="str">
        <f>VLOOKUP(G71,Data!$A:$G,3,0)</f>
        <v>Active</v>
      </c>
      <c r="C71" s="4" t="str">
        <f>VLOOKUP(G71,Data!$A:$G,4,0)</f>
        <v>Durgapur</v>
      </c>
      <c r="D71" s="4" t="str">
        <f>VLOOKUP(G71,Data!$A:$G,5,0)</f>
        <v>Hridaypur</v>
      </c>
      <c r="E71" s="4" t="str">
        <f>VLOOKUP(G71,Data!$A:$G,6,0)</f>
        <v>Suman Ghosh</v>
      </c>
      <c r="F71" s="10" t="str">
        <f>VLOOKUP(G71,Data!$A:$G,7,0)</f>
        <v>8116659114</v>
      </c>
      <c r="G71" s="5">
        <v>29525</v>
      </c>
      <c r="H71" s="5" t="str">
        <f>VLOOKUP(G71,'FI txn'!$G:$X,18,0)</f>
        <v>&lt; 150</v>
      </c>
      <c r="I71" s="7">
        <f>VLOOKUP(G71,'FI txn'!$G:$H,2,0)</f>
        <v>4</v>
      </c>
      <c r="J71" s="8"/>
      <c r="K71" s="8"/>
      <c r="L71" s="8">
        <v>696</v>
      </c>
      <c r="M71" s="8">
        <v>1990</v>
      </c>
      <c r="N71" s="8">
        <v>708</v>
      </c>
      <c r="O71" s="8"/>
      <c r="P71" s="8"/>
      <c r="Q71" s="8"/>
      <c r="R71" s="8"/>
      <c r="S71" s="8"/>
      <c r="T71" s="8"/>
      <c r="U71" s="8"/>
      <c r="V71" s="8">
        <f t="shared" si="4"/>
        <v>3394</v>
      </c>
      <c r="W71" s="9"/>
    </row>
    <row r="72" spans="1:23" x14ac:dyDescent="0.3">
      <c r="A72" s="4" t="str">
        <f>VLOOKUP(G72,Data!$A:$G,2,0)</f>
        <v>Souvik Maity</v>
      </c>
      <c r="B72" s="4" t="str">
        <f>VLOOKUP(G72,Data!$A:$G,3,0)</f>
        <v>Active</v>
      </c>
      <c r="C72" s="4" t="str">
        <f>VLOOKUP(G72,Data!$A:$G,4,0)</f>
        <v>Hooghly</v>
      </c>
      <c r="D72" s="4" t="str">
        <f>VLOOKUP(G72,Data!$A:$G,5,0)</f>
        <v>Saidpur</v>
      </c>
      <c r="E72" s="4" t="str">
        <f>VLOOKUP(G72,Data!$A:$G,6,0)</f>
        <v>Puja Manna</v>
      </c>
      <c r="F72" s="10" t="str">
        <f>VLOOKUP(G72,Data!$A:$G,7,0)</f>
        <v>3390311696</v>
      </c>
      <c r="G72" s="5">
        <v>22453</v>
      </c>
      <c r="H72" s="5" t="str">
        <f>VLOOKUP(G72,'FI txn'!$G:$X,18,0)</f>
        <v>&lt; 150</v>
      </c>
      <c r="I72" s="7">
        <f>VLOOKUP(G72,'FI txn'!$G:$H,2,0)</f>
        <v>6</v>
      </c>
      <c r="J72" s="8">
        <v>127</v>
      </c>
      <c r="K72" s="8">
        <v>250</v>
      </c>
      <c r="L72" s="8">
        <v>225</v>
      </c>
      <c r="M72" s="8">
        <v>464</v>
      </c>
      <c r="N72" s="8">
        <v>540</v>
      </c>
      <c r="O72" s="8"/>
      <c r="P72" s="8"/>
      <c r="Q72" s="8"/>
      <c r="R72" s="8"/>
      <c r="S72" s="8"/>
      <c r="T72" s="8"/>
      <c r="U72" s="8"/>
      <c r="V72" s="8">
        <f t="shared" si="4"/>
        <v>1606</v>
      </c>
      <c r="W72" s="9">
        <f>V72/I72</f>
        <v>267.66666666666669</v>
      </c>
    </row>
    <row r="73" spans="1:23" x14ac:dyDescent="0.3">
      <c r="A73" s="4" t="str">
        <f>VLOOKUP(G73,Data!$A:$G,2,0)</f>
        <v>Sunil Biswas</v>
      </c>
      <c r="B73" s="4" t="str">
        <f>VLOOKUP(G73,Data!$A:$G,3,0)</f>
        <v>Active</v>
      </c>
      <c r="C73" s="4" t="str">
        <f>VLOOKUP(G73,Data!$A:$G,4,0)</f>
        <v>Durgapur</v>
      </c>
      <c r="D73" s="4" t="str">
        <f>VLOOKUP(G73,Data!$A:$G,5,0)</f>
        <v>Ranaghat</v>
      </c>
      <c r="E73" s="4" t="str">
        <f>VLOOKUP(G73,Data!$A:$G,6,0)</f>
        <v>Kishore Bhakta</v>
      </c>
      <c r="F73" s="10" t="str">
        <f>VLOOKUP(G73,Data!$A:$G,7,0)</f>
        <v>2430315568</v>
      </c>
      <c r="G73" s="5">
        <v>28482</v>
      </c>
      <c r="H73" s="5" t="str">
        <f>VLOOKUP(G73,'FI txn'!$G:$X,18,0)</f>
        <v>&lt; 150</v>
      </c>
      <c r="I73" s="7">
        <f>VLOOKUP(G73,'FI txn'!$G:$H,2,0)</f>
        <v>6</v>
      </c>
      <c r="J73" s="8">
        <v>235</v>
      </c>
      <c r="K73" s="8">
        <v>601</v>
      </c>
      <c r="L73" s="8">
        <v>268</v>
      </c>
      <c r="M73" s="8">
        <v>330</v>
      </c>
      <c r="N73" s="8">
        <v>416</v>
      </c>
      <c r="O73" s="8"/>
      <c r="P73" s="8"/>
      <c r="Q73" s="8"/>
      <c r="R73" s="8"/>
      <c r="S73" s="8"/>
      <c r="T73" s="8"/>
      <c r="U73" s="8"/>
      <c r="V73" s="8">
        <f t="shared" si="4"/>
        <v>1850</v>
      </c>
      <c r="W73" s="9">
        <f>V73/I73</f>
        <v>308.33333333333331</v>
      </c>
    </row>
    <row r="74" spans="1:23" x14ac:dyDescent="0.3">
      <c r="A74" s="4" t="str">
        <f>VLOOKUP(G74,Data!$A:$G,2,0)</f>
        <v>Sunil Biswas</v>
      </c>
      <c r="B74" s="4" t="str">
        <f>VLOOKUP(G74,Data!$A:$G,3,0)</f>
        <v>Active</v>
      </c>
      <c r="C74" s="4" t="str">
        <f>VLOOKUP(G74,Data!$A:$G,4,0)</f>
        <v>Durgapur</v>
      </c>
      <c r="D74" s="4" t="str">
        <f>VLOOKUP(G74,Data!$A:$G,5,0)</f>
        <v>Santipur</v>
      </c>
      <c r="E74" s="4" t="str">
        <f>VLOOKUP(G74,Data!$A:$G,6,0)</f>
        <v>Partha Dey</v>
      </c>
      <c r="F74" s="10" t="str">
        <f>VLOOKUP(G74,Data!$A:$G,7,0)</f>
        <v>2430315570</v>
      </c>
      <c r="G74" s="5">
        <v>29089</v>
      </c>
      <c r="H74" s="5" t="str">
        <f>VLOOKUP(G74,'FI txn'!$G:$X,18,0)</f>
        <v>&lt; 150</v>
      </c>
      <c r="I74" s="7">
        <f>VLOOKUP(G74,'FI txn'!$G:$H,2,0)</f>
        <v>6</v>
      </c>
      <c r="J74" s="8">
        <v>60</v>
      </c>
      <c r="K74" s="8">
        <v>221</v>
      </c>
      <c r="L74" s="8">
        <v>296</v>
      </c>
      <c r="M74" s="8">
        <v>623</v>
      </c>
      <c r="N74" s="8">
        <v>386</v>
      </c>
      <c r="O74" s="8"/>
      <c r="P74" s="8"/>
      <c r="Q74" s="8"/>
      <c r="R74" s="8"/>
      <c r="S74" s="8"/>
      <c r="T74" s="8"/>
      <c r="U74" s="8"/>
      <c r="V74" s="8">
        <f t="shared" si="4"/>
        <v>1586</v>
      </c>
      <c r="W74" s="9">
        <f>V74/I74</f>
        <v>264.33333333333331</v>
      </c>
    </row>
    <row r="75" spans="1:23" x14ac:dyDescent="0.3">
      <c r="A75" s="4" t="str">
        <f>VLOOKUP(G75,Data!$A:$G,2,0)</f>
        <v>Manindra Nath Barman</v>
      </c>
      <c r="B75" s="4" t="str">
        <f>VLOOKUP(G75,Data!$A:$G,3,0)</f>
        <v>Inactive</v>
      </c>
      <c r="C75" s="4" t="str">
        <f>VLOOKUP(G75,Data!$A:$G,4,0)</f>
        <v>Siliguri</v>
      </c>
      <c r="D75" s="4" t="str">
        <f>VLOOKUP(G75,Data!$A:$G,5,0)</f>
        <v>Barobisha</v>
      </c>
      <c r="E75" s="4" t="str">
        <f>VLOOKUP(G75,Data!$A:$G,6,0)</f>
        <v>Virendra Narayan Nag</v>
      </c>
      <c r="F75" s="10" t="str">
        <f>VLOOKUP(G75,Data!$A:$G,7,0)</f>
        <v>8967601707</v>
      </c>
      <c r="G75" s="5">
        <v>29526</v>
      </c>
      <c r="H75" s="5" t="str">
        <f>VLOOKUP(G75,'FI txn'!$G:$X,18,0)</f>
        <v>&lt; 150</v>
      </c>
      <c r="I75" s="7">
        <f>VLOOKUP(G75,'FI txn'!$G:$H,2,0)</f>
        <v>3</v>
      </c>
      <c r="J75" s="8"/>
      <c r="K75" s="8"/>
      <c r="L75" s="8">
        <v>34</v>
      </c>
      <c r="M75" s="8">
        <v>143</v>
      </c>
      <c r="N75" s="8">
        <v>382</v>
      </c>
      <c r="O75" s="8"/>
      <c r="P75" s="8"/>
      <c r="Q75" s="8"/>
      <c r="R75" s="8"/>
      <c r="S75" s="8"/>
      <c r="T75" s="8"/>
      <c r="U75" s="8"/>
      <c r="V75" s="8">
        <f t="shared" si="4"/>
        <v>559</v>
      </c>
      <c r="W75" s="9"/>
    </row>
    <row r="76" spans="1:23" x14ac:dyDescent="0.3">
      <c r="A76" s="4" t="str">
        <f>VLOOKUP(G76,Data!$A:$G,2,0)</f>
        <v>Santanu Bera</v>
      </c>
      <c r="B76" s="4" t="str">
        <f>VLOOKUP(G76,Data!$A:$G,3,0)</f>
        <v>Active</v>
      </c>
      <c r="C76" s="4" t="str">
        <f>VLOOKUP(G76,Data!$A:$G,4,0)</f>
        <v>Hooghly</v>
      </c>
      <c r="D76" s="4" t="str">
        <f>VLOOKUP(G76,Data!$A:$G,5,0)</f>
        <v>Keshapat</v>
      </c>
      <c r="E76" s="4" t="str">
        <f>VLOOKUP(G76,Data!$A:$G,6,0)</f>
        <v>Subhankar Samanta</v>
      </c>
      <c r="F76" s="10" t="str">
        <f>VLOOKUP(G76,Data!$A:$G,7,0)</f>
        <v>2380311664</v>
      </c>
      <c r="G76" s="5">
        <v>22402</v>
      </c>
      <c r="H76" s="5" t="str">
        <f>VLOOKUP(G76,'FI txn'!$G:$X,18,0)</f>
        <v>&lt; 150</v>
      </c>
      <c r="I76" s="7">
        <f>VLOOKUP(G76,'FI txn'!$G:$H,2,0)</f>
        <v>6</v>
      </c>
      <c r="J76" s="8">
        <v>557.5</v>
      </c>
      <c r="K76" s="8">
        <v>491.5</v>
      </c>
      <c r="L76" s="8">
        <v>497</v>
      </c>
      <c r="M76" s="8">
        <v>751</v>
      </c>
      <c r="N76" s="8">
        <v>355</v>
      </c>
      <c r="O76" s="8"/>
      <c r="P76" s="8"/>
      <c r="Q76" s="8"/>
      <c r="R76" s="8"/>
      <c r="S76" s="8"/>
      <c r="T76" s="8"/>
      <c r="U76" s="8"/>
      <c r="V76" s="8">
        <f t="shared" si="4"/>
        <v>2652</v>
      </c>
      <c r="W76" s="9">
        <f t="shared" ref="W76:W104" si="6">V76/I76</f>
        <v>442</v>
      </c>
    </row>
    <row r="77" spans="1:23" x14ac:dyDescent="0.3">
      <c r="A77" s="4" t="str">
        <f>VLOOKUP(G77,Data!$A:$G,2,0)</f>
        <v>Manindra Nath Barman</v>
      </c>
      <c r="B77" s="4" t="str">
        <f>VLOOKUP(G77,Data!$A:$G,3,0)</f>
        <v>Inactive</v>
      </c>
      <c r="C77" s="4" t="str">
        <f>VLOOKUP(G77,Data!$A:$G,4,0)</f>
        <v>Siliguri</v>
      </c>
      <c r="D77" s="4" t="str">
        <f>VLOOKUP(G77,Data!$A:$G,5,0)</f>
        <v>Buxa Forest Craja</v>
      </c>
      <c r="E77" s="4" t="str">
        <f>VLOOKUP(G77,Data!$A:$G,6,0)</f>
        <v xml:space="preserve">Md Khalique Ansari </v>
      </c>
      <c r="F77" s="10" t="str">
        <f>VLOOKUP(G77,Data!$A:$G,7,0)</f>
        <v>9490315684</v>
      </c>
      <c r="G77" s="5">
        <v>28825</v>
      </c>
      <c r="H77" s="5" t="str">
        <f>VLOOKUP(G77,'FI txn'!$G:$X,18,0)</f>
        <v>&lt; 150</v>
      </c>
      <c r="I77" s="7">
        <f>VLOOKUP(G77,'FI txn'!$G:$H,2,0)</f>
        <v>5</v>
      </c>
      <c r="J77" s="8">
        <v>239</v>
      </c>
      <c r="K77" s="8">
        <v>125</v>
      </c>
      <c r="L77" s="8">
        <v>8</v>
      </c>
      <c r="M77" s="8">
        <v>39</v>
      </c>
      <c r="N77" s="8">
        <v>345</v>
      </c>
      <c r="O77" s="8"/>
      <c r="P77" s="8"/>
      <c r="Q77" s="8"/>
      <c r="R77" s="8"/>
      <c r="S77" s="8"/>
      <c r="T77" s="8"/>
      <c r="U77" s="8"/>
      <c r="V77" s="8">
        <f t="shared" si="4"/>
        <v>756</v>
      </c>
      <c r="W77" s="9">
        <f t="shared" si="6"/>
        <v>151.19999999999999</v>
      </c>
    </row>
    <row r="78" spans="1:23" x14ac:dyDescent="0.3">
      <c r="A78" s="4" t="str">
        <f>VLOOKUP(G78,Data!$A:$G,2,0)</f>
        <v>Souvik Maity</v>
      </c>
      <c r="B78" s="4" t="str">
        <f>VLOOKUP(G78,Data!$A:$G,3,0)</f>
        <v>Active</v>
      </c>
      <c r="C78" s="4" t="str">
        <f>VLOOKUP(G78,Data!$A:$G,4,0)</f>
        <v>Hooghly</v>
      </c>
      <c r="D78" s="4" t="str">
        <f>VLOOKUP(G78,Data!$A:$G,5,0)</f>
        <v>Dasghara</v>
      </c>
      <c r="E78" s="4" t="str">
        <f>VLOOKUP(G78,Data!$A:$G,6,0)</f>
        <v>Sabir Amed</v>
      </c>
      <c r="F78" s="10" t="str">
        <f>VLOOKUP(G78,Data!$A:$G,7,0)</f>
        <v>3390312282</v>
      </c>
      <c r="G78" s="5">
        <v>23214</v>
      </c>
      <c r="H78" s="5" t="str">
        <f>VLOOKUP(G78,'FI txn'!$G:$X,18,0)</f>
        <v>&lt; 150</v>
      </c>
      <c r="I78" s="7">
        <f>VLOOKUP(G78,'FI txn'!$G:$H,2,0)</f>
        <v>6</v>
      </c>
      <c r="J78" s="8">
        <v>278</v>
      </c>
      <c r="K78" s="8">
        <v>240</v>
      </c>
      <c r="L78" s="8">
        <v>128</v>
      </c>
      <c r="M78" s="8">
        <v>309</v>
      </c>
      <c r="N78" s="8">
        <v>332</v>
      </c>
      <c r="O78" s="8"/>
      <c r="P78" s="8"/>
      <c r="Q78" s="8"/>
      <c r="R78" s="8"/>
      <c r="S78" s="8"/>
      <c r="T78" s="8"/>
      <c r="U78" s="8"/>
      <c r="V78" s="8">
        <f t="shared" si="4"/>
        <v>1287</v>
      </c>
      <c r="W78" s="9">
        <f t="shared" si="6"/>
        <v>214.5</v>
      </c>
    </row>
    <row r="79" spans="1:23" x14ac:dyDescent="0.3">
      <c r="A79" s="4" t="str">
        <f>VLOOKUP(G79,Data!$A:$G,2,0)</f>
        <v>Sunil Biswas</v>
      </c>
      <c r="B79" s="4" t="str">
        <f>VLOOKUP(G79,Data!$A:$G,3,0)</f>
        <v>Inactive</v>
      </c>
      <c r="C79" s="4" t="str">
        <f>VLOOKUP(G79,Data!$A:$G,4,0)</f>
        <v>Durgapur</v>
      </c>
      <c r="D79" s="4" t="str">
        <f>VLOOKUP(G79,Data!$A:$G,5,0)</f>
        <v>Santipur</v>
      </c>
      <c r="E79" s="4" t="str">
        <f>VLOOKUP(G79,Data!$A:$G,6,0)</f>
        <v>Dipanwita Das</v>
      </c>
      <c r="F79" s="10" t="str">
        <f>VLOOKUP(G79,Data!$A:$G,7,0)</f>
        <v>2430315569</v>
      </c>
      <c r="G79" s="5">
        <v>28483</v>
      </c>
      <c r="H79" s="5" t="str">
        <f>VLOOKUP(G79,'FI txn'!$G:$X,18,0)</f>
        <v>&lt; 150</v>
      </c>
      <c r="I79" s="7">
        <f>VLOOKUP(G79,'FI txn'!$G:$H,2,0)</f>
        <v>5</v>
      </c>
      <c r="J79" s="8">
        <v>65</v>
      </c>
      <c r="K79" s="8">
        <v>18</v>
      </c>
      <c r="L79" s="8">
        <v>830.5</v>
      </c>
      <c r="M79" s="8">
        <v>265.75</v>
      </c>
      <c r="N79" s="8">
        <v>301</v>
      </c>
      <c r="O79" s="8"/>
      <c r="P79" s="8"/>
      <c r="Q79" s="8"/>
      <c r="R79" s="8"/>
      <c r="S79" s="8"/>
      <c r="T79" s="8"/>
      <c r="U79" s="8"/>
      <c r="V79" s="8">
        <f t="shared" si="4"/>
        <v>1480.25</v>
      </c>
      <c r="W79" s="9">
        <f t="shared" si="6"/>
        <v>296.05</v>
      </c>
    </row>
    <row r="80" spans="1:23" x14ac:dyDescent="0.3">
      <c r="A80" s="4" t="str">
        <f>VLOOKUP(G80,Data!$A:$G,2,0)</f>
        <v>Souvik Maity</v>
      </c>
      <c r="B80" s="4" t="str">
        <f>VLOOKUP(G80,Data!$A:$G,3,0)</f>
        <v>Inactive</v>
      </c>
      <c r="C80" s="4" t="str">
        <f>VLOOKUP(G80,Data!$A:$G,4,0)</f>
        <v>Hooghly</v>
      </c>
      <c r="D80" s="4" t="str">
        <f>VLOOKUP(G80,Data!$A:$G,5,0)</f>
        <v>Batanal</v>
      </c>
      <c r="E80" s="4" t="str">
        <f>VLOOKUP(G80,Data!$A:$G,6,0)</f>
        <v>Chaitali Shit Malik</v>
      </c>
      <c r="F80" s="10" t="str">
        <f>VLOOKUP(G80,Data!$A:$G,7,0)</f>
        <v>3390311948</v>
      </c>
      <c r="G80" s="12">
        <v>22775</v>
      </c>
      <c r="H80" s="5" t="str">
        <f>VLOOKUP(G80,'FI txn'!$G:$X,18,0)</f>
        <v>Nill</v>
      </c>
      <c r="I80" s="7">
        <f>VLOOKUP(G80,'FI txn'!$G:$H,2,0)</f>
        <v>1</v>
      </c>
      <c r="J80" s="8">
        <v>60</v>
      </c>
      <c r="K80" s="8">
        <v>83.5</v>
      </c>
      <c r="L80" s="8">
        <v>45</v>
      </c>
      <c r="M80" s="8">
        <v>97.5</v>
      </c>
      <c r="N80" s="8">
        <v>292.5</v>
      </c>
      <c r="O80" s="8"/>
      <c r="P80" s="8"/>
      <c r="Q80" s="8"/>
      <c r="R80" s="8"/>
      <c r="S80" s="8"/>
      <c r="T80" s="8"/>
      <c r="U80" s="8"/>
      <c r="V80" s="8">
        <f t="shared" si="4"/>
        <v>578.5</v>
      </c>
      <c r="W80" s="9">
        <f t="shared" si="6"/>
        <v>578.5</v>
      </c>
    </row>
    <row r="81" spans="1:23" x14ac:dyDescent="0.3">
      <c r="A81" s="4" t="str">
        <f>VLOOKUP(G81,Data!$A:$G,2,0)</f>
        <v>Manindra Nath Barman</v>
      </c>
      <c r="B81" s="4" t="str">
        <f>VLOOKUP(G81,Data!$A:$G,3,0)</f>
        <v>Inactive</v>
      </c>
      <c r="C81" s="4" t="str">
        <f>VLOOKUP(G81,Data!$A:$G,4,0)</f>
        <v>Siliguri</v>
      </c>
      <c r="D81" s="4" t="str">
        <f>VLOOKUP(G81,Data!$A:$G,5,0)</f>
        <v>Buxa Forest Craja</v>
      </c>
      <c r="E81" s="4" t="str">
        <f>VLOOKUP(G81,Data!$A:$G,6,0)</f>
        <v>Pankaj Tiwari</v>
      </c>
      <c r="F81" s="10" t="str">
        <f>VLOOKUP(G81,Data!$A:$G,7,0)</f>
        <v>9490310077</v>
      </c>
      <c r="G81" s="12">
        <v>20503</v>
      </c>
      <c r="H81" s="5" t="str">
        <f>VLOOKUP(G81,'FI txn'!$G:$X,18,0)</f>
        <v>&lt; 150</v>
      </c>
      <c r="I81" s="7">
        <f>VLOOKUP(G81,'FI txn'!$G:$H,2,0)</f>
        <v>4</v>
      </c>
      <c r="J81" s="8"/>
      <c r="K81" s="8">
        <v>44</v>
      </c>
      <c r="L81" s="8">
        <v>93</v>
      </c>
      <c r="M81" s="8">
        <v>196</v>
      </c>
      <c r="N81" s="8">
        <v>274.5</v>
      </c>
      <c r="O81" s="8"/>
      <c r="P81" s="8"/>
      <c r="Q81" s="8"/>
      <c r="R81" s="8"/>
      <c r="S81" s="8"/>
      <c r="T81" s="8"/>
      <c r="U81" s="8"/>
      <c r="V81" s="8">
        <f t="shared" si="4"/>
        <v>607.5</v>
      </c>
      <c r="W81" s="9">
        <f t="shared" si="6"/>
        <v>151.875</v>
      </c>
    </row>
    <row r="82" spans="1:23" x14ac:dyDescent="0.3">
      <c r="A82" s="4" t="str">
        <f>VLOOKUP(G82,Data!$A:$G,2,0)</f>
        <v>Sunil Biswas</v>
      </c>
      <c r="B82" s="4" t="str">
        <f>VLOOKUP(G82,Data!$A:$G,3,0)</f>
        <v>Inactive</v>
      </c>
      <c r="C82" s="4" t="str">
        <f>VLOOKUP(G82,Data!$A:$G,4,0)</f>
        <v>Durgapur</v>
      </c>
      <c r="D82" s="4" t="str">
        <f>VLOOKUP(G82,Data!$A:$G,5,0)</f>
        <v>Chakdaha</v>
      </c>
      <c r="E82" s="4" t="str">
        <f>VLOOKUP(G82,Data!$A:$G,6,0)</f>
        <v>Kiran Biswas</v>
      </c>
      <c r="F82" s="10" t="str">
        <f>VLOOKUP(G82,Data!$A:$G,7,0)</f>
        <v>2430315343</v>
      </c>
      <c r="G82" s="5">
        <v>28083</v>
      </c>
      <c r="H82" s="5" t="str">
        <f>VLOOKUP(G82,'FI txn'!$G:$X,18,0)</f>
        <v>&lt; 150</v>
      </c>
      <c r="I82" s="7">
        <f>VLOOKUP(G82,'FI txn'!$G:$H,2,0)</f>
        <v>5</v>
      </c>
      <c r="J82" s="8">
        <v>617</v>
      </c>
      <c r="K82" s="8">
        <v>378.5</v>
      </c>
      <c r="L82" s="8">
        <v>304</v>
      </c>
      <c r="M82" s="8">
        <v>600</v>
      </c>
      <c r="N82" s="8">
        <v>253</v>
      </c>
      <c r="O82" s="8"/>
      <c r="P82" s="8"/>
      <c r="Q82" s="8"/>
      <c r="R82" s="8"/>
      <c r="S82" s="8"/>
      <c r="T82" s="8"/>
      <c r="U82" s="8"/>
      <c r="V82" s="8">
        <f t="shared" si="4"/>
        <v>2152.5</v>
      </c>
      <c r="W82" s="9">
        <f t="shared" si="6"/>
        <v>430.5</v>
      </c>
    </row>
    <row r="83" spans="1:23" x14ac:dyDescent="0.3">
      <c r="A83" s="4" t="str">
        <f>VLOOKUP(G83,Data!$A:$G,2,0)</f>
        <v>Santanu Bera</v>
      </c>
      <c r="B83" s="4" t="str">
        <f>VLOOKUP(G83,Data!$A:$G,3,0)</f>
        <v>Active</v>
      </c>
      <c r="C83" s="4" t="str">
        <f>VLOOKUP(G83,Data!$A:$G,4,0)</f>
        <v>Hooghly</v>
      </c>
      <c r="D83" s="4" t="str">
        <f>VLOOKUP(G83,Data!$A:$G,5,0)</f>
        <v>Contai</v>
      </c>
      <c r="E83" s="4" t="str">
        <f>VLOOKUP(G83,Data!$A:$G,6,0)</f>
        <v>Subhankar Sahoo</v>
      </c>
      <c r="F83" s="10" t="str">
        <f>VLOOKUP(G83,Data!$A:$G,7,0)</f>
        <v>2380314983</v>
      </c>
      <c r="G83" s="5">
        <v>27249</v>
      </c>
      <c r="H83" s="5" t="str">
        <f>VLOOKUP(G83,'FI txn'!$G:$X,18,0)</f>
        <v>&lt; 150</v>
      </c>
      <c r="I83" s="7">
        <f>VLOOKUP(G83,'FI txn'!$G:$H,2,0)</f>
        <v>6</v>
      </c>
      <c r="J83" s="8">
        <v>436</v>
      </c>
      <c r="K83" s="8">
        <v>367</v>
      </c>
      <c r="L83" s="8">
        <v>103</v>
      </c>
      <c r="M83" s="8">
        <v>265.75</v>
      </c>
      <c r="N83" s="8">
        <v>252</v>
      </c>
      <c r="O83" s="8"/>
      <c r="P83" s="8"/>
      <c r="Q83" s="8"/>
      <c r="R83" s="8"/>
      <c r="S83" s="8"/>
      <c r="T83" s="8"/>
      <c r="U83" s="8"/>
      <c r="V83" s="8">
        <f t="shared" si="4"/>
        <v>1423.75</v>
      </c>
      <c r="W83" s="9">
        <f t="shared" si="6"/>
        <v>237.29166666666666</v>
      </c>
    </row>
    <row r="84" spans="1:23" x14ac:dyDescent="0.3">
      <c r="A84" s="4" t="str">
        <f>VLOOKUP(G84,Data!$A:$G,2,0)</f>
        <v>Santanu Bera</v>
      </c>
      <c r="B84" s="4" t="str">
        <f>VLOOKUP(G84,Data!$A:$G,3,0)</f>
        <v>Active</v>
      </c>
      <c r="C84" s="4" t="str">
        <f>VLOOKUP(G84,Data!$A:$G,4,0)</f>
        <v>Hooghly</v>
      </c>
      <c r="D84" s="4" t="str">
        <f>VLOOKUP(G84,Data!$A:$G,5,0)</f>
        <v>Tamluk</v>
      </c>
      <c r="E84" s="4" t="str">
        <f>VLOOKUP(G84,Data!$A:$G,6,0)</f>
        <v>Soumen Baichar</v>
      </c>
      <c r="F84" s="10" t="str">
        <f>VLOOKUP(G84,Data!$A:$G,7,0)</f>
        <v>2390314474</v>
      </c>
      <c r="G84" s="5">
        <v>26530</v>
      </c>
      <c r="H84" s="5" t="str">
        <f>VLOOKUP(G84,'FI txn'!$G:$X,18,0)</f>
        <v>&lt; 150</v>
      </c>
      <c r="I84" s="7">
        <f>VLOOKUP(G84,'FI txn'!$G:$H,2,0)</f>
        <v>6</v>
      </c>
      <c r="J84" s="8">
        <v>253.5</v>
      </c>
      <c r="K84" s="8">
        <v>352</v>
      </c>
      <c r="L84" s="8">
        <v>154</v>
      </c>
      <c r="M84" s="8">
        <v>332</v>
      </c>
      <c r="N84" s="8">
        <v>158</v>
      </c>
      <c r="O84" s="8"/>
      <c r="P84" s="8"/>
      <c r="Q84" s="8"/>
      <c r="R84" s="8"/>
      <c r="S84" s="8"/>
      <c r="T84" s="8"/>
      <c r="U84" s="8"/>
      <c r="V84" s="8">
        <f t="shared" si="4"/>
        <v>1249.5</v>
      </c>
      <c r="W84" s="9">
        <f t="shared" si="6"/>
        <v>208.25</v>
      </c>
    </row>
    <row r="85" spans="1:23" x14ac:dyDescent="0.3">
      <c r="A85" s="4" t="str">
        <f>VLOOKUP(G85,Data!$A:$G,2,0)</f>
        <v>Santanu Bera</v>
      </c>
      <c r="B85" s="4" t="str">
        <f>VLOOKUP(G85,Data!$A:$G,3,0)</f>
        <v>Active</v>
      </c>
      <c r="C85" s="4" t="str">
        <f>VLOOKUP(G85,Data!$A:$G,4,0)</f>
        <v>Hooghly</v>
      </c>
      <c r="D85" s="4" t="str">
        <f>VLOOKUP(G85,Data!$A:$G,5,0)</f>
        <v>Panskura</v>
      </c>
      <c r="E85" s="4" t="str">
        <f>VLOOKUP(G85,Data!$A:$G,6,0)</f>
        <v>Prasanta Ghorai</v>
      </c>
      <c r="F85" s="10" t="str">
        <f>VLOOKUP(G85,Data!$A:$G,7,0)</f>
        <v>9635383167</v>
      </c>
      <c r="G85" s="5">
        <v>29527</v>
      </c>
      <c r="H85" s="5">
        <f>VLOOKUP(G85,'FI txn'!$G:$X,18,0)</f>
        <v>0</v>
      </c>
      <c r="I85" s="7">
        <f>VLOOKUP(G85,'FI txn'!$G:$H,2,0)</f>
        <v>4</v>
      </c>
      <c r="J85" s="8"/>
      <c r="K85" s="8"/>
      <c r="L85" s="8">
        <v>202</v>
      </c>
      <c r="M85" s="8">
        <v>183</v>
      </c>
      <c r="N85" s="8">
        <v>145</v>
      </c>
      <c r="O85" s="8"/>
      <c r="P85" s="8"/>
      <c r="Q85" s="8"/>
      <c r="R85" s="8"/>
      <c r="S85" s="8"/>
      <c r="T85" s="8"/>
      <c r="U85" s="8"/>
      <c r="V85" s="8">
        <f t="shared" si="4"/>
        <v>530</v>
      </c>
      <c r="W85" s="9">
        <f t="shared" si="6"/>
        <v>132.5</v>
      </c>
    </row>
    <row r="86" spans="1:23" x14ac:dyDescent="0.3">
      <c r="A86" s="4" t="str">
        <f>VLOOKUP(G86,Data!$A:$G,2,0)</f>
        <v>Manindra Nath Barman</v>
      </c>
      <c r="B86" s="4" t="str">
        <f>VLOOKUP(G86,Data!$A:$G,3,0)</f>
        <v>Active</v>
      </c>
      <c r="C86" s="4" t="str">
        <f>VLOOKUP(G86,Data!$A:$G,4,0)</f>
        <v>Siliguri</v>
      </c>
      <c r="D86" s="4" t="str">
        <f>VLOOKUP(G86,Data!$A:$G,5,0)</f>
        <v>Ethelbari</v>
      </c>
      <c r="E86" s="4" t="str">
        <f>VLOOKUP(G86,Data!$A:$G,6,0)</f>
        <v>Tarif Baxla</v>
      </c>
      <c r="F86" s="10" t="str">
        <f>VLOOKUP(G86,Data!$A:$G,7,0)</f>
        <v>8410316211</v>
      </c>
      <c r="G86" s="5">
        <v>29798</v>
      </c>
      <c r="H86" s="5" t="str">
        <f>VLOOKUP(G86,'FI txn'!$G:$X,18,0)</f>
        <v>&lt; 150</v>
      </c>
      <c r="I86" s="7">
        <f>VLOOKUP(G86,'FI txn'!$G:$H,2,0)</f>
        <v>2</v>
      </c>
      <c r="J86" s="8"/>
      <c r="K86" s="8"/>
      <c r="L86" s="8"/>
      <c r="M86" s="8"/>
      <c r="N86" s="8">
        <v>75</v>
      </c>
      <c r="O86" s="8"/>
      <c r="P86" s="8"/>
      <c r="Q86" s="8"/>
      <c r="R86" s="8"/>
      <c r="S86" s="8"/>
      <c r="T86" s="8"/>
      <c r="U86" s="8"/>
      <c r="V86" s="8"/>
      <c r="W86" s="9">
        <f t="shared" si="6"/>
        <v>0</v>
      </c>
    </row>
    <row r="87" spans="1:23" x14ac:dyDescent="0.3">
      <c r="A87" s="4" t="str">
        <f>VLOOKUP(G87,Data!$A:$G,2,0)</f>
        <v>Chandi Charan Mahato</v>
      </c>
      <c r="B87" s="4" t="str">
        <f>VLOOKUP(G87,Data!$A:$G,3,0)</f>
        <v>Inactive</v>
      </c>
      <c r="C87" s="4" t="str">
        <f>VLOOKUP(G87,Data!$A:$G,4,0)</f>
        <v>Durgapur</v>
      </c>
      <c r="D87" s="4" t="str">
        <f>VLOOKUP(G87,Data!$A:$G,5,0)</f>
        <v>Patrasayer</v>
      </c>
      <c r="E87" s="4" t="str">
        <f>VLOOKUP(G87,Data!$A:$G,6,0)</f>
        <v xml:space="preserve">Manorama Chakraborty Roy </v>
      </c>
      <c r="F87" s="10" t="str">
        <f>VLOOKUP(G87,Data!$A:$G,7,0)</f>
        <v>2160315496</v>
      </c>
      <c r="G87" s="5">
        <v>28305</v>
      </c>
      <c r="H87" s="5" t="str">
        <f>VLOOKUP(G87,'FI txn'!$G:$X,18,0)</f>
        <v>&lt; 150</v>
      </c>
      <c r="I87" s="7">
        <f>VLOOKUP(G87,'FI txn'!$G:$H,2,0)</f>
        <v>4</v>
      </c>
      <c r="J87" s="8">
        <v>97</v>
      </c>
      <c r="K87" s="8">
        <v>207</v>
      </c>
      <c r="L87" s="8"/>
      <c r="M87" s="8">
        <v>61</v>
      </c>
      <c r="N87" s="8">
        <v>38</v>
      </c>
      <c r="O87" s="8"/>
      <c r="P87" s="8"/>
      <c r="Q87" s="8"/>
      <c r="R87" s="8"/>
      <c r="S87" s="8"/>
      <c r="T87" s="8"/>
      <c r="U87" s="8"/>
      <c r="V87" s="8">
        <f>SUM(J87:U87)</f>
        <v>403</v>
      </c>
      <c r="W87" s="9">
        <f t="shared" si="6"/>
        <v>100.75</v>
      </c>
    </row>
    <row r="88" spans="1:23" x14ac:dyDescent="0.3">
      <c r="A88" s="4" t="str">
        <f>VLOOKUP(G88,Data!$A:$G,2,0)</f>
        <v>Under Office (Birbhum)</v>
      </c>
      <c r="B88" s="4" t="str">
        <f>VLOOKUP(G88,Data!$A:$G,3,0)</f>
        <v>Inactive</v>
      </c>
      <c r="C88" s="4" t="str">
        <f>VLOOKUP(G88,Data!$A:$G,4,0)</f>
        <v>Siliguri</v>
      </c>
      <c r="D88" s="4" t="str">
        <f>VLOOKUP(G88,Data!$A:$G,5,0)</f>
        <v>Lohapur</v>
      </c>
      <c r="E88" s="4" t="str">
        <f>VLOOKUP(G88,Data!$A:$G,6,0)</f>
        <v>Suraj Fulmali</v>
      </c>
      <c r="F88" s="10" t="str">
        <f>VLOOKUP(G88,Data!$A:$G,7,0)</f>
        <v>0140311327</v>
      </c>
      <c r="G88" s="5">
        <v>27437</v>
      </c>
      <c r="H88" s="5" t="str">
        <f>VLOOKUP(G88,'FI txn'!$G:$X,18,0)</f>
        <v>&lt; 150</v>
      </c>
      <c r="I88" s="7">
        <f>VLOOKUP(G88,'FI txn'!$G:$H,2,0)</f>
        <v>2</v>
      </c>
      <c r="J88" s="8">
        <v>176</v>
      </c>
      <c r="K88" s="8"/>
      <c r="L88" s="8"/>
      <c r="M88" s="8"/>
      <c r="N88" s="8">
        <v>30</v>
      </c>
      <c r="O88" s="8"/>
      <c r="P88" s="8"/>
      <c r="Q88" s="8"/>
      <c r="R88" s="8"/>
      <c r="S88" s="8"/>
      <c r="T88" s="8"/>
      <c r="U88" s="8"/>
      <c r="V88" s="8">
        <f>SUM(J88:U88)</f>
        <v>206</v>
      </c>
      <c r="W88" s="9">
        <f t="shared" si="6"/>
        <v>103</v>
      </c>
    </row>
    <row r="89" spans="1:23" x14ac:dyDescent="0.3">
      <c r="A89" s="4" t="str">
        <f>VLOOKUP(G89,Data!$A:$G,2,0)</f>
        <v>Sunil Biswas</v>
      </c>
      <c r="B89" s="4" t="str">
        <f>VLOOKUP(G89,Data!$A:$G,3,0)</f>
        <v>Inactive</v>
      </c>
      <c r="C89" s="4" t="str">
        <f>VLOOKUP(G89,Data!$A:$G,4,0)</f>
        <v>Durgapur</v>
      </c>
      <c r="D89" s="4" t="str">
        <f>VLOOKUP(G89,Data!$A:$G,5,0)</f>
        <v>Badkulla</v>
      </c>
      <c r="E89" s="4" t="str">
        <f>VLOOKUP(G89,Data!$A:$G,6,0)</f>
        <v>Amit Sikder</v>
      </c>
      <c r="F89" s="10" t="str">
        <f>VLOOKUP(G89,Data!$A:$G,7,0)</f>
        <v>2430315185</v>
      </c>
      <c r="G89" s="5">
        <v>27731</v>
      </c>
      <c r="H89" s="5" t="str">
        <f>VLOOKUP(G89,'FI txn'!$G:$X,18,0)</f>
        <v>&lt; 150</v>
      </c>
      <c r="I89" s="7">
        <f>VLOOKUP(G89,'FI txn'!$G:$H,2,0)</f>
        <v>2</v>
      </c>
      <c r="J89" s="8">
        <v>667</v>
      </c>
      <c r="K89" s="8">
        <v>634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>
        <f>SUM(J89:U89)</f>
        <v>1301</v>
      </c>
      <c r="W89" s="9">
        <f t="shared" si="6"/>
        <v>650.5</v>
      </c>
    </row>
    <row r="90" spans="1:23" x14ac:dyDescent="0.3">
      <c r="A90" s="4" t="str">
        <f>VLOOKUP(G90,Data!$A:$G,2,0)</f>
        <v>Sunil Biswas</v>
      </c>
      <c r="B90" s="4" t="str">
        <f>VLOOKUP(G90,Data!$A:$G,3,0)</f>
        <v>Inactive</v>
      </c>
      <c r="C90" s="4" t="str">
        <f>VLOOKUP(G90,Data!$A:$G,4,0)</f>
        <v>Durgapur</v>
      </c>
      <c r="D90" s="4" t="str">
        <f>VLOOKUP(G90,Data!$A:$G,5,0)</f>
        <v>Hridaypur</v>
      </c>
      <c r="E90" s="4" t="str">
        <f>VLOOKUP(G90,Data!$A:$G,6,0)</f>
        <v>Asim Halder</v>
      </c>
      <c r="F90" s="10" t="str">
        <f>VLOOKUP(G90,Data!$A:$G,7,0)</f>
        <v>2430315807</v>
      </c>
      <c r="G90" s="5">
        <v>29052</v>
      </c>
      <c r="H90" s="5" t="str">
        <f>VLOOKUP(G90,'FI txn'!$G:$X,18,0)</f>
        <v>&lt; 150</v>
      </c>
      <c r="I90" s="7">
        <f>VLOOKUP(G90,'FI txn'!$G:$H,2,0)</f>
        <v>3</v>
      </c>
      <c r="J90" s="8">
        <v>137</v>
      </c>
      <c r="K90" s="8">
        <v>141</v>
      </c>
      <c r="L90" s="8">
        <v>15</v>
      </c>
      <c r="M90" s="8"/>
      <c r="N90" s="8"/>
      <c r="O90" s="8"/>
      <c r="P90" s="8"/>
      <c r="Q90" s="8"/>
      <c r="R90" s="8"/>
      <c r="S90" s="8"/>
      <c r="T90" s="8"/>
      <c r="U90" s="8"/>
      <c r="V90" s="8">
        <f>SUM(J90:U90)</f>
        <v>293</v>
      </c>
      <c r="W90" s="9">
        <f t="shared" si="6"/>
        <v>97.666666666666671</v>
      </c>
    </row>
    <row r="91" spans="1:23" x14ac:dyDescent="0.3">
      <c r="A91" s="4" t="str">
        <f>VLOOKUP(G91,Data!$A:$G,2,0)</f>
        <v>Sunil Biswas</v>
      </c>
      <c r="B91" s="4" t="str">
        <f>VLOOKUP(G91,Data!$A:$G,3,0)</f>
        <v>Inactive</v>
      </c>
      <c r="C91" s="4" t="str">
        <f>VLOOKUP(G91,Data!$A:$G,4,0)</f>
        <v>Durgapur</v>
      </c>
      <c r="D91" s="4" t="str">
        <f>VLOOKUP(G91,Data!$A:$G,5,0)</f>
        <v>Hridaypur</v>
      </c>
      <c r="E91" s="4" t="str">
        <f>VLOOKUP(G91,Data!$A:$G,6,0)</f>
        <v>Nitish Mondal</v>
      </c>
      <c r="F91" s="10" t="str">
        <f>VLOOKUP(G91,Data!$A:$G,7,0)</f>
        <v>8942919438</v>
      </c>
      <c r="G91" s="5">
        <v>29524</v>
      </c>
      <c r="H91" s="5" t="str">
        <f>VLOOKUP(G91,'FI txn'!$G:$X,18,0)</f>
        <v>&lt; 150</v>
      </c>
      <c r="I91" s="7">
        <f>VLOOKUP(G91,'FI txn'!$G:$H,2,0)</f>
        <v>1</v>
      </c>
      <c r="J91" s="8"/>
      <c r="K91" s="8"/>
      <c r="L91" s="8"/>
      <c r="M91" s="8">
        <v>46</v>
      </c>
      <c r="N91" s="8"/>
      <c r="O91" s="8"/>
      <c r="P91" s="8"/>
      <c r="Q91" s="8"/>
      <c r="R91" s="8"/>
      <c r="S91" s="8"/>
      <c r="T91" s="8"/>
      <c r="U91" s="8"/>
      <c r="V91" s="8">
        <f>SUM(J91:U91)</f>
        <v>46</v>
      </c>
      <c r="W91" s="9">
        <f t="shared" si="6"/>
        <v>46</v>
      </c>
    </row>
    <row r="92" spans="1:23" x14ac:dyDescent="0.3">
      <c r="A92" s="4" t="str">
        <f>VLOOKUP(G92,Data!$A:$G,2,0)</f>
        <v>Souvik Maity</v>
      </c>
      <c r="B92" s="4" t="str">
        <f>VLOOKUP(G92,Data!$A:$G,3,0)</f>
        <v>Active</v>
      </c>
      <c r="C92" s="4" t="str">
        <f>VLOOKUP(G92,Data!$A:$G,4,0)</f>
        <v>Hooghly</v>
      </c>
      <c r="D92" s="4" t="str">
        <f>VLOOKUP(G92,Data!$A:$G,5,0)</f>
        <v>Mayapur</v>
      </c>
      <c r="E92" s="4" t="str">
        <f>VLOOKUP(G92,Data!$A:$G,6,0)</f>
        <v>Ruma Rana</v>
      </c>
      <c r="F92" s="10" t="str">
        <f>VLOOKUP(G92,Data!$A:$G,7,0)</f>
        <v>8410316172</v>
      </c>
      <c r="G92" s="5">
        <v>29749</v>
      </c>
      <c r="H92" s="5" t="str">
        <f>VLOOKUP(G92,'FI txn'!$G:$X,18,0)</f>
        <v>&lt; 150</v>
      </c>
      <c r="I92" s="7">
        <f>VLOOKUP(G92,'FI txn'!$G:$H,2,0)</f>
        <v>1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>
        <f t="shared" si="6"/>
        <v>0</v>
      </c>
    </row>
    <row r="93" spans="1:23" x14ac:dyDescent="0.3">
      <c r="A93" s="4" t="str">
        <f>VLOOKUP(G93,Data!$A:$G,2,0)</f>
        <v>Chandi Charan Mahato</v>
      </c>
      <c r="B93" s="4" t="str">
        <f>VLOOKUP(G93,Data!$A:$G,3,0)</f>
        <v>Inactive</v>
      </c>
      <c r="C93" s="4" t="str">
        <f>VLOOKUP(G93,Data!$A:$G,4,0)</f>
        <v>Durgapur</v>
      </c>
      <c r="D93" s="4" t="str">
        <f>VLOOKUP(G93,Data!$A:$G,5,0)</f>
        <v>Layekbandh</v>
      </c>
      <c r="E93" s="4" t="str">
        <f>VLOOKUP(G93,Data!$A:$G,6,0)</f>
        <v>Debasis Dey</v>
      </c>
      <c r="F93" s="10" t="str">
        <f>VLOOKUP(G93,Data!$A:$G,7,0)</f>
        <v>2160315158</v>
      </c>
      <c r="G93" s="12">
        <v>27632</v>
      </c>
      <c r="H93" s="5" t="str">
        <f>VLOOKUP(G93,'FI txn'!$G:$X,18,0)</f>
        <v>Nill</v>
      </c>
      <c r="I93" s="7">
        <f>VLOOKUP(G93,'FI txn'!$G:$H,2,0)</f>
        <v>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 t="e">
        <f t="shared" si="6"/>
        <v>#DIV/0!</v>
      </c>
    </row>
    <row r="94" spans="1:23" x14ac:dyDescent="0.3">
      <c r="A94" s="4" t="str">
        <f>VLOOKUP(G94,Data!$A:$G,2,0)</f>
        <v>Sunil Biswas</v>
      </c>
      <c r="B94" s="4" t="str">
        <f>VLOOKUP(G94,Data!$A:$G,3,0)</f>
        <v>Inactive</v>
      </c>
      <c r="C94" s="4" t="str">
        <f>VLOOKUP(G94,Data!$A:$G,4,0)</f>
        <v>Durgapur</v>
      </c>
      <c r="D94" s="4" t="str">
        <f>VLOOKUP(G94,Data!$A:$G,5,0)</f>
        <v>Hridaypur</v>
      </c>
      <c r="E94" s="4" t="str">
        <f>VLOOKUP(G94,Data!$A:$G,6,0)</f>
        <v>Saiful Sekh</v>
      </c>
      <c r="F94" s="10" t="str">
        <f>VLOOKUP(G94,Data!$A:$G,7,0)</f>
        <v>2430314735</v>
      </c>
      <c r="G94" s="12">
        <v>26881</v>
      </c>
      <c r="H94" s="5" t="str">
        <f>VLOOKUP(G94,'FI txn'!$G:$X,18,0)</f>
        <v>Nill</v>
      </c>
      <c r="I94" s="7">
        <f>VLOOKUP(G94,'FI txn'!$G:$H,2,0)</f>
        <v>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 t="e">
        <f t="shared" si="6"/>
        <v>#DIV/0!</v>
      </c>
    </row>
    <row r="95" spans="1:23" x14ac:dyDescent="0.3">
      <c r="A95" s="4" t="str">
        <f>VLOOKUP(G95,Data!$A:$G,2,0)</f>
        <v>Chandi Charan Mahato</v>
      </c>
      <c r="B95" s="4" t="str">
        <f>VLOOKUP(G95,Data!$A:$G,3,0)</f>
        <v>Inactive</v>
      </c>
      <c r="C95" s="4" t="str">
        <f>VLOOKUP(G95,Data!$A:$G,4,0)</f>
        <v>Durgapur</v>
      </c>
      <c r="D95" s="4" t="str">
        <f>VLOOKUP(G95,Data!$A:$G,5,0)</f>
        <v>Kotulpur</v>
      </c>
      <c r="E95" s="4" t="str">
        <f>VLOOKUP(G95,Data!$A:$G,6,0)</f>
        <v>Sayan Dutta</v>
      </c>
      <c r="F95" s="10" t="str">
        <f>VLOOKUP(G95,Data!$A:$G,7,0)</f>
        <v>2160315608</v>
      </c>
      <c r="G95" s="12">
        <v>28601</v>
      </c>
      <c r="H95" s="5" t="str">
        <f>VLOOKUP(G95,'FI txn'!$G:$X,18,0)</f>
        <v>&lt; 150</v>
      </c>
      <c r="I95" s="7">
        <f>VLOOKUP(G95,'FI txn'!$G:$H,2,0)</f>
        <v>1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>
        <f t="shared" si="6"/>
        <v>0</v>
      </c>
    </row>
    <row r="96" spans="1:23" x14ac:dyDescent="0.3">
      <c r="A96" s="4" t="str">
        <f>VLOOKUP(G96,Data!$A:$G,2,0)</f>
        <v>Santanu Bera</v>
      </c>
      <c r="B96" s="4" t="str">
        <f>VLOOKUP(G96,Data!$A:$G,3,0)</f>
        <v>Inactive</v>
      </c>
      <c r="C96" s="4" t="str">
        <f>VLOOKUP(G96,Data!$A:$G,4,0)</f>
        <v>Hooghly</v>
      </c>
      <c r="D96" s="4" t="str">
        <f>VLOOKUP(G96,Data!$A:$G,5,0)</f>
        <v>Contai</v>
      </c>
      <c r="E96" s="4" t="str">
        <f>VLOOKUP(G96,Data!$A:$G,6,0)</f>
        <v>Sulekha Das</v>
      </c>
      <c r="F96" s="10" t="str">
        <f>VLOOKUP(G96,Data!$A:$G,7,0)</f>
        <v>2380314986</v>
      </c>
      <c r="G96" s="12">
        <v>27252</v>
      </c>
      <c r="H96" s="5" t="str">
        <f>VLOOKUP(G96,'FI txn'!$G:$X,18,0)</f>
        <v>Nill</v>
      </c>
      <c r="I96" s="7">
        <f>VLOOKUP(G96,'FI txn'!$G:$H,2,0)</f>
        <v>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 t="e">
        <f t="shared" si="6"/>
        <v>#DIV/0!</v>
      </c>
    </row>
    <row r="97" spans="1:23" x14ac:dyDescent="0.3">
      <c r="A97" s="4" t="str">
        <f>VLOOKUP(G97,Data!$A:$G,2,0)</f>
        <v>Souvik Maity</v>
      </c>
      <c r="B97" s="4" t="str">
        <f>VLOOKUP(G97,Data!$A:$G,3,0)</f>
        <v>Inactive</v>
      </c>
      <c r="C97" s="4" t="str">
        <f>VLOOKUP(G97,Data!$A:$G,4,0)</f>
        <v>Hooghly</v>
      </c>
      <c r="D97" s="4" t="str">
        <f>VLOOKUP(G97,Data!$A:$G,5,0)</f>
        <v>Mayapur</v>
      </c>
      <c r="E97" s="4" t="str">
        <f>VLOOKUP(G97,Data!$A:$G,6,0)</f>
        <v>Falguni Samanta</v>
      </c>
      <c r="F97" s="10" t="str">
        <f>VLOOKUP(G97,Data!$A:$G,7,0)</f>
        <v>3390311256</v>
      </c>
      <c r="G97" s="12">
        <v>21925</v>
      </c>
      <c r="H97" s="5" t="str">
        <f>VLOOKUP(G97,'FI txn'!$G:$X,18,0)</f>
        <v>Nill</v>
      </c>
      <c r="I97" s="7">
        <f>VLOOKUP(G97,'FI txn'!$G:$H,2,0)</f>
        <v>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 t="e">
        <f t="shared" si="6"/>
        <v>#DIV/0!</v>
      </c>
    </row>
    <row r="98" spans="1:23" x14ac:dyDescent="0.3">
      <c r="A98" s="4" t="str">
        <f>VLOOKUP(G98,Data!$A:$G,2,0)</f>
        <v>Santanu Bera</v>
      </c>
      <c r="B98" s="4" t="str">
        <f>VLOOKUP(G98,Data!$A:$G,3,0)</f>
        <v>Inactive</v>
      </c>
      <c r="C98" s="4" t="str">
        <f>VLOOKUP(G98,Data!$A:$G,4,0)</f>
        <v>Hooghly</v>
      </c>
      <c r="D98" s="4" t="str">
        <f>VLOOKUP(G98,Data!$A:$G,5,0)</f>
        <v>Contai</v>
      </c>
      <c r="E98" s="4" t="str">
        <f>VLOOKUP(G98,Data!$A:$G,6,0)</f>
        <v>Narayan Ojha</v>
      </c>
      <c r="F98" s="10" t="str">
        <f>VLOOKUP(G98,Data!$A:$G,7,0)</f>
        <v>2380314459</v>
      </c>
      <c r="G98" s="12">
        <v>26507</v>
      </c>
      <c r="H98" s="5" t="str">
        <f>VLOOKUP(G98,'FI txn'!$G:$X,18,0)</f>
        <v>Nill</v>
      </c>
      <c r="I98" s="7">
        <f>VLOOKUP(G98,'FI txn'!$G:$H,2,0)</f>
        <v>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 t="e">
        <f t="shared" si="6"/>
        <v>#DIV/0!</v>
      </c>
    </row>
    <row r="99" spans="1:23" x14ac:dyDescent="0.3">
      <c r="A99" s="4" t="str">
        <f>VLOOKUP(G99,Data!$A:$G,2,0)</f>
        <v>Souvik Maity</v>
      </c>
      <c r="B99" s="4" t="str">
        <f>VLOOKUP(G99,Data!$A:$G,3,0)</f>
        <v>Inactive</v>
      </c>
      <c r="C99" s="4" t="str">
        <f>VLOOKUP(G99,Data!$A:$G,4,0)</f>
        <v>Hooghly</v>
      </c>
      <c r="D99" s="4" t="str">
        <f>VLOOKUP(G99,Data!$A:$G,5,0)</f>
        <v>Arambagh</v>
      </c>
      <c r="E99" s="4" t="str">
        <f>VLOOKUP(G99,Data!$A:$G,6,0)</f>
        <v>Sk Momin Uddin</v>
      </c>
      <c r="F99" s="10" t="str">
        <f>VLOOKUP(G99,Data!$A:$G,7,0)</f>
        <v>3390313207</v>
      </c>
      <c r="G99" s="12">
        <v>24527</v>
      </c>
      <c r="H99" s="5" t="str">
        <f>VLOOKUP(G99,'FI txn'!$G:$X,18,0)</f>
        <v>Nill</v>
      </c>
      <c r="I99" s="7">
        <f>VLOOKUP(G99,'FI txn'!$G:$H,2,0)</f>
        <v>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 t="e">
        <f t="shared" si="6"/>
        <v>#DIV/0!</v>
      </c>
    </row>
    <row r="100" spans="1:23" x14ac:dyDescent="0.3">
      <c r="A100" s="4" t="str">
        <f>VLOOKUP(G100,Data!$A:$G,2,0)</f>
        <v>Souvik Maity</v>
      </c>
      <c r="B100" s="4" t="str">
        <f>VLOOKUP(G100,Data!$A:$G,3,0)</f>
        <v>Inactive</v>
      </c>
      <c r="C100" s="4" t="str">
        <f>VLOOKUP(G100,Data!$A:$G,4,0)</f>
        <v>Hooghly</v>
      </c>
      <c r="D100" s="4" t="str">
        <f>VLOOKUP(G100,Data!$A:$G,5,0)</f>
        <v>Mangrul</v>
      </c>
      <c r="E100" s="4" t="str">
        <f>VLOOKUP(G100,Data!$A:$G,6,0)</f>
        <v>Prasenjit Ghosh</v>
      </c>
      <c r="F100" s="10" t="str">
        <f>VLOOKUP(G100,Data!$A:$G,7,0)</f>
        <v>2390311944</v>
      </c>
      <c r="G100" s="5">
        <v>22771</v>
      </c>
      <c r="H100" s="5" t="e">
        <f>VLOOKUP(G100,'FI txn'!$G:$X,18,0)</f>
        <v>#DIV/0!</v>
      </c>
      <c r="I100" s="7">
        <f>VLOOKUP(G100,'FI txn'!$G:$H,2,0)</f>
        <v>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 t="e">
        <f t="shared" si="6"/>
        <v>#DIV/0!</v>
      </c>
    </row>
    <row r="101" spans="1:23" x14ac:dyDescent="0.3">
      <c r="A101" s="4" t="str">
        <f>VLOOKUP(G101,Data!$A:$G,2,0)</f>
        <v>Under Office (Birbhum)</v>
      </c>
      <c r="B101" s="4" t="str">
        <f>VLOOKUP(G101,Data!$A:$G,3,0)</f>
        <v>Inactive</v>
      </c>
      <c r="C101" s="4" t="str">
        <f>VLOOKUP(G101,Data!$A:$G,4,0)</f>
        <v>Siliguri</v>
      </c>
      <c r="D101" s="4" t="str">
        <f>VLOOKUP(G101,Data!$A:$G,5,0)</f>
        <v>Mangaldihi</v>
      </c>
      <c r="E101" s="4" t="str">
        <f>VLOOKUP(G101,Data!$A:$G,6,0)</f>
        <v>Swarup Sadhu</v>
      </c>
      <c r="F101" s="10" t="str">
        <f>VLOOKUP(G101,Data!$A:$G,7,0)</f>
        <v>0140311670</v>
      </c>
      <c r="G101" s="5">
        <v>22424</v>
      </c>
      <c r="H101" s="5" t="e">
        <f>VLOOKUP(G101,'FI txn'!$G:$X,18,0)</f>
        <v>#DIV/0!</v>
      </c>
      <c r="I101" s="7">
        <f>VLOOKUP(G101,'FI txn'!$G:$H,2,0)</f>
        <v>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 t="e">
        <f t="shared" si="6"/>
        <v>#DIV/0!</v>
      </c>
    </row>
    <row r="102" spans="1:23" x14ac:dyDescent="0.3">
      <c r="A102" s="4" t="str">
        <f>VLOOKUP(G102,Data!$A:$G,2,0)</f>
        <v>Manindra Nath Barman</v>
      </c>
      <c r="B102" s="4" t="str">
        <f>VLOOKUP(G102,Data!$A:$G,3,0)</f>
        <v>Inactive</v>
      </c>
      <c r="C102" s="4" t="str">
        <f>VLOOKUP(G102,Data!$A:$G,4,0)</f>
        <v>Siliguri</v>
      </c>
      <c r="D102" s="4" t="str">
        <f>VLOOKUP(G102,Data!$A:$G,5,0)</f>
        <v>Maynaguri</v>
      </c>
      <c r="E102" s="4" t="str">
        <f>VLOOKUP(G102,Data!$A:$G,6,0)</f>
        <v>Biswajit Roy</v>
      </c>
      <c r="F102" s="10" t="str">
        <f>VLOOKUP(G102,Data!$A:$G,7,0)</f>
        <v>2310311260</v>
      </c>
      <c r="G102" s="12">
        <v>21929</v>
      </c>
      <c r="H102" s="5" t="str">
        <f>VLOOKUP(G102,'FI txn'!$G:$X,18,0)</f>
        <v>Nill</v>
      </c>
      <c r="I102" s="7">
        <f>VLOOKUP(G102,'FI txn'!$G:$H,2,0)</f>
        <v>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 t="e">
        <f t="shared" si="6"/>
        <v>#DIV/0!</v>
      </c>
    </row>
    <row r="103" spans="1:23" x14ac:dyDescent="0.3">
      <c r="A103" s="4" t="str">
        <f>VLOOKUP(G103,Data!$A:$G,2,0)</f>
        <v>Under Office (Birbhum)</v>
      </c>
      <c r="B103" s="4" t="str">
        <f>VLOOKUP(G103,Data!$A:$G,3,0)</f>
        <v>Inactive</v>
      </c>
      <c r="C103" s="4" t="str">
        <f>VLOOKUP(G103,Data!$A:$G,4,0)</f>
        <v>Siliguri</v>
      </c>
      <c r="D103" s="4" t="str">
        <f>VLOOKUP(G103,Data!$A:$G,5,0)</f>
        <v>Mangaldihi</v>
      </c>
      <c r="E103" s="4" t="str">
        <f>VLOOKUP(G103,Data!$A:$G,6,0)</f>
        <v>Sk Khairul Hossain</v>
      </c>
      <c r="F103" s="10" t="str">
        <f>VLOOKUP(G103,Data!$A:$G,7,0)</f>
        <v>0140310490</v>
      </c>
      <c r="G103" s="12">
        <v>20983</v>
      </c>
      <c r="H103" s="5" t="str">
        <f>VLOOKUP(G103,'FI txn'!$G:$X,18,0)</f>
        <v>Nill</v>
      </c>
      <c r="I103" s="7">
        <f>VLOOKUP(G103,'FI txn'!$G:$H,2,0)</f>
        <v>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 t="e">
        <f t="shared" si="6"/>
        <v>#DIV/0!</v>
      </c>
    </row>
    <row r="104" spans="1:23" x14ac:dyDescent="0.3">
      <c r="A104" s="4" t="str">
        <f>VLOOKUP(G104,Data!$A:$G,2,0)</f>
        <v>Under Office (Birbhum)</v>
      </c>
      <c r="B104" s="4" t="str">
        <f>VLOOKUP(G104,Data!$A:$G,3,0)</f>
        <v>Inactive</v>
      </c>
      <c r="C104" s="4" t="str">
        <f>VLOOKUP(G104,Data!$A:$G,4,0)</f>
        <v>Siliguri</v>
      </c>
      <c r="D104" s="4" t="str">
        <f>VLOOKUP(G104,Data!$A:$G,5,0)</f>
        <v>Koytha</v>
      </c>
      <c r="E104" s="4" t="str">
        <f>VLOOKUP(G104,Data!$A:$G,6,0)</f>
        <v>Tamarul Sk</v>
      </c>
      <c r="F104" s="10" t="str">
        <f>VLOOKUP(G104,Data!$A:$G,7,0)</f>
        <v>0140311624</v>
      </c>
      <c r="G104" s="12">
        <v>22361</v>
      </c>
      <c r="H104" s="5" t="str">
        <f>VLOOKUP(G104,'FI txn'!$G:$X,18,0)</f>
        <v>Nill</v>
      </c>
      <c r="I104" s="7">
        <f>VLOOKUP(G104,'FI txn'!$G:$H,2,0)</f>
        <v>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 t="e">
        <f t="shared" si="6"/>
        <v>#DIV/0!</v>
      </c>
    </row>
  </sheetData>
  <autoFilter ref="A1:W104" xr:uid="{CA002C3F-0D7C-47BF-A5F8-5BDAD1DBBDAD}">
    <sortState xmlns:xlrd2="http://schemas.microsoft.com/office/spreadsheetml/2017/richdata2" ref="A2:W104">
      <sortCondition descending="1" ref="N1:N104"/>
    </sortState>
  </autoFilter>
  <conditionalFormatting sqref="E1">
    <cfRule type="duplicateValues" dxfId="128" priority="23"/>
    <cfRule type="duplicateValues" dxfId="127" priority="24"/>
    <cfRule type="duplicateValues" dxfId="126" priority="25"/>
    <cfRule type="duplicateValues" dxfId="125" priority="26"/>
    <cfRule type="duplicateValues" dxfId="124" priority="27"/>
    <cfRule type="duplicateValues" dxfId="123" priority="28"/>
    <cfRule type="duplicateValues" dxfId="122" priority="29"/>
  </conditionalFormatting>
  <conditionalFormatting sqref="E105:E1048576">
    <cfRule type="duplicateValues" dxfId="121" priority="43"/>
    <cfRule type="duplicateValues" dxfId="120" priority="44"/>
  </conditionalFormatting>
  <conditionalFormatting sqref="F105:F1048576">
    <cfRule type="duplicateValues" dxfId="119" priority="30"/>
  </conditionalFormatting>
  <conditionalFormatting sqref="G1:G105 G191:G1048576">
    <cfRule type="duplicateValues" dxfId="118" priority="1"/>
  </conditionalFormatting>
  <conditionalFormatting sqref="G105:H105 G191:H1048576 H106:H190">
    <cfRule type="duplicateValues" dxfId="117" priority="31"/>
    <cfRule type="duplicateValues" dxfId="116" priority="32"/>
  </conditionalFormatting>
  <conditionalFormatting sqref="G105:H105 H106:H184">
    <cfRule type="duplicateValues" dxfId="115" priority="33"/>
    <cfRule type="duplicateValues" dxfId="114" priority="40"/>
  </conditionalFormatting>
  <conditionalFormatting sqref="G191:H1048576 H185:H190">
    <cfRule type="duplicateValues" dxfId="113" priority="34"/>
    <cfRule type="duplicateValues" dxfId="112" priority="35"/>
    <cfRule type="duplicateValues" dxfId="111" priority="36"/>
    <cfRule type="duplicateValues" dxfId="110" priority="37"/>
    <cfRule type="duplicateValues" dxfId="109" priority="38"/>
    <cfRule type="duplicateValues" dxfId="108" priority="39"/>
    <cfRule type="duplicateValues" dxfId="107" priority="41"/>
    <cfRule type="duplicateValues" dxfId="106" priority="42"/>
  </conditionalFormatting>
  <conditionalFormatting sqref="J2:U2 J3:N104">
    <cfRule type="top10" dxfId="105" priority="269" rank="1"/>
    <cfRule type="cellIs" dxfId="104" priority="270" operator="greaterThan">
      <formula>0</formula>
    </cfRule>
  </conditionalFormatting>
  <conditionalFormatting sqref="O3:U104">
    <cfRule type="top10" dxfId="103" priority="275" rank="1"/>
    <cfRule type="cellIs" dxfId="102" priority="276" operator="greaterThan">
      <formula>0</formula>
    </cfRule>
  </conditionalFormatting>
  <conditionalFormatting sqref="V2:V104">
    <cfRule type="top10" dxfId="101" priority="279" rank="3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0D58-3924-4A2A-9978-4FDC0B95780F}">
  <dimension ref="A3:AD18"/>
  <sheetViews>
    <sheetView topLeftCell="S1" workbookViewId="0">
      <selection activeCell="F24" sqref="F24"/>
    </sheetView>
  </sheetViews>
  <sheetFormatPr defaultRowHeight="14.4" x14ac:dyDescent="0.3"/>
  <cols>
    <col min="1" max="1" width="23.77734375" bestFit="1" customWidth="1"/>
    <col min="2" max="2" width="12.77734375" bestFit="1" customWidth="1"/>
    <col min="3" max="3" width="13.21875" bestFit="1" customWidth="1"/>
    <col min="4" max="4" width="14" bestFit="1" customWidth="1"/>
    <col min="5" max="5" width="13.109375" bestFit="1" customWidth="1"/>
    <col min="6" max="6" width="12.33203125" bestFit="1" customWidth="1"/>
    <col min="7" max="7" width="13.5546875" bestFit="1" customWidth="1"/>
    <col min="8" max="8" width="13.33203125" bestFit="1" customWidth="1"/>
    <col min="9" max="9" width="13.109375" bestFit="1" customWidth="1"/>
    <col min="10" max="10" width="13.6640625" bestFit="1" customWidth="1"/>
    <col min="11" max="11" width="13.33203125" bestFit="1" customWidth="1"/>
    <col min="12" max="12" width="12.88671875" bestFit="1" customWidth="1"/>
    <col min="13" max="13" width="13.21875" bestFit="1" customWidth="1"/>
    <col min="14" max="14" width="13.6640625" bestFit="1" customWidth="1"/>
    <col min="17" max="17" width="23.77734375" bestFit="1" customWidth="1"/>
    <col min="18" max="18" width="14.5546875" bestFit="1" customWidth="1"/>
    <col min="19" max="19" width="15.33203125" bestFit="1" customWidth="1"/>
    <col min="20" max="20" width="14.44140625" bestFit="1" customWidth="1"/>
    <col min="21" max="21" width="13.77734375" bestFit="1" customWidth="1"/>
    <col min="22" max="22" width="14.88671875" bestFit="1" customWidth="1"/>
    <col min="23" max="23" width="14.6640625" bestFit="1" customWidth="1"/>
    <col min="24" max="24" width="14.44140625" bestFit="1" customWidth="1"/>
    <col min="25" max="25" width="15" bestFit="1" customWidth="1"/>
    <col min="26" max="26" width="14.6640625" bestFit="1" customWidth="1"/>
    <col min="27" max="27" width="14.33203125" bestFit="1" customWidth="1"/>
    <col min="28" max="28" width="14.5546875" bestFit="1" customWidth="1"/>
    <col min="29" max="29" width="15" bestFit="1" customWidth="1"/>
    <col min="30" max="30" width="16.21875" bestFit="1" customWidth="1"/>
  </cols>
  <sheetData>
    <row r="3" spans="1:30" x14ac:dyDescent="0.3">
      <c r="A3" s="31" t="s">
        <v>289</v>
      </c>
      <c r="B3" t="s">
        <v>290</v>
      </c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 t="s">
        <v>296</v>
      </c>
      <c r="I3" t="s">
        <v>297</v>
      </c>
      <c r="J3" t="s">
        <v>298</v>
      </c>
      <c r="K3" t="s">
        <v>299</v>
      </c>
      <c r="L3" t="s">
        <v>300</v>
      </c>
      <c r="M3" t="s">
        <v>301</v>
      </c>
      <c r="N3" t="s">
        <v>302</v>
      </c>
      <c r="Q3" s="31" t="s">
        <v>289</v>
      </c>
      <c r="R3" t="s">
        <v>304</v>
      </c>
      <c r="S3" t="s">
        <v>305</v>
      </c>
      <c r="T3" t="s">
        <v>306</v>
      </c>
      <c r="U3" t="s">
        <v>307</v>
      </c>
      <c r="V3" t="s">
        <v>308</v>
      </c>
      <c r="W3" t="s">
        <v>309</v>
      </c>
      <c r="X3" t="s">
        <v>310</v>
      </c>
      <c r="Y3" t="s">
        <v>311</v>
      </c>
      <c r="Z3" t="s">
        <v>312</v>
      </c>
      <c r="AA3" t="s">
        <v>313</v>
      </c>
      <c r="AB3" t="s">
        <v>314</v>
      </c>
      <c r="AC3" t="s">
        <v>315</v>
      </c>
      <c r="AD3" t="s">
        <v>461</v>
      </c>
    </row>
    <row r="4" spans="1:30" x14ac:dyDescent="0.3">
      <c r="A4" s="32" t="s">
        <v>99</v>
      </c>
      <c r="B4" s="33">
        <v>5400</v>
      </c>
      <c r="C4" s="276">
        <v>1405</v>
      </c>
      <c r="D4" s="276">
        <v>1292</v>
      </c>
      <c r="E4" s="276">
        <v>1286</v>
      </c>
      <c r="F4" s="276">
        <v>1317</v>
      </c>
      <c r="G4" s="276">
        <v>1375</v>
      </c>
      <c r="H4" s="276">
        <v>287</v>
      </c>
      <c r="I4" s="276"/>
      <c r="J4" s="276"/>
      <c r="K4" s="276"/>
      <c r="L4" s="276"/>
      <c r="M4" s="276"/>
      <c r="N4" s="276"/>
      <c r="Q4" s="32" t="s">
        <v>99</v>
      </c>
      <c r="R4" s="276">
        <v>3</v>
      </c>
      <c r="S4" s="276">
        <v>3</v>
      </c>
      <c r="T4" s="276">
        <v>3</v>
      </c>
      <c r="U4" s="276">
        <v>3</v>
      </c>
      <c r="V4" s="276">
        <v>3</v>
      </c>
      <c r="W4" s="276">
        <v>3</v>
      </c>
      <c r="X4" s="276"/>
      <c r="Y4" s="276"/>
      <c r="Z4" s="276"/>
      <c r="AA4" s="276"/>
      <c r="AB4" s="276"/>
      <c r="AC4" s="276"/>
      <c r="AD4" s="276">
        <v>3</v>
      </c>
    </row>
    <row r="5" spans="1:30" x14ac:dyDescent="0.3">
      <c r="A5" s="32" t="s">
        <v>97</v>
      </c>
      <c r="B5" s="33">
        <v>8400</v>
      </c>
      <c r="C5" s="276">
        <v>1428</v>
      </c>
      <c r="D5" s="276">
        <v>1673</v>
      </c>
      <c r="E5" s="276">
        <v>1344</v>
      </c>
      <c r="F5" s="276">
        <v>1394</v>
      </c>
      <c r="G5" s="276">
        <v>1458</v>
      </c>
      <c r="H5" s="276">
        <v>296</v>
      </c>
      <c r="I5" s="276"/>
      <c r="J5" s="276"/>
      <c r="K5" s="276"/>
      <c r="L5" s="276"/>
      <c r="M5" s="276"/>
      <c r="N5" s="276"/>
      <c r="Q5" s="32" t="s">
        <v>97</v>
      </c>
      <c r="R5" s="276">
        <v>5</v>
      </c>
      <c r="S5" s="276">
        <v>6</v>
      </c>
      <c r="T5" s="276">
        <v>4</v>
      </c>
      <c r="U5" s="276">
        <v>5</v>
      </c>
      <c r="V5" s="276">
        <v>5</v>
      </c>
      <c r="W5" s="276">
        <v>3</v>
      </c>
      <c r="X5" s="276"/>
      <c r="Y5" s="276"/>
      <c r="Z5" s="276"/>
      <c r="AA5" s="276"/>
      <c r="AB5" s="276"/>
      <c r="AC5" s="276"/>
      <c r="AD5" s="276">
        <v>6</v>
      </c>
    </row>
    <row r="6" spans="1:30" x14ac:dyDescent="0.3">
      <c r="A6" s="32" t="s">
        <v>93</v>
      </c>
      <c r="B6" s="33">
        <v>9600</v>
      </c>
      <c r="C6" s="276">
        <v>475</v>
      </c>
      <c r="D6" s="276">
        <v>458</v>
      </c>
      <c r="E6" s="276">
        <v>496</v>
      </c>
      <c r="F6" s="276">
        <v>586</v>
      </c>
      <c r="G6" s="276">
        <v>812</v>
      </c>
      <c r="H6" s="276">
        <v>104</v>
      </c>
      <c r="I6" s="276"/>
      <c r="J6" s="276"/>
      <c r="K6" s="276"/>
      <c r="L6" s="276"/>
      <c r="M6" s="276"/>
      <c r="N6" s="276"/>
      <c r="Q6" s="32" t="s">
        <v>93</v>
      </c>
      <c r="R6" s="276">
        <v>4</v>
      </c>
      <c r="S6" s="276">
        <v>5</v>
      </c>
      <c r="T6" s="276">
        <v>6</v>
      </c>
      <c r="U6" s="276">
        <v>6</v>
      </c>
      <c r="V6" s="276">
        <v>7</v>
      </c>
      <c r="W6" s="276">
        <v>4</v>
      </c>
      <c r="X6" s="276"/>
      <c r="Y6" s="276"/>
      <c r="Z6" s="276"/>
      <c r="AA6" s="276"/>
      <c r="AB6" s="276"/>
      <c r="AC6" s="276"/>
      <c r="AD6" s="276">
        <v>6</v>
      </c>
    </row>
    <row r="7" spans="1:30" x14ac:dyDescent="0.3">
      <c r="A7" s="32" t="s">
        <v>101</v>
      </c>
      <c r="B7" s="33">
        <v>3600</v>
      </c>
      <c r="C7" s="276">
        <v>238</v>
      </c>
      <c r="D7" s="276">
        <v>254</v>
      </c>
      <c r="E7" s="276">
        <v>207</v>
      </c>
      <c r="F7" s="276">
        <v>326</v>
      </c>
      <c r="G7" s="276">
        <v>234</v>
      </c>
      <c r="H7" s="276">
        <v>78</v>
      </c>
      <c r="I7" s="276"/>
      <c r="J7" s="276"/>
      <c r="K7" s="276"/>
      <c r="L7" s="276"/>
      <c r="M7" s="276"/>
      <c r="N7" s="276"/>
      <c r="Q7" s="32" t="s">
        <v>101</v>
      </c>
      <c r="R7" s="276">
        <v>2</v>
      </c>
      <c r="S7" s="276">
        <v>2</v>
      </c>
      <c r="T7" s="276">
        <v>2</v>
      </c>
      <c r="U7" s="276">
        <v>2</v>
      </c>
      <c r="V7" s="276">
        <v>2</v>
      </c>
      <c r="W7" s="276">
        <v>2</v>
      </c>
      <c r="X7" s="276"/>
      <c r="Y7" s="276"/>
      <c r="Z7" s="276"/>
      <c r="AA7" s="276"/>
      <c r="AB7" s="276"/>
      <c r="AC7" s="276"/>
      <c r="AD7" s="276">
        <v>2</v>
      </c>
    </row>
    <row r="8" spans="1:30" x14ac:dyDescent="0.3">
      <c r="A8" s="32" t="s">
        <v>102</v>
      </c>
      <c r="B8" s="33">
        <v>5400</v>
      </c>
      <c r="C8" s="276">
        <v>1557</v>
      </c>
      <c r="D8" s="276">
        <v>1500</v>
      </c>
      <c r="E8" s="276">
        <v>1812</v>
      </c>
      <c r="F8" s="276">
        <v>2450</v>
      </c>
      <c r="G8" s="276">
        <v>3927</v>
      </c>
      <c r="H8" s="276">
        <v>774</v>
      </c>
      <c r="I8" s="276"/>
      <c r="J8" s="276"/>
      <c r="K8" s="276"/>
      <c r="L8" s="276"/>
      <c r="M8" s="276"/>
      <c r="N8" s="276"/>
      <c r="Q8" s="32" t="s">
        <v>102</v>
      </c>
      <c r="R8" s="276">
        <v>3</v>
      </c>
      <c r="S8" s="276">
        <v>3</v>
      </c>
      <c r="T8" s="276">
        <v>3</v>
      </c>
      <c r="U8" s="276">
        <v>3</v>
      </c>
      <c r="V8" s="276">
        <v>3</v>
      </c>
      <c r="W8" s="276">
        <v>3</v>
      </c>
      <c r="X8" s="276"/>
      <c r="Y8" s="276"/>
      <c r="Z8" s="276"/>
      <c r="AA8" s="276"/>
      <c r="AB8" s="276"/>
      <c r="AC8" s="276"/>
      <c r="AD8" s="276">
        <v>3</v>
      </c>
    </row>
    <row r="9" spans="1:30" x14ac:dyDescent="0.3">
      <c r="A9" s="32" t="s">
        <v>100</v>
      </c>
      <c r="B9" s="33">
        <v>3600</v>
      </c>
      <c r="C9" s="276">
        <v>1885</v>
      </c>
      <c r="D9" s="276">
        <v>1490</v>
      </c>
      <c r="E9" s="276">
        <v>1642</v>
      </c>
      <c r="F9" s="276">
        <v>1680</v>
      </c>
      <c r="G9" s="276">
        <v>1617</v>
      </c>
      <c r="H9" s="276">
        <v>292</v>
      </c>
      <c r="I9" s="276"/>
      <c r="J9" s="276"/>
      <c r="K9" s="276"/>
      <c r="L9" s="276"/>
      <c r="M9" s="276"/>
      <c r="N9" s="276"/>
      <c r="Q9" s="32" t="s">
        <v>100</v>
      </c>
      <c r="R9" s="276">
        <v>2</v>
      </c>
      <c r="S9" s="276">
        <v>2</v>
      </c>
      <c r="T9" s="276">
        <v>2</v>
      </c>
      <c r="U9" s="276">
        <v>2</v>
      </c>
      <c r="V9" s="276">
        <v>2</v>
      </c>
      <c r="W9" s="276">
        <v>2</v>
      </c>
      <c r="X9" s="276"/>
      <c r="Y9" s="276"/>
      <c r="Z9" s="276"/>
      <c r="AA9" s="276"/>
      <c r="AB9" s="276"/>
      <c r="AC9" s="276"/>
      <c r="AD9" s="276">
        <v>2</v>
      </c>
    </row>
    <row r="10" spans="1:30" x14ac:dyDescent="0.3">
      <c r="A10" s="32" t="s">
        <v>103</v>
      </c>
      <c r="B10" s="33">
        <v>1800</v>
      </c>
      <c r="C10" s="276">
        <v>408</v>
      </c>
      <c r="D10" s="276">
        <v>288</v>
      </c>
      <c r="E10" s="276">
        <v>169</v>
      </c>
      <c r="F10" s="276">
        <v>240</v>
      </c>
      <c r="G10" s="276">
        <v>296</v>
      </c>
      <c r="H10" s="276">
        <v>27</v>
      </c>
      <c r="I10" s="276"/>
      <c r="J10" s="276"/>
      <c r="K10" s="276"/>
      <c r="L10" s="276"/>
      <c r="M10" s="276"/>
      <c r="N10" s="276"/>
      <c r="Q10" s="32" t="s">
        <v>103</v>
      </c>
      <c r="R10" s="276">
        <v>1</v>
      </c>
      <c r="S10" s="276">
        <v>1</v>
      </c>
      <c r="T10" s="276">
        <v>1</v>
      </c>
      <c r="U10" s="276">
        <v>1</v>
      </c>
      <c r="V10" s="276">
        <v>1</v>
      </c>
      <c r="W10" s="276">
        <v>1</v>
      </c>
      <c r="X10" s="276"/>
      <c r="Y10" s="276"/>
      <c r="Z10" s="276"/>
      <c r="AA10" s="276"/>
      <c r="AB10" s="276"/>
      <c r="AC10" s="276"/>
      <c r="AD10" s="276">
        <v>1</v>
      </c>
    </row>
    <row r="11" spans="1:30" x14ac:dyDescent="0.3">
      <c r="A11" s="32" t="s">
        <v>95</v>
      </c>
      <c r="B11" s="33">
        <v>10200</v>
      </c>
      <c r="C11" s="276">
        <v>940</v>
      </c>
      <c r="D11" s="276">
        <v>905</v>
      </c>
      <c r="E11" s="276">
        <v>666</v>
      </c>
      <c r="F11" s="276">
        <v>966</v>
      </c>
      <c r="G11" s="276">
        <v>986</v>
      </c>
      <c r="H11" s="276">
        <v>184</v>
      </c>
      <c r="I11" s="276"/>
      <c r="J11" s="276"/>
      <c r="K11" s="276"/>
      <c r="L11" s="276"/>
      <c r="M11" s="276"/>
      <c r="N11" s="276"/>
      <c r="Q11" s="32" t="s">
        <v>95</v>
      </c>
      <c r="R11" s="276">
        <v>5</v>
      </c>
      <c r="S11" s="276">
        <v>5</v>
      </c>
      <c r="T11" s="276">
        <v>6</v>
      </c>
      <c r="U11" s="276">
        <v>6</v>
      </c>
      <c r="V11" s="276">
        <v>6</v>
      </c>
      <c r="W11" s="276">
        <v>6</v>
      </c>
      <c r="X11" s="276"/>
      <c r="Y11" s="276"/>
      <c r="Z11" s="276"/>
      <c r="AA11" s="276"/>
      <c r="AB11" s="276"/>
      <c r="AC11" s="276"/>
      <c r="AD11" s="276">
        <v>6</v>
      </c>
    </row>
    <row r="12" spans="1:30" x14ac:dyDescent="0.3">
      <c r="A12" s="32" t="s">
        <v>98</v>
      </c>
      <c r="B12" s="33">
        <v>5400</v>
      </c>
      <c r="C12" s="276">
        <v>961</v>
      </c>
      <c r="D12" s="276">
        <v>844</v>
      </c>
      <c r="E12" s="276">
        <v>908</v>
      </c>
      <c r="F12" s="276">
        <v>1101</v>
      </c>
      <c r="G12" s="276">
        <v>1147</v>
      </c>
      <c r="H12" s="276">
        <v>202</v>
      </c>
      <c r="I12" s="276"/>
      <c r="J12" s="276"/>
      <c r="K12" s="276"/>
      <c r="L12" s="276"/>
      <c r="M12" s="276"/>
      <c r="N12" s="276"/>
      <c r="Q12" s="32" t="s">
        <v>98</v>
      </c>
      <c r="R12" s="276">
        <v>3</v>
      </c>
      <c r="S12" s="276">
        <v>3</v>
      </c>
      <c r="T12" s="276">
        <v>3</v>
      </c>
      <c r="U12" s="276">
        <v>3</v>
      </c>
      <c r="V12" s="276">
        <v>3</v>
      </c>
      <c r="W12" s="276">
        <v>3</v>
      </c>
      <c r="X12" s="276"/>
      <c r="Y12" s="276"/>
      <c r="Z12" s="276"/>
      <c r="AA12" s="276"/>
      <c r="AB12" s="276"/>
      <c r="AC12" s="276"/>
      <c r="AD12" s="276">
        <v>3</v>
      </c>
    </row>
    <row r="13" spans="1:30" x14ac:dyDescent="0.3">
      <c r="A13" s="32" t="s">
        <v>96</v>
      </c>
      <c r="B13" s="33">
        <v>22200</v>
      </c>
      <c r="C13" s="276">
        <v>3234</v>
      </c>
      <c r="D13" s="276">
        <v>3209</v>
      </c>
      <c r="E13" s="276">
        <v>2834</v>
      </c>
      <c r="F13" s="276">
        <v>3017</v>
      </c>
      <c r="G13" s="276">
        <v>2468</v>
      </c>
      <c r="H13" s="276">
        <v>473</v>
      </c>
      <c r="I13" s="276"/>
      <c r="J13" s="276"/>
      <c r="K13" s="276"/>
      <c r="L13" s="276"/>
      <c r="M13" s="276"/>
      <c r="N13" s="276"/>
      <c r="Q13" s="32" t="s">
        <v>96</v>
      </c>
      <c r="R13" s="276">
        <v>13</v>
      </c>
      <c r="S13" s="276">
        <v>13</v>
      </c>
      <c r="T13" s="276">
        <v>13</v>
      </c>
      <c r="U13" s="276">
        <v>13</v>
      </c>
      <c r="V13" s="276">
        <v>12</v>
      </c>
      <c r="W13" s="276">
        <v>10</v>
      </c>
      <c r="X13" s="276"/>
      <c r="Y13" s="276"/>
      <c r="Z13" s="276"/>
      <c r="AA13" s="276"/>
      <c r="AB13" s="276"/>
      <c r="AC13" s="276"/>
      <c r="AD13" s="276">
        <v>15</v>
      </c>
    </row>
    <row r="14" spans="1:30" x14ac:dyDescent="0.3">
      <c r="A14" s="32" t="s">
        <v>345</v>
      </c>
      <c r="B14" s="33">
        <v>11400</v>
      </c>
      <c r="C14" s="276">
        <v>5123</v>
      </c>
      <c r="D14" s="276">
        <v>5016</v>
      </c>
      <c r="E14" s="276">
        <v>4541</v>
      </c>
      <c r="F14" s="276">
        <v>5301</v>
      </c>
      <c r="G14" s="276">
        <v>5515</v>
      </c>
      <c r="H14" s="276">
        <v>1027</v>
      </c>
      <c r="I14" s="276"/>
      <c r="J14" s="276"/>
      <c r="K14" s="276"/>
      <c r="L14" s="276"/>
      <c r="M14" s="276"/>
      <c r="N14" s="276"/>
      <c r="Q14" s="32" t="s">
        <v>345</v>
      </c>
      <c r="R14" s="276">
        <v>7</v>
      </c>
      <c r="S14" s="276">
        <v>6</v>
      </c>
      <c r="T14" s="276">
        <v>6</v>
      </c>
      <c r="U14" s="276">
        <v>6</v>
      </c>
      <c r="V14" s="276">
        <v>7</v>
      </c>
      <c r="W14" s="276">
        <v>6</v>
      </c>
      <c r="X14" s="276"/>
      <c r="Y14" s="276"/>
      <c r="Z14" s="276"/>
      <c r="AA14" s="276"/>
      <c r="AB14" s="276"/>
      <c r="AC14" s="276"/>
      <c r="AD14" s="276">
        <v>7</v>
      </c>
    </row>
    <row r="15" spans="1:30" x14ac:dyDescent="0.3">
      <c r="A15" s="32" t="s">
        <v>449</v>
      </c>
      <c r="B15" s="33">
        <v>600</v>
      </c>
      <c r="C15" s="276"/>
      <c r="D15" s="276"/>
      <c r="E15" s="276"/>
      <c r="F15" s="276"/>
      <c r="G15" s="276">
        <v>128</v>
      </c>
      <c r="H15" s="276">
        <v>69</v>
      </c>
      <c r="I15" s="276"/>
      <c r="J15" s="276"/>
      <c r="K15" s="276"/>
      <c r="L15" s="276"/>
      <c r="M15" s="276"/>
      <c r="N15" s="276"/>
      <c r="Q15" s="32" t="s">
        <v>449</v>
      </c>
      <c r="R15" s="276"/>
      <c r="S15" s="276"/>
      <c r="T15" s="276"/>
      <c r="U15" s="276"/>
      <c r="V15" s="276">
        <v>1</v>
      </c>
      <c r="W15" s="276">
        <v>1</v>
      </c>
      <c r="X15" s="276"/>
      <c r="Y15" s="276"/>
      <c r="Z15" s="276"/>
      <c r="AA15" s="276"/>
      <c r="AB15" s="276"/>
      <c r="AC15" s="276"/>
      <c r="AD15" s="276"/>
    </row>
    <row r="16" spans="1:30" x14ac:dyDescent="0.3">
      <c r="A16" s="32" t="s">
        <v>455</v>
      </c>
      <c r="B16" s="33">
        <v>27600</v>
      </c>
      <c r="C16" s="276">
        <v>10260</v>
      </c>
      <c r="D16" s="276">
        <v>8739</v>
      </c>
      <c r="E16" s="276">
        <v>7103</v>
      </c>
      <c r="F16" s="276">
        <v>8673</v>
      </c>
      <c r="G16" s="276">
        <v>9605</v>
      </c>
      <c r="H16" s="276">
        <v>1730</v>
      </c>
      <c r="I16" s="276"/>
      <c r="J16" s="276"/>
      <c r="K16" s="276"/>
      <c r="L16" s="276"/>
      <c r="M16" s="276"/>
      <c r="N16" s="276"/>
      <c r="Q16" s="32" t="s">
        <v>455</v>
      </c>
      <c r="R16" s="276">
        <v>15</v>
      </c>
      <c r="S16" s="276">
        <v>15</v>
      </c>
      <c r="T16" s="276">
        <v>16</v>
      </c>
      <c r="U16" s="276">
        <v>15</v>
      </c>
      <c r="V16" s="276">
        <v>15</v>
      </c>
      <c r="W16" s="276">
        <v>16</v>
      </c>
      <c r="X16" s="276"/>
      <c r="Y16" s="276"/>
      <c r="Z16" s="276"/>
      <c r="AA16" s="276"/>
      <c r="AB16" s="276"/>
      <c r="AC16" s="276"/>
      <c r="AD16" s="276">
        <v>16</v>
      </c>
    </row>
    <row r="17" spans="1:30" x14ac:dyDescent="0.3">
      <c r="A17" s="32" t="s">
        <v>457</v>
      </c>
      <c r="B17" s="33">
        <v>34200</v>
      </c>
      <c r="C17" s="276">
        <v>13998</v>
      </c>
      <c r="D17" s="276">
        <v>14292</v>
      </c>
      <c r="E17" s="276">
        <v>12924</v>
      </c>
      <c r="F17" s="276">
        <v>14584</v>
      </c>
      <c r="G17" s="276">
        <v>16570</v>
      </c>
      <c r="H17" s="276">
        <v>3049</v>
      </c>
      <c r="I17" s="276"/>
      <c r="J17" s="276"/>
      <c r="K17" s="276"/>
      <c r="L17" s="276"/>
      <c r="M17" s="276"/>
      <c r="N17" s="276"/>
      <c r="Q17" s="32" t="s">
        <v>457</v>
      </c>
      <c r="R17" s="276">
        <v>19</v>
      </c>
      <c r="S17" s="276">
        <v>19</v>
      </c>
      <c r="T17" s="276">
        <v>19</v>
      </c>
      <c r="U17" s="276">
        <v>19</v>
      </c>
      <c r="V17" s="276">
        <v>19</v>
      </c>
      <c r="W17" s="276">
        <v>19</v>
      </c>
      <c r="X17" s="276"/>
      <c r="Y17" s="276"/>
      <c r="Z17" s="276"/>
      <c r="AA17" s="276"/>
      <c r="AB17" s="276"/>
      <c r="AC17" s="276"/>
      <c r="AD17" s="276">
        <v>19</v>
      </c>
    </row>
    <row r="18" spans="1:30" x14ac:dyDescent="0.3">
      <c r="A18" s="32" t="s">
        <v>283</v>
      </c>
      <c r="B18" s="33">
        <v>149400</v>
      </c>
      <c r="C18" s="276">
        <v>41912</v>
      </c>
      <c r="D18" s="276">
        <v>39960</v>
      </c>
      <c r="E18" s="276">
        <v>35932</v>
      </c>
      <c r="F18" s="276">
        <v>41635</v>
      </c>
      <c r="G18" s="276">
        <v>46138</v>
      </c>
      <c r="H18" s="276">
        <v>8592</v>
      </c>
      <c r="I18" s="276"/>
      <c r="J18" s="276"/>
      <c r="K18" s="276"/>
      <c r="L18" s="276"/>
      <c r="M18" s="276"/>
      <c r="N18" s="276"/>
      <c r="Q18" s="32" t="s">
        <v>283</v>
      </c>
      <c r="R18" s="276">
        <v>82</v>
      </c>
      <c r="S18" s="276">
        <v>83</v>
      </c>
      <c r="T18" s="276">
        <v>84</v>
      </c>
      <c r="U18" s="276">
        <v>84</v>
      </c>
      <c r="V18" s="276">
        <v>86</v>
      </c>
      <c r="W18" s="276">
        <v>79</v>
      </c>
      <c r="X18" s="276"/>
      <c r="Y18" s="276"/>
      <c r="Z18" s="276"/>
      <c r="AA18" s="276"/>
      <c r="AB18" s="276"/>
      <c r="AC18" s="276"/>
      <c r="AD18" s="276">
        <v>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9E15-8898-4364-8C34-3A321263D014}">
  <dimension ref="A2:N18"/>
  <sheetViews>
    <sheetView workbookViewId="0">
      <selection activeCell="A2" sqref="A2:K2"/>
    </sheetView>
  </sheetViews>
  <sheetFormatPr defaultRowHeight="14.4" x14ac:dyDescent="0.3"/>
  <cols>
    <col min="1" max="1" width="20.21875" bestFit="1" customWidth="1"/>
    <col min="2" max="2" width="15.5546875" bestFit="1" customWidth="1"/>
    <col min="3" max="3" width="5.44140625" bestFit="1" customWidth="1"/>
    <col min="4" max="5" width="6.44140625" bestFit="1" customWidth="1"/>
    <col min="6" max="9" width="5.44140625" bestFit="1" customWidth="1"/>
    <col min="10" max="10" width="3.6640625" bestFit="1" customWidth="1"/>
    <col min="11" max="11" width="7" bestFit="1" customWidth="1"/>
    <col min="12" max="12" width="10.77734375" bestFit="1" customWidth="1"/>
    <col min="13" max="13" width="23.77734375" bestFit="1" customWidth="1"/>
    <col min="14" max="14" width="14.88671875" bestFit="1" customWidth="1"/>
    <col min="15" max="15" width="5.44140625" bestFit="1" customWidth="1"/>
    <col min="16" max="17" width="6.44140625" bestFit="1" customWidth="1"/>
    <col min="18" max="21" width="5.44140625" bestFit="1" customWidth="1"/>
    <col min="22" max="22" width="4" bestFit="1" customWidth="1"/>
    <col min="23" max="23" width="11" bestFit="1" customWidth="1"/>
  </cols>
  <sheetData>
    <row r="2" spans="1:14" x14ac:dyDescent="0.3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</row>
    <row r="3" spans="1:14" x14ac:dyDescent="0.3">
      <c r="A3" s="276" t="e" vm="1">
        <v>#VALUE!</v>
      </c>
      <c r="M3" s="31" t="s">
        <v>289</v>
      </c>
      <c r="N3" t="s">
        <v>373</v>
      </c>
    </row>
    <row r="4" spans="1:14" x14ac:dyDescent="0.3">
      <c r="M4" s="32" t="s">
        <v>99</v>
      </c>
      <c r="N4" s="33">
        <v>6962</v>
      </c>
    </row>
    <row r="5" spans="1:14" x14ac:dyDescent="0.3">
      <c r="M5" s="32" t="s">
        <v>97</v>
      </c>
      <c r="N5" s="33">
        <v>7593</v>
      </c>
    </row>
    <row r="6" spans="1:14" x14ac:dyDescent="0.3">
      <c r="M6" s="32" t="s">
        <v>93</v>
      </c>
      <c r="N6" s="33">
        <v>2920</v>
      </c>
    </row>
    <row r="7" spans="1:14" x14ac:dyDescent="0.3">
      <c r="M7" s="32" t="s">
        <v>101</v>
      </c>
      <c r="N7" s="33">
        <v>1337</v>
      </c>
    </row>
    <row r="8" spans="1:14" x14ac:dyDescent="0.3">
      <c r="M8" s="32" t="s">
        <v>102</v>
      </c>
      <c r="N8" s="33">
        <v>12020</v>
      </c>
    </row>
    <row r="9" spans="1:14" x14ac:dyDescent="0.3">
      <c r="M9" s="32" t="s">
        <v>100</v>
      </c>
      <c r="N9" s="33">
        <v>8606</v>
      </c>
    </row>
    <row r="10" spans="1:14" x14ac:dyDescent="0.3">
      <c r="M10" s="32" t="s">
        <v>103</v>
      </c>
      <c r="N10" s="33">
        <v>1428</v>
      </c>
    </row>
    <row r="11" spans="1:14" x14ac:dyDescent="0.3">
      <c r="M11" s="32" t="s">
        <v>95</v>
      </c>
      <c r="N11" s="33">
        <v>4647</v>
      </c>
    </row>
    <row r="12" spans="1:14" x14ac:dyDescent="0.3">
      <c r="M12" s="32" t="s">
        <v>98</v>
      </c>
      <c r="N12" s="33">
        <v>5163</v>
      </c>
    </row>
    <row r="13" spans="1:14" x14ac:dyDescent="0.3">
      <c r="M13" s="32" t="s">
        <v>96</v>
      </c>
      <c r="N13" s="33">
        <v>15235</v>
      </c>
    </row>
    <row r="14" spans="1:14" x14ac:dyDescent="0.3">
      <c r="M14" s="32" t="s">
        <v>345</v>
      </c>
      <c r="N14" s="33">
        <v>26523</v>
      </c>
    </row>
    <row r="15" spans="1:14" x14ac:dyDescent="0.3">
      <c r="M15" s="32" t="s">
        <v>449</v>
      </c>
      <c r="N15" s="33"/>
    </row>
    <row r="16" spans="1:14" x14ac:dyDescent="0.3">
      <c r="M16" s="32" t="s">
        <v>455</v>
      </c>
      <c r="N16" s="33">
        <v>46108</v>
      </c>
    </row>
    <row r="17" spans="13:14" x14ac:dyDescent="0.3">
      <c r="M17" s="32" t="s">
        <v>457</v>
      </c>
      <c r="N17" s="33">
        <v>75417</v>
      </c>
    </row>
    <row r="18" spans="13:14" x14ac:dyDescent="0.3">
      <c r="M18" s="32" t="s">
        <v>283</v>
      </c>
      <c r="N18" s="33">
        <v>213959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04"/>
  <sheetViews>
    <sheetView workbookViewId="0">
      <pane ySplit="1" topLeftCell="A55" activePane="bottomLeft" state="frozen"/>
      <selection pane="bottomLeft" activeCell="O2" sqref="O2:O80"/>
    </sheetView>
  </sheetViews>
  <sheetFormatPr defaultRowHeight="14.4" x14ac:dyDescent="0.3"/>
  <cols>
    <col min="1" max="1" width="21.5546875" style="2" bestFit="1" customWidth="1"/>
    <col min="2" max="2" width="7.77734375" style="2" bestFit="1" customWidth="1"/>
    <col min="3" max="3" width="8.88671875" style="2" bestFit="1" customWidth="1"/>
    <col min="4" max="4" width="16.33203125" style="2" bestFit="1" customWidth="1"/>
    <col min="5" max="5" width="25.5546875" style="2" bestFit="1" customWidth="1"/>
    <col min="6" max="6" width="11" style="11" bestFit="1" customWidth="1"/>
    <col min="7" max="7" width="8.33203125" style="6" bestFit="1" customWidth="1"/>
    <col min="8" max="8" width="6.77734375" bestFit="1" customWidth="1"/>
    <col min="9" max="9" width="6.33203125" bestFit="1" customWidth="1"/>
    <col min="10" max="10" width="6.6640625" bestFit="1" customWidth="1"/>
    <col min="11" max="11" width="7.44140625" bestFit="1" customWidth="1"/>
    <col min="12" max="12" width="6.5546875" bestFit="1" customWidth="1"/>
    <col min="13" max="13" width="10" bestFit="1" customWidth="1"/>
    <col min="14" max="14" width="7" bestFit="1" customWidth="1"/>
    <col min="15" max="15" width="6.77734375" bestFit="1" customWidth="1"/>
    <col min="16" max="16" width="6.5546875" bestFit="1" customWidth="1"/>
    <col min="17" max="17" width="7.109375" bestFit="1" customWidth="1"/>
    <col min="18" max="18" width="6.77734375" bestFit="1" customWidth="1"/>
    <col min="19" max="19" width="6.44140625" bestFit="1" customWidth="1"/>
    <col min="20" max="20" width="6.77734375" bestFit="1" customWidth="1"/>
    <col min="21" max="21" width="7.109375" bestFit="1" customWidth="1"/>
    <col min="22" max="22" width="8.44140625" bestFit="1" customWidth="1"/>
    <col min="23" max="23" width="8" bestFit="1" customWidth="1"/>
    <col min="24" max="24" width="8.5546875" bestFit="1" customWidth="1"/>
  </cols>
  <sheetData>
    <row r="1" spans="1:24" x14ac:dyDescent="0.3">
      <c r="A1" s="13" t="s">
        <v>264</v>
      </c>
      <c r="B1" s="13" t="s">
        <v>271</v>
      </c>
      <c r="C1" s="13" t="s">
        <v>272</v>
      </c>
      <c r="D1" s="13" t="s">
        <v>263</v>
      </c>
      <c r="E1" s="13" t="s">
        <v>265</v>
      </c>
      <c r="F1" s="14" t="s">
        <v>266</v>
      </c>
      <c r="G1" s="1" t="s">
        <v>267</v>
      </c>
      <c r="H1" s="15" t="s">
        <v>268</v>
      </c>
      <c r="I1" s="15" t="s">
        <v>280</v>
      </c>
      <c r="J1" s="15">
        <v>46113</v>
      </c>
      <c r="K1" s="15">
        <v>46143</v>
      </c>
      <c r="L1" s="15">
        <v>46174</v>
      </c>
      <c r="M1" s="15">
        <v>46204</v>
      </c>
      <c r="N1" s="15">
        <v>46235</v>
      </c>
      <c r="O1" s="15">
        <v>46266</v>
      </c>
      <c r="P1" s="15">
        <v>46296</v>
      </c>
      <c r="Q1" s="15">
        <v>46327</v>
      </c>
      <c r="R1" s="15">
        <v>46357</v>
      </c>
      <c r="S1" s="15">
        <v>46388</v>
      </c>
      <c r="T1" s="15">
        <v>46419</v>
      </c>
      <c r="U1" s="15">
        <v>46447</v>
      </c>
      <c r="V1" s="13" t="s">
        <v>372</v>
      </c>
      <c r="W1" s="15" t="s">
        <v>270</v>
      </c>
      <c r="X1" s="58" t="s">
        <v>347</v>
      </c>
    </row>
    <row r="2" spans="1:24" x14ac:dyDescent="0.3">
      <c r="A2" s="4" t="str">
        <f>VLOOKUP(G2,Data!$A:$G,2,0)</f>
        <v>Under Office (W Medinipur)</v>
      </c>
      <c r="B2" s="4" t="str">
        <f>VLOOKUP(G2,Data!$A:$G,3,0)</f>
        <v>Active</v>
      </c>
      <c r="C2" s="4" t="str">
        <f>VLOOKUP(G2,Data!$A:$G,4,0)</f>
        <v>Hooghly</v>
      </c>
      <c r="D2" s="4" t="str">
        <f>VLOOKUP(G2,Data!$A:$G,5,0)</f>
        <v>Palaschabrighat</v>
      </c>
      <c r="E2" s="4" t="str">
        <f>VLOOKUP(G2,Data!$A:$G,6,0)</f>
        <v>Asima Bhunia</v>
      </c>
      <c r="F2" s="10" t="str">
        <f>VLOOKUP(G2,Data!$A:$G,7,0)</f>
        <v>2390311420</v>
      </c>
      <c r="G2" s="5">
        <v>22126</v>
      </c>
      <c r="H2" s="7">
        <f>COUNT(J2:U2)</f>
        <v>6</v>
      </c>
      <c r="I2" s="7">
        <f>H2*300</f>
        <v>1800</v>
      </c>
      <c r="J2" s="8">
        <v>2249</v>
      </c>
      <c r="K2" s="8">
        <v>2030</v>
      </c>
      <c r="L2" s="8">
        <v>2244</v>
      </c>
      <c r="M2" s="8">
        <v>2531</v>
      </c>
      <c r="N2" s="8">
        <v>3160</v>
      </c>
      <c r="O2" s="8">
        <v>587</v>
      </c>
      <c r="P2" s="8"/>
      <c r="Q2" s="8"/>
      <c r="R2" s="8"/>
      <c r="S2" s="8"/>
      <c r="T2" s="8"/>
      <c r="U2" s="8"/>
      <c r="V2" s="8">
        <f>SUM(J2:U2)</f>
        <v>12801</v>
      </c>
      <c r="W2" s="9">
        <f>V2/H2</f>
        <v>2133.5</v>
      </c>
      <c r="X2" s="59" t="str">
        <f>IF(W2&gt;=2000,"&gt; 2000",IF(W2&gt;=1500,"&gt; 1500",IF(W2&gt;=900,"&gt; 900",IF(W2&gt;=600,"&gt; 600",IF(W2&gt;=450,"&gt; 450",IF(W2&gt;=300,"&gt; 300",IF(W2&gt;=150,"&gt; 150",IF(W2&lt;150,"&lt; 150",IF(W2&lt;1,"Nill")))))))))</f>
        <v>&gt; 2000</v>
      </c>
    </row>
    <row r="3" spans="1:24" x14ac:dyDescent="0.3">
      <c r="A3" s="4" t="str">
        <f>VLOOKUP(G3,Data!$A:$G,2,0)</f>
        <v>Rajendra Kumar Bapari</v>
      </c>
      <c r="B3" s="4" t="str">
        <f>VLOOKUP(G3,Data!$A:$G,3,0)</f>
        <v>Active</v>
      </c>
      <c r="C3" s="4" t="str">
        <f>VLOOKUP(G3,Data!$A:$G,4,0)</f>
        <v>Durgapur</v>
      </c>
      <c r="D3" s="4" t="str">
        <f>VLOOKUP(G3,Data!$A:$G,5,0)</f>
        <v>Kushodanga</v>
      </c>
      <c r="E3" s="4" t="str">
        <f>VLOOKUP(G3,Data!$A:$G,6,0)</f>
        <v>Priti Das</v>
      </c>
      <c r="F3" s="10" t="str">
        <f>VLOOKUP(G3,Data!$A:$G,7,0)</f>
        <v>3390315408</v>
      </c>
      <c r="G3" s="5">
        <v>28176</v>
      </c>
      <c r="H3" s="7">
        <f>COUNT(J3:U3)</f>
        <v>6</v>
      </c>
      <c r="I3" s="7">
        <f>H3*300</f>
        <v>1800</v>
      </c>
      <c r="J3" s="8">
        <v>449</v>
      </c>
      <c r="K3" s="8">
        <v>466</v>
      </c>
      <c r="L3" s="8">
        <v>852</v>
      </c>
      <c r="M3" s="8">
        <v>1482</v>
      </c>
      <c r="N3" s="8">
        <v>2681</v>
      </c>
      <c r="O3" s="8">
        <v>570</v>
      </c>
      <c r="P3" s="8"/>
      <c r="Q3" s="8"/>
      <c r="R3" s="8"/>
      <c r="S3" s="8"/>
      <c r="T3" s="8"/>
      <c r="U3" s="8"/>
      <c r="V3" s="8">
        <f>SUM(J3:U3)</f>
        <v>6500</v>
      </c>
      <c r="W3" s="9">
        <f>V3/H3</f>
        <v>1083.3333333333333</v>
      </c>
      <c r="X3" s="59" t="str">
        <f>IF(W3&gt;=2000,"&gt; 2000",IF(W3&gt;=1500,"&gt; 1500",IF(W3&gt;=900,"&gt; 900",IF(W3&gt;=600,"&gt; 600",IF(W3&gt;=450,"&gt; 450",IF(W3&gt;=300,"&gt; 300",IF(W3&gt;=150,"&gt; 150",IF(W3&lt;150,"&lt; 150",IF(W3&lt;1,"Nill")))))))))</f>
        <v>&gt; 900</v>
      </c>
    </row>
    <row r="4" spans="1:24" x14ac:dyDescent="0.3">
      <c r="A4" s="4" t="str">
        <f>VLOOKUP(G4,Data!$A:$G,2,0)</f>
        <v>Under Office (W Medinipur)</v>
      </c>
      <c r="B4" s="4" t="str">
        <f>VLOOKUP(G4,Data!$A:$G,3,0)</f>
        <v>Active</v>
      </c>
      <c r="C4" s="4" t="str">
        <f>VLOOKUP(G4,Data!$A:$G,4,0)</f>
        <v>Hooghly</v>
      </c>
      <c r="D4" s="4" t="str">
        <f>VLOOKUP(G4,Data!$A:$G,5,0)</f>
        <v>Binpur</v>
      </c>
      <c r="E4" s="4" t="str">
        <f>VLOOKUP(G4,Data!$A:$G,6,0)</f>
        <v>Debika Singha Patra</v>
      </c>
      <c r="F4" s="10" t="str">
        <f>VLOOKUP(G4,Data!$A:$G,7,0)</f>
        <v>2390311962</v>
      </c>
      <c r="G4" s="5">
        <v>22789</v>
      </c>
      <c r="H4" s="7">
        <f>COUNT(J4:U4)</f>
        <v>6</v>
      </c>
      <c r="I4" s="7">
        <f>H4*300</f>
        <v>1800</v>
      </c>
      <c r="J4" s="8">
        <v>2626</v>
      </c>
      <c r="K4" s="8">
        <v>2814</v>
      </c>
      <c r="L4" s="8">
        <v>2318</v>
      </c>
      <c r="M4" s="8">
        <v>2492</v>
      </c>
      <c r="N4" s="8">
        <v>2518</v>
      </c>
      <c r="O4" s="8">
        <v>540</v>
      </c>
      <c r="P4" s="8"/>
      <c r="Q4" s="8"/>
      <c r="R4" s="8"/>
      <c r="S4" s="8"/>
      <c r="T4" s="8"/>
      <c r="U4" s="8"/>
      <c r="V4" s="8">
        <f>SUM(J4:U4)</f>
        <v>13308</v>
      </c>
      <c r="W4" s="9">
        <f>V4/H4</f>
        <v>2218</v>
      </c>
      <c r="X4" s="59" t="str">
        <f>IF(W4&gt;=2000,"&gt; 2000",IF(W4&gt;=1500,"&gt; 1500",IF(W4&gt;=900,"&gt; 900",IF(W4&gt;=600,"&gt; 600",IF(W4&gt;=450,"&gt; 450",IF(W4&gt;=300,"&gt; 300",IF(W4&gt;=150,"&gt; 150",IF(W4&lt;150,"&lt; 150",IF(W4&lt;1,"Nill")))))))))</f>
        <v>&gt; 2000</v>
      </c>
    </row>
    <row r="5" spans="1:24" x14ac:dyDescent="0.3">
      <c r="A5" s="4" t="str">
        <f>VLOOKUP(G5,Data!$A:$G,2,0)</f>
        <v>Souvik Maity</v>
      </c>
      <c r="B5" s="4" t="str">
        <f>VLOOKUP(G5,Data!$A:$G,3,0)</f>
        <v>Active</v>
      </c>
      <c r="C5" s="4" t="str">
        <f>VLOOKUP(G5,Data!$A:$G,4,0)</f>
        <v>Hooghly</v>
      </c>
      <c r="D5" s="4" t="str">
        <f>VLOOKUP(G5,Data!$A:$G,5,0)</f>
        <v>Rajhati</v>
      </c>
      <c r="E5" s="4" t="str">
        <f>VLOOKUP(G5,Data!$A:$G,6,0)</f>
        <v>Arnnapurna Maji</v>
      </c>
      <c r="F5" s="10" t="str">
        <f>VLOOKUP(G5,Data!$A:$G,7,0)</f>
        <v>3390311610</v>
      </c>
      <c r="G5" s="5">
        <v>22346</v>
      </c>
      <c r="H5" s="7">
        <f>COUNT(J5:U5)</f>
        <v>6</v>
      </c>
      <c r="I5" s="7">
        <f>H5*300</f>
        <v>1800</v>
      </c>
      <c r="J5" s="8">
        <v>2060</v>
      </c>
      <c r="K5" s="8">
        <v>1741</v>
      </c>
      <c r="L5" s="8">
        <v>1555</v>
      </c>
      <c r="M5" s="8">
        <v>1870</v>
      </c>
      <c r="N5" s="8">
        <v>2085</v>
      </c>
      <c r="O5" s="8">
        <v>407</v>
      </c>
      <c r="P5" s="8"/>
      <c r="Q5" s="8"/>
      <c r="R5" s="8"/>
      <c r="S5" s="8"/>
      <c r="T5" s="8"/>
      <c r="U5" s="8"/>
      <c r="V5" s="8">
        <f>SUM(J5:U5)</f>
        <v>9718</v>
      </c>
      <c r="W5" s="9">
        <f>V5/H5</f>
        <v>1619.6666666666667</v>
      </c>
      <c r="X5" s="59" t="str">
        <f>IF(W5&gt;=2000,"&gt; 2000",IF(W5&gt;=1500,"&gt; 1500",IF(W5&gt;=900,"&gt; 900",IF(W5&gt;=600,"&gt; 600",IF(W5&gt;=450,"&gt; 450",IF(W5&gt;=300,"&gt; 300",IF(W5&gt;=150,"&gt; 150",IF(W5&lt;150,"&lt; 150",IF(W5&lt;1,"Nill")))))))))</f>
        <v>&gt; 1500</v>
      </c>
    </row>
    <row r="6" spans="1:24" x14ac:dyDescent="0.3">
      <c r="A6" s="4" t="str">
        <f>VLOOKUP(G6,Data!$A:$G,2,0)</f>
        <v>Under Office (W Medinipur)</v>
      </c>
      <c r="B6" s="4" t="str">
        <f>VLOOKUP(G6,Data!$A:$G,3,0)</f>
        <v>Active</v>
      </c>
      <c r="C6" s="4" t="str">
        <f>VLOOKUP(G6,Data!$A:$G,4,0)</f>
        <v>Hooghly</v>
      </c>
      <c r="D6" s="4" t="str">
        <f>VLOOKUP(G6,Data!$A:$G,5,0)</f>
        <v>Ramjibanpur</v>
      </c>
      <c r="E6" s="4" t="str">
        <f>VLOOKUP(G6,Data!$A:$G,6,0)</f>
        <v>Abhijit Modak</v>
      </c>
      <c r="F6" s="10" t="str">
        <f>VLOOKUP(G6,Data!$A:$G,7,0)</f>
        <v>3390311425</v>
      </c>
      <c r="G6" s="5">
        <v>22131</v>
      </c>
      <c r="H6" s="7">
        <f>COUNT(J6:U6)</f>
        <v>6</v>
      </c>
      <c r="I6" s="7">
        <f>H6*300</f>
        <v>1800</v>
      </c>
      <c r="J6" s="8">
        <v>1952</v>
      </c>
      <c r="K6" s="8">
        <v>2034</v>
      </c>
      <c r="L6" s="8">
        <v>1525</v>
      </c>
      <c r="M6" s="8">
        <v>1701</v>
      </c>
      <c r="N6" s="8">
        <v>1800</v>
      </c>
      <c r="O6" s="8">
        <v>399</v>
      </c>
      <c r="P6" s="8"/>
      <c r="Q6" s="8"/>
      <c r="R6" s="8"/>
      <c r="S6" s="8"/>
      <c r="T6" s="8"/>
      <c r="U6" s="8"/>
      <c r="V6" s="8">
        <f>SUM(J6:U6)</f>
        <v>9411</v>
      </c>
      <c r="W6" s="9">
        <f>V6/H6</f>
        <v>1568.5</v>
      </c>
      <c r="X6" s="59" t="str">
        <f>IF(W6&gt;=2000,"&gt; 2000",IF(W6&gt;=1500,"&gt; 1500",IF(W6&gt;=900,"&gt; 900",IF(W6&gt;=600,"&gt; 600",IF(W6&gt;=450,"&gt; 450",IF(W6&gt;=300,"&gt; 300",IF(W6&gt;=150,"&gt; 150",IF(W6&lt;150,"&lt; 150",IF(W6&lt;1,"Nill")))))))))</f>
        <v>&gt; 1500</v>
      </c>
    </row>
    <row r="7" spans="1:24" x14ac:dyDescent="0.3">
      <c r="A7" s="4" t="str">
        <f>VLOOKUP(G7,Data!$A:$G,2,0)</f>
        <v>Under Office (Birbhum)</v>
      </c>
      <c r="B7" s="4" t="str">
        <f>VLOOKUP(G7,Data!$A:$G,3,0)</f>
        <v>Active</v>
      </c>
      <c r="C7" s="4" t="str">
        <f>VLOOKUP(G7,Data!$A:$G,4,0)</f>
        <v>Siliguri</v>
      </c>
      <c r="D7" s="4" t="str">
        <f>VLOOKUP(G7,Data!$A:$G,5,0)</f>
        <v>Jajigram</v>
      </c>
      <c r="E7" s="4" t="str">
        <f>VLOOKUP(G7,Data!$A:$G,6,0)</f>
        <v>Mosaraf Sk</v>
      </c>
      <c r="F7" s="10" t="str">
        <f>VLOOKUP(G7,Data!$A:$G,7,0)</f>
        <v>0140311323</v>
      </c>
      <c r="G7" s="5">
        <v>21998</v>
      </c>
      <c r="H7" s="7">
        <f>COUNT(J7:U7)</f>
        <v>6</v>
      </c>
      <c r="I7" s="7">
        <f>H7*300</f>
        <v>1800</v>
      </c>
      <c r="J7" s="8">
        <v>1132</v>
      </c>
      <c r="K7" s="8">
        <v>1153</v>
      </c>
      <c r="L7" s="8">
        <v>1213</v>
      </c>
      <c r="M7" s="8">
        <v>1448</v>
      </c>
      <c r="N7" s="8">
        <v>1580</v>
      </c>
      <c r="O7" s="8">
        <v>341</v>
      </c>
      <c r="P7" s="8"/>
      <c r="Q7" s="8"/>
      <c r="R7" s="8"/>
      <c r="S7" s="8"/>
      <c r="T7" s="8"/>
      <c r="U7" s="8"/>
      <c r="V7" s="8">
        <f>SUM(J7:U7)</f>
        <v>6867</v>
      </c>
      <c r="W7" s="9">
        <f>V7/H7</f>
        <v>1144.5</v>
      </c>
      <c r="X7" s="59" t="str">
        <f>IF(W7&gt;=2000,"&gt; 2000",IF(W7&gt;=1500,"&gt; 1500",IF(W7&gt;=900,"&gt; 900",IF(W7&gt;=600,"&gt; 600",IF(W7&gt;=450,"&gt; 450",IF(W7&gt;=300,"&gt; 300",IF(W7&gt;=150,"&gt; 150",IF(W7&lt;150,"&lt; 150",IF(W7&lt;1,"Nill")))))))))</f>
        <v>&gt; 900</v>
      </c>
    </row>
    <row r="8" spans="1:24" x14ac:dyDescent="0.3">
      <c r="A8" s="4" t="str">
        <f>VLOOKUP(G8,Data!$A:$G,2,0)</f>
        <v>Under Office (W Medinipur)</v>
      </c>
      <c r="B8" s="4" t="str">
        <f>VLOOKUP(G8,Data!$A:$G,3,0)</f>
        <v>Active</v>
      </c>
      <c r="C8" s="4" t="str">
        <f>VLOOKUP(G8,Data!$A:$G,4,0)</f>
        <v>Hooghly</v>
      </c>
      <c r="D8" s="4" t="str">
        <f>VLOOKUP(G8,Data!$A:$G,5,0)</f>
        <v>Khirpai</v>
      </c>
      <c r="E8" s="4" t="str">
        <f>VLOOKUP(G8,Data!$A:$G,6,0)</f>
        <v>Sk Abbas Ali</v>
      </c>
      <c r="F8" s="10" t="str">
        <f>VLOOKUP(G8,Data!$A:$G,7,0)</f>
        <v>2390311378</v>
      </c>
      <c r="G8" s="5">
        <v>22073</v>
      </c>
      <c r="H8" s="7">
        <f>COUNT(J8:U8)</f>
        <v>6</v>
      </c>
      <c r="I8" s="7">
        <f>H8*300</f>
        <v>1800</v>
      </c>
      <c r="J8" s="8">
        <v>1124</v>
      </c>
      <c r="K8" s="8">
        <v>1231</v>
      </c>
      <c r="L8" s="8">
        <v>1242</v>
      </c>
      <c r="M8" s="8">
        <v>1470</v>
      </c>
      <c r="N8" s="8">
        <v>1622</v>
      </c>
      <c r="O8" s="8">
        <v>339</v>
      </c>
      <c r="P8" s="8"/>
      <c r="Q8" s="8"/>
      <c r="R8" s="8"/>
      <c r="S8" s="8"/>
      <c r="T8" s="8"/>
      <c r="U8" s="8"/>
      <c r="V8" s="8">
        <f>SUM(J8:U8)</f>
        <v>7028</v>
      </c>
      <c r="W8" s="9">
        <f>V8/H8</f>
        <v>1171.3333333333333</v>
      </c>
      <c r="X8" s="59" t="str">
        <f>IF(W8&gt;=2000,"&gt; 2000",IF(W8&gt;=1500,"&gt; 1500",IF(W8&gt;=900,"&gt; 900",IF(W8&gt;=600,"&gt; 600",IF(W8&gt;=450,"&gt; 450",IF(W8&gt;=300,"&gt; 300",IF(W8&gt;=150,"&gt; 150",IF(W8&lt;150,"&lt; 150",IF(W8&lt;1,"Nill")))))))))</f>
        <v>&gt; 900</v>
      </c>
    </row>
    <row r="9" spans="1:24" x14ac:dyDescent="0.3">
      <c r="A9" s="4" t="str">
        <f>VLOOKUP(G9,Data!$A:$G,2,0)</f>
        <v>Under Office (Birbhum)</v>
      </c>
      <c r="B9" s="4" t="str">
        <f>VLOOKUP(G9,Data!$A:$G,3,0)</f>
        <v>Active</v>
      </c>
      <c r="C9" s="4" t="str">
        <f>VLOOKUP(G9,Data!$A:$G,4,0)</f>
        <v>Siliguri</v>
      </c>
      <c r="D9" s="4" t="str">
        <f>VLOOKUP(G9,Data!$A:$G,5,0)</f>
        <v>Paikar</v>
      </c>
      <c r="E9" s="4" t="str">
        <f>VLOOKUP(G9,Data!$A:$G,6,0)</f>
        <v>Saheb Sk</v>
      </c>
      <c r="F9" s="10" t="str">
        <f>VLOOKUP(G9,Data!$A:$G,7,0)</f>
        <v>0140311324</v>
      </c>
      <c r="G9" s="5">
        <v>21999</v>
      </c>
      <c r="H9" s="7">
        <f>COUNT(J9:U9)</f>
        <v>6</v>
      </c>
      <c r="I9" s="7">
        <f>H9*300</f>
        <v>1800</v>
      </c>
      <c r="J9" s="8">
        <v>1759</v>
      </c>
      <c r="K9" s="8">
        <v>1665</v>
      </c>
      <c r="L9" s="8">
        <v>1333</v>
      </c>
      <c r="M9" s="8">
        <v>1502</v>
      </c>
      <c r="N9" s="8">
        <v>1552</v>
      </c>
      <c r="O9" s="8">
        <v>296</v>
      </c>
      <c r="P9" s="8"/>
      <c r="Q9" s="8"/>
      <c r="R9" s="8"/>
      <c r="S9" s="8"/>
      <c r="T9" s="8"/>
      <c r="U9" s="8"/>
      <c r="V9" s="8">
        <f>SUM(J9:U9)</f>
        <v>8107</v>
      </c>
      <c r="W9" s="9">
        <f>V9/H9</f>
        <v>1351.1666666666667</v>
      </c>
      <c r="X9" s="59" t="str">
        <f>IF(W9&gt;=2000,"&gt; 2000",IF(W9&gt;=1500,"&gt; 1500",IF(W9&gt;=900,"&gt; 900",IF(W9&gt;=600,"&gt; 600",IF(W9&gt;=450,"&gt; 450",IF(W9&gt;=300,"&gt; 300",IF(W9&gt;=150,"&gt; 150",IF(W9&lt;150,"&lt; 150",IF(W9&lt;1,"Nill")))))))))</f>
        <v>&gt; 900</v>
      </c>
    </row>
    <row r="10" spans="1:24" x14ac:dyDescent="0.3">
      <c r="A10" s="4" t="str">
        <f>VLOOKUP(G10,Data!$A:$G,2,0)</f>
        <v>Souvik Maity</v>
      </c>
      <c r="B10" s="4" t="str">
        <f>VLOOKUP(G10,Data!$A:$G,3,0)</f>
        <v>Active</v>
      </c>
      <c r="C10" s="4" t="str">
        <f>VLOOKUP(G10,Data!$A:$G,4,0)</f>
        <v>Hooghly</v>
      </c>
      <c r="D10" s="4" t="str">
        <f>VLOOKUP(G10,Data!$A:$G,5,0)</f>
        <v>Jirat</v>
      </c>
      <c r="E10" s="4" t="str">
        <f>VLOOKUP(G10,Data!$A:$G,6,0)</f>
        <v>Sahadeb Chakraborty</v>
      </c>
      <c r="F10" s="10" t="str">
        <f>VLOOKUP(G10,Data!$A:$G,7,0)</f>
        <v>3390314204</v>
      </c>
      <c r="G10" s="5">
        <v>26084</v>
      </c>
      <c r="H10" s="7">
        <f>COUNT(J10:U10)</f>
        <v>6</v>
      </c>
      <c r="I10" s="7">
        <f>H10*300</f>
        <v>1800</v>
      </c>
      <c r="J10" s="8">
        <v>831</v>
      </c>
      <c r="K10" s="8">
        <v>914</v>
      </c>
      <c r="L10" s="8">
        <v>738</v>
      </c>
      <c r="M10" s="8">
        <v>927</v>
      </c>
      <c r="N10" s="8">
        <v>861</v>
      </c>
      <c r="O10" s="8">
        <v>213</v>
      </c>
      <c r="P10" s="8"/>
      <c r="Q10" s="8"/>
      <c r="R10" s="8"/>
      <c r="S10" s="8"/>
      <c r="T10" s="8"/>
      <c r="U10" s="8"/>
      <c r="V10" s="8">
        <f>SUM(J10:U10)</f>
        <v>4484</v>
      </c>
      <c r="W10" s="9">
        <f>V10/H10</f>
        <v>747.33333333333337</v>
      </c>
      <c r="X10" s="59" t="str">
        <f>IF(W10&gt;=2000,"&gt; 2000",IF(W10&gt;=1500,"&gt; 1500",IF(W10&gt;=900,"&gt; 900",IF(W10&gt;=600,"&gt; 600",IF(W10&gt;=450,"&gt; 450",IF(W10&gt;=300,"&gt; 300",IF(W10&gt;=150,"&gt; 150",IF(W10&lt;150,"&lt; 150",IF(W10&lt;1,"Nill")))))))))</f>
        <v>&gt; 600</v>
      </c>
    </row>
    <row r="11" spans="1:24" x14ac:dyDescent="0.3">
      <c r="A11" s="4" t="str">
        <f>VLOOKUP(G11,Data!$A:$G,2,0)</f>
        <v>Rajiul Momin</v>
      </c>
      <c r="B11" s="4" t="str">
        <f>VLOOKUP(G11,Data!$A:$G,3,0)</f>
        <v>Active</v>
      </c>
      <c r="C11" s="4" t="str">
        <f>VLOOKUP(G11,Data!$A:$G,4,0)</f>
        <v>Siliguri</v>
      </c>
      <c r="D11" s="4" t="str">
        <f>VLOOKUP(G11,Data!$A:$G,5,0)</f>
        <v>Kaluari</v>
      </c>
      <c r="E11" s="4" t="str">
        <f>VLOOKUP(G11,Data!$A:$G,6,0)</f>
        <v>Masidur Rahaman</v>
      </c>
      <c r="F11" s="10" t="str">
        <f>VLOOKUP(G11,Data!$A:$G,7,0)</f>
        <v>2370310973</v>
      </c>
      <c r="G11" s="5">
        <v>21583</v>
      </c>
      <c r="H11" s="7">
        <f>COUNT(J11:U11)</f>
        <v>6</v>
      </c>
      <c r="I11" s="7">
        <f>H11*300</f>
        <v>1800</v>
      </c>
      <c r="J11" s="8">
        <v>1235</v>
      </c>
      <c r="K11" s="8">
        <v>971</v>
      </c>
      <c r="L11" s="8">
        <v>1059</v>
      </c>
      <c r="M11" s="8">
        <v>994</v>
      </c>
      <c r="N11" s="8">
        <v>953</v>
      </c>
      <c r="O11" s="8">
        <v>204</v>
      </c>
      <c r="P11" s="8"/>
      <c r="Q11" s="8"/>
      <c r="R11" s="8"/>
      <c r="S11" s="8"/>
      <c r="T11" s="8"/>
      <c r="U11" s="8"/>
      <c r="V11" s="8">
        <f>SUM(J11:U11)</f>
        <v>5416</v>
      </c>
      <c r="W11" s="9">
        <f>V11/H11</f>
        <v>902.66666666666663</v>
      </c>
      <c r="X11" s="59" t="str">
        <f>IF(W11&gt;=2000,"&gt; 2000",IF(W11&gt;=1500,"&gt; 1500",IF(W11&gt;=900,"&gt; 900",IF(W11&gt;=600,"&gt; 600",IF(W11&gt;=450,"&gt; 450",IF(W11&gt;=300,"&gt; 300",IF(W11&gt;=150,"&gt; 150",IF(W11&lt;150,"&lt; 150",IF(W11&lt;1,"Nill")))))))))</f>
        <v>&gt; 900</v>
      </c>
    </row>
    <row r="12" spans="1:24" x14ac:dyDescent="0.3">
      <c r="A12" s="4" t="str">
        <f>VLOOKUP(G12,Data!$A:$G,2,0)</f>
        <v>Under Office (W Medinipur)</v>
      </c>
      <c r="B12" s="4" t="str">
        <f>VLOOKUP(G12,Data!$A:$G,3,0)</f>
        <v>Active</v>
      </c>
      <c r="C12" s="4" t="str">
        <f>VLOOKUP(G12,Data!$A:$G,4,0)</f>
        <v>Hooghly</v>
      </c>
      <c r="D12" s="4" t="str">
        <f>VLOOKUP(G12,Data!$A:$G,5,0)</f>
        <v>Nayabasat</v>
      </c>
      <c r="E12" s="4" t="str">
        <f>VLOOKUP(G12,Data!$A:$G,6,0)</f>
        <v>Mousumi Chanda Dey</v>
      </c>
      <c r="F12" s="10" t="str">
        <f>VLOOKUP(G12,Data!$A:$G,7,0)</f>
        <v>2390315855</v>
      </c>
      <c r="G12" s="5">
        <v>29123</v>
      </c>
      <c r="H12" s="7">
        <f>COUNT(J12:U12)</f>
        <v>6</v>
      </c>
      <c r="I12" s="7">
        <f>H12*300</f>
        <v>1800</v>
      </c>
      <c r="J12" s="8">
        <v>432</v>
      </c>
      <c r="K12" s="8">
        <v>850</v>
      </c>
      <c r="L12" s="8">
        <v>467</v>
      </c>
      <c r="M12" s="8">
        <v>659</v>
      </c>
      <c r="N12" s="8">
        <v>876</v>
      </c>
      <c r="O12" s="8">
        <v>198</v>
      </c>
      <c r="P12" s="8"/>
      <c r="Q12" s="8"/>
      <c r="R12" s="8"/>
      <c r="S12" s="8"/>
      <c r="T12" s="8"/>
      <c r="U12" s="8"/>
      <c r="V12" s="8">
        <f>SUM(J12:U12)</f>
        <v>3482</v>
      </c>
      <c r="W12" s="9">
        <f>V12/H12</f>
        <v>580.33333333333337</v>
      </c>
      <c r="X12" s="59" t="str">
        <f>IF(W12&gt;=2000,"&gt; 2000",IF(W12&gt;=1500,"&gt; 1500",IF(W12&gt;=900,"&gt; 900",IF(W12&gt;=600,"&gt; 600",IF(W12&gt;=450,"&gt; 450",IF(W12&gt;=300,"&gt; 300",IF(W12&gt;=150,"&gt; 150",IF(W12&lt;150,"&lt; 150",IF(W12&lt;1,"Nill")))))))))</f>
        <v>&gt; 450</v>
      </c>
    </row>
    <row r="13" spans="1:24" x14ac:dyDescent="0.3">
      <c r="A13" s="4" t="str">
        <f>VLOOKUP(G13,Data!$A:$G,2,0)</f>
        <v>Avi Sk</v>
      </c>
      <c r="B13" s="4" t="str">
        <f>VLOOKUP(G13,Data!$A:$G,3,0)</f>
        <v>Active</v>
      </c>
      <c r="C13" s="4" t="str">
        <f>VLOOKUP(G13,Data!$A:$G,4,0)</f>
        <v>Siliguri</v>
      </c>
      <c r="D13" s="4" t="str">
        <f>VLOOKUP(G13,Data!$A:$G,5,0)</f>
        <v>Talgachi</v>
      </c>
      <c r="E13" s="4" t="str">
        <f>VLOOKUP(G13,Data!$A:$G,6,0)</f>
        <v>Giridhari Sarkar</v>
      </c>
      <c r="F13" s="10" t="str">
        <f>VLOOKUP(G13,Data!$A:$G,7,0)</f>
        <v>2410310083</v>
      </c>
      <c r="G13" s="5">
        <v>20509</v>
      </c>
      <c r="H13" s="7">
        <f>COUNT(J13:U13)</f>
        <v>6</v>
      </c>
      <c r="I13" s="7">
        <f>H13*300</f>
        <v>1800</v>
      </c>
      <c r="J13" s="8">
        <v>803</v>
      </c>
      <c r="K13" s="8">
        <v>743</v>
      </c>
      <c r="L13" s="8">
        <v>777</v>
      </c>
      <c r="M13" s="8">
        <v>876</v>
      </c>
      <c r="N13" s="8">
        <v>884</v>
      </c>
      <c r="O13" s="8">
        <v>195</v>
      </c>
      <c r="P13" s="8"/>
      <c r="Q13" s="8"/>
      <c r="R13" s="8"/>
      <c r="S13" s="8"/>
      <c r="T13" s="8"/>
      <c r="U13" s="8"/>
      <c r="V13" s="8">
        <f>SUM(J13:U13)</f>
        <v>4278</v>
      </c>
      <c r="W13" s="9">
        <f>V13/H13</f>
        <v>713</v>
      </c>
      <c r="X13" s="59" t="str">
        <f>IF(W13&gt;=2000,"&gt; 2000",IF(W13&gt;=1500,"&gt; 1500",IF(W13&gt;=900,"&gt; 900",IF(W13&gt;=600,"&gt; 600",IF(W13&gt;=450,"&gt; 450",IF(W13&gt;=300,"&gt; 300",IF(W13&gt;=150,"&gt; 150",IF(W13&lt;150,"&lt; 150",IF(W13&lt;1,"Nill")))))))))</f>
        <v>&gt; 600</v>
      </c>
    </row>
    <row r="14" spans="1:24" x14ac:dyDescent="0.3">
      <c r="A14" s="4" t="str">
        <f>VLOOKUP(G14,Data!$A:$G,2,0)</f>
        <v>Souvik Maity</v>
      </c>
      <c r="B14" s="4" t="str">
        <f>VLOOKUP(G14,Data!$A:$G,3,0)</f>
        <v>Active</v>
      </c>
      <c r="C14" s="4" t="str">
        <f>VLOOKUP(G14,Data!$A:$G,4,0)</f>
        <v>Hooghly</v>
      </c>
      <c r="D14" s="4" t="str">
        <f>VLOOKUP(G14,Data!$A:$G,5,0)</f>
        <v>Rajhati</v>
      </c>
      <c r="E14" s="4" t="str">
        <f>VLOOKUP(G14,Data!$A:$G,6,0)</f>
        <v>Santanu Ghosh</v>
      </c>
      <c r="F14" s="10" t="str">
        <f>VLOOKUP(G14,Data!$A:$G,7,0)</f>
        <v>3390314383</v>
      </c>
      <c r="G14" s="5">
        <v>26399</v>
      </c>
      <c r="H14" s="7">
        <f>COUNT(J14:U14)</f>
        <v>6</v>
      </c>
      <c r="I14" s="7">
        <f>H14*300</f>
        <v>1800</v>
      </c>
      <c r="J14" s="8">
        <v>1112</v>
      </c>
      <c r="K14" s="8">
        <v>886</v>
      </c>
      <c r="L14" s="8">
        <v>621</v>
      </c>
      <c r="M14" s="8">
        <v>1042</v>
      </c>
      <c r="N14" s="8">
        <v>1056</v>
      </c>
      <c r="O14" s="8">
        <v>161</v>
      </c>
      <c r="P14" s="8"/>
      <c r="Q14" s="8"/>
      <c r="R14" s="8"/>
      <c r="S14" s="8"/>
      <c r="T14" s="8"/>
      <c r="U14" s="8"/>
      <c r="V14" s="8">
        <f>SUM(J14:U14)</f>
        <v>4878</v>
      </c>
      <c r="W14" s="9">
        <f>V14/H14</f>
        <v>813</v>
      </c>
      <c r="X14" s="59" t="str">
        <f>IF(W14&gt;=2000,"&gt; 2000",IF(W14&gt;=1500,"&gt; 1500",IF(W14&gt;=900,"&gt; 900",IF(W14&gt;=600,"&gt; 600",IF(W14&gt;=450,"&gt; 450",IF(W14&gt;=300,"&gt; 300",IF(W14&gt;=150,"&gt; 150",IF(W14&lt;150,"&lt; 150",IF(W14&lt;1,"Nill")))))))))</f>
        <v>&gt; 600</v>
      </c>
    </row>
    <row r="15" spans="1:24" x14ac:dyDescent="0.3">
      <c r="A15" s="4" t="str">
        <f>VLOOKUP(G15,Data!$A:$G,2,0)</f>
        <v>Sunil Biswas</v>
      </c>
      <c r="B15" s="4" t="str">
        <f>VLOOKUP(G15,Data!$A:$G,3,0)</f>
        <v>Active</v>
      </c>
      <c r="C15" s="4" t="str">
        <f>VLOOKUP(G15,Data!$A:$G,4,0)</f>
        <v>Durgapur</v>
      </c>
      <c r="D15" s="4" t="str">
        <f>VLOOKUP(G15,Data!$A:$G,5,0)</f>
        <v>Santipur</v>
      </c>
      <c r="E15" s="4" t="str">
        <f>VLOOKUP(G15,Data!$A:$G,6,0)</f>
        <v>Sahabul Mandal</v>
      </c>
      <c r="F15" s="10" t="str">
        <f>VLOOKUP(G15,Data!$A:$G,7,0)</f>
        <v>2430315156</v>
      </c>
      <c r="G15" s="5">
        <v>27630</v>
      </c>
      <c r="H15" s="7">
        <f>COUNT(J15:U15)</f>
        <v>6</v>
      </c>
      <c r="I15" s="7">
        <f>H15*300</f>
        <v>1800</v>
      </c>
      <c r="J15" s="8">
        <v>748</v>
      </c>
      <c r="K15" s="8">
        <v>751</v>
      </c>
      <c r="L15" s="8">
        <v>719</v>
      </c>
      <c r="M15" s="8">
        <v>847</v>
      </c>
      <c r="N15" s="8">
        <v>709</v>
      </c>
      <c r="O15" s="8">
        <v>161</v>
      </c>
      <c r="P15" s="8"/>
      <c r="Q15" s="8"/>
      <c r="R15" s="8"/>
      <c r="S15" s="8"/>
      <c r="T15" s="8"/>
      <c r="U15" s="8"/>
      <c r="V15" s="8">
        <f>SUM(J15:U15)</f>
        <v>3935</v>
      </c>
      <c r="W15" s="9">
        <f>V15/H15</f>
        <v>655.83333333333337</v>
      </c>
      <c r="X15" s="59" t="str">
        <f>IF(W15&gt;=2000,"&gt; 2000",IF(W15&gt;=1500,"&gt; 1500",IF(W15&gt;=900,"&gt; 900",IF(W15&gt;=600,"&gt; 600",IF(W15&gt;=450,"&gt; 450",IF(W15&gt;=300,"&gt; 300",IF(W15&gt;=150,"&gt; 150",IF(W15&lt;150,"&lt; 150",IF(W15&lt;1,"Nill")))))))))</f>
        <v>&gt; 600</v>
      </c>
    </row>
    <row r="16" spans="1:24" x14ac:dyDescent="0.3">
      <c r="A16" s="4" t="str">
        <f>VLOOKUP(G16,Data!$A:$G,2,0)</f>
        <v>Under Office (W Medinipur)</v>
      </c>
      <c r="B16" s="4" t="str">
        <f>VLOOKUP(G16,Data!$A:$G,3,0)</f>
        <v>Active</v>
      </c>
      <c r="C16" s="4" t="str">
        <f>VLOOKUP(G16,Data!$A:$G,4,0)</f>
        <v>Hooghly</v>
      </c>
      <c r="D16" s="4" t="str">
        <f>VLOOKUP(G16,Data!$A:$G,5,0)</f>
        <v>Guiadaha</v>
      </c>
      <c r="E16" s="4" t="str">
        <f>VLOOKUP(G16,Data!$A:$G,6,0)</f>
        <v>Munmun Chakraborty</v>
      </c>
      <c r="F16" s="10" t="str">
        <f>VLOOKUP(G16,Data!$A:$G,7,0)</f>
        <v>2390312218</v>
      </c>
      <c r="G16" s="5">
        <v>23142</v>
      </c>
      <c r="H16" s="7">
        <f>COUNT(J16:U16)</f>
        <v>6</v>
      </c>
      <c r="I16" s="7">
        <f>H16*300</f>
        <v>1800</v>
      </c>
      <c r="J16" s="8">
        <v>573</v>
      </c>
      <c r="K16" s="8">
        <v>554</v>
      </c>
      <c r="L16" s="8">
        <v>626</v>
      </c>
      <c r="M16" s="8">
        <v>682</v>
      </c>
      <c r="N16" s="8">
        <v>846</v>
      </c>
      <c r="O16" s="8">
        <v>154</v>
      </c>
      <c r="P16" s="8"/>
      <c r="Q16" s="8"/>
      <c r="R16" s="8"/>
      <c r="S16" s="8"/>
      <c r="T16" s="8"/>
      <c r="U16" s="8"/>
      <c r="V16" s="8">
        <f>SUM(J16:U16)</f>
        <v>3435</v>
      </c>
      <c r="W16" s="9">
        <f>V16/H16</f>
        <v>572.5</v>
      </c>
      <c r="X16" s="59" t="str">
        <f>IF(W16&gt;=2000,"&gt; 2000",IF(W16&gt;=1500,"&gt; 1500",IF(W16&gt;=900,"&gt; 900",IF(W16&gt;=600,"&gt; 600",IF(W16&gt;=450,"&gt; 450",IF(W16&gt;=300,"&gt; 300",IF(W16&gt;=150,"&gt; 150",IF(W16&lt;150,"&lt; 150",IF(W16&lt;1,"Nill")))))))))</f>
        <v>&gt; 450</v>
      </c>
    </row>
    <row r="17" spans="1:24" x14ac:dyDescent="0.3">
      <c r="A17" s="4" t="str">
        <f>VLOOKUP(G17,Data!$A:$G,2,0)</f>
        <v>Under Office (Birbhum)</v>
      </c>
      <c r="B17" s="4" t="str">
        <f>VLOOKUP(G17,Data!$A:$G,3,0)</f>
        <v>Active</v>
      </c>
      <c r="C17" s="4" t="str">
        <f>VLOOKUP(G17,Data!$A:$G,4,0)</f>
        <v>Siliguri</v>
      </c>
      <c r="D17" s="4" t="str">
        <f>VLOOKUP(G17,Data!$A:$G,5,0)</f>
        <v>Parsundi</v>
      </c>
      <c r="E17" s="4" t="str">
        <f>VLOOKUP(G17,Data!$A:$G,6,0)</f>
        <v>Parimal Das</v>
      </c>
      <c r="F17" s="10" t="str">
        <f>VLOOKUP(G17,Data!$A:$G,7,0)</f>
        <v>0140311628</v>
      </c>
      <c r="G17" s="5">
        <v>22365</v>
      </c>
      <c r="H17" s="7">
        <f>COUNT(J17:U17)</f>
        <v>6</v>
      </c>
      <c r="I17" s="7">
        <f>H17*300</f>
        <v>1800</v>
      </c>
      <c r="J17" s="8">
        <v>713</v>
      </c>
      <c r="K17" s="8">
        <v>863</v>
      </c>
      <c r="L17" s="8">
        <v>755</v>
      </c>
      <c r="M17" s="8">
        <v>881</v>
      </c>
      <c r="N17" s="8">
        <v>827</v>
      </c>
      <c r="O17" s="8">
        <v>148</v>
      </c>
      <c r="P17" s="8"/>
      <c r="Q17" s="8"/>
      <c r="R17" s="8"/>
      <c r="S17" s="8"/>
      <c r="T17" s="8"/>
      <c r="U17" s="8"/>
      <c r="V17" s="8">
        <f>SUM(J17:U17)</f>
        <v>4187</v>
      </c>
      <c r="W17" s="9">
        <f>V17/H17</f>
        <v>697.83333333333337</v>
      </c>
      <c r="X17" s="59" t="str">
        <f>IF(W17&gt;=2000,"&gt; 2000",IF(W17&gt;=1500,"&gt; 1500",IF(W17&gt;=900,"&gt; 900",IF(W17&gt;=600,"&gt; 600",IF(W17&gt;=450,"&gt; 450",IF(W17&gt;=300,"&gt; 300",IF(W17&gt;=150,"&gt; 150",IF(W17&lt;150,"&lt; 150",IF(W17&lt;1,"Nill")))))))))</f>
        <v>&gt; 600</v>
      </c>
    </row>
    <row r="18" spans="1:24" x14ac:dyDescent="0.3">
      <c r="A18" s="4" t="str">
        <f>VLOOKUP(G18,Data!$A:$G,2,0)</f>
        <v>Rajendra Kumar Bapari</v>
      </c>
      <c r="B18" s="4" t="str">
        <f>VLOOKUP(G18,Data!$A:$G,3,0)</f>
        <v>Active</v>
      </c>
      <c r="C18" s="4" t="str">
        <f>VLOOKUP(G18,Data!$A:$G,4,0)</f>
        <v>Durgapur</v>
      </c>
      <c r="D18" s="4" t="str">
        <f>VLOOKUP(G18,Data!$A:$G,5,0)</f>
        <v>Patuli</v>
      </c>
      <c r="E18" s="4" t="str">
        <f>VLOOKUP(G18,Data!$A:$G,6,0)</f>
        <v>Satyajit Kar</v>
      </c>
      <c r="F18" s="10" t="str">
        <f>VLOOKUP(G18,Data!$A:$G,7,0)</f>
        <v>3390314928</v>
      </c>
      <c r="G18" s="5">
        <v>27154</v>
      </c>
      <c r="H18" s="7">
        <f>COUNT(J18:U18)</f>
        <v>6</v>
      </c>
      <c r="I18" s="7">
        <f>H18*300</f>
        <v>1800</v>
      </c>
      <c r="J18" s="8">
        <v>696</v>
      </c>
      <c r="K18" s="8">
        <v>681</v>
      </c>
      <c r="L18" s="8">
        <v>631</v>
      </c>
      <c r="M18" s="8">
        <v>590</v>
      </c>
      <c r="N18" s="8">
        <v>814</v>
      </c>
      <c r="O18" s="8">
        <v>146</v>
      </c>
      <c r="P18" s="8"/>
      <c r="Q18" s="8"/>
      <c r="R18" s="8"/>
      <c r="S18" s="8"/>
      <c r="T18" s="8"/>
      <c r="U18" s="8"/>
      <c r="V18" s="8">
        <f>SUM(J18:U18)</f>
        <v>3558</v>
      </c>
      <c r="W18" s="9">
        <f>V18/H18</f>
        <v>593</v>
      </c>
      <c r="X18" s="59" t="str">
        <f>IF(W18&gt;=2000,"&gt; 2000",IF(W18&gt;=1500,"&gt; 1500",IF(W18&gt;=900,"&gt; 900",IF(W18&gt;=600,"&gt; 600",IF(W18&gt;=450,"&gt; 450",IF(W18&gt;=300,"&gt; 300",IF(W18&gt;=150,"&gt; 150",IF(W18&lt;150,"&lt; 150",IF(W18&lt;1,"Nill")))))))))</f>
        <v>&gt; 450</v>
      </c>
    </row>
    <row r="19" spans="1:24" x14ac:dyDescent="0.3">
      <c r="A19" s="4" t="str">
        <f>VLOOKUP(G19,Data!$A:$G,2,0)</f>
        <v>Shyamalesh Sarkar</v>
      </c>
      <c r="B19" s="4" t="str">
        <f>VLOOKUP(G19,Data!$A:$G,3,0)</f>
        <v>Active</v>
      </c>
      <c r="C19" s="4" t="str">
        <f>VLOOKUP(G19,Data!$A:$G,4,0)</f>
        <v>Siliguri</v>
      </c>
      <c r="D19" s="4" t="str">
        <f>VLOOKUP(G19,Data!$A:$G,5,0)</f>
        <v>Sagardighi Square</v>
      </c>
      <c r="E19" s="4" t="str">
        <f>VLOOKUP(G19,Data!$A:$G,6,0)</f>
        <v>Ajit Modak</v>
      </c>
      <c r="F19" s="10" t="str">
        <f>VLOOKUP(G19,Data!$A:$G,7,0)</f>
        <v>2200309916</v>
      </c>
      <c r="G19" s="5">
        <v>20322</v>
      </c>
      <c r="H19" s="7">
        <f>COUNT(J19:U19)</f>
        <v>6</v>
      </c>
      <c r="I19" s="7">
        <f>H19*300</f>
        <v>1800</v>
      </c>
      <c r="J19" s="8">
        <v>614</v>
      </c>
      <c r="K19" s="8">
        <v>539</v>
      </c>
      <c r="L19" s="8">
        <v>567</v>
      </c>
      <c r="M19" s="8">
        <v>606</v>
      </c>
      <c r="N19" s="8">
        <v>729</v>
      </c>
      <c r="O19" s="8">
        <v>143</v>
      </c>
      <c r="P19" s="8"/>
      <c r="Q19" s="8"/>
      <c r="R19" s="8"/>
      <c r="S19" s="8"/>
      <c r="T19" s="8"/>
      <c r="U19" s="8"/>
      <c r="V19" s="8">
        <f>SUM(J19:U19)</f>
        <v>3198</v>
      </c>
      <c r="W19" s="9">
        <f>V19/H19</f>
        <v>533</v>
      </c>
      <c r="X19" s="59" t="str">
        <f>IF(W19&gt;=2000,"&gt; 2000",IF(W19&gt;=1500,"&gt; 1500",IF(W19&gt;=900,"&gt; 900",IF(W19&gt;=600,"&gt; 600",IF(W19&gt;=450,"&gt; 450",IF(W19&gt;=300,"&gt; 300",IF(W19&gt;=150,"&gt; 150",IF(W19&lt;150,"&lt; 150",IF(W19&lt;1,"Nill")))))))))</f>
        <v>&gt; 450</v>
      </c>
    </row>
    <row r="20" spans="1:24" x14ac:dyDescent="0.3">
      <c r="A20" s="4" t="str">
        <f>VLOOKUP(G20,Data!$A:$G,2,0)</f>
        <v>Under Office (W Medinipur)</v>
      </c>
      <c r="B20" s="4" t="str">
        <f>VLOOKUP(G20,Data!$A:$G,3,0)</f>
        <v>Active</v>
      </c>
      <c r="C20" s="4" t="str">
        <f>VLOOKUP(G20,Data!$A:$G,4,0)</f>
        <v>Hooghly</v>
      </c>
      <c r="D20" s="4" t="str">
        <f>VLOOKUP(G20,Data!$A:$G,5,0)</f>
        <v>Bhairabpur</v>
      </c>
      <c r="E20" s="4" t="str">
        <f>VLOOKUP(G20,Data!$A:$G,6,0)</f>
        <v>Srabani Chatterjee</v>
      </c>
      <c r="F20" s="10" t="str">
        <f>VLOOKUP(G20,Data!$A:$G,7,0)</f>
        <v>2390312437</v>
      </c>
      <c r="G20" s="5">
        <v>23429</v>
      </c>
      <c r="H20" s="7">
        <f>COUNT(J20:U20)</f>
        <v>6</v>
      </c>
      <c r="I20" s="7">
        <f>H20*300</f>
        <v>1800</v>
      </c>
      <c r="J20" s="8">
        <v>1108</v>
      </c>
      <c r="K20" s="8">
        <v>848</v>
      </c>
      <c r="L20" s="8">
        <v>793</v>
      </c>
      <c r="M20" s="8">
        <v>985</v>
      </c>
      <c r="N20" s="8">
        <v>1119</v>
      </c>
      <c r="O20" s="8">
        <v>136</v>
      </c>
      <c r="P20" s="8"/>
      <c r="Q20" s="8"/>
      <c r="R20" s="8"/>
      <c r="S20" s="8"/>
      <c r="T20" s="8"/>
      <c r="U20" s="8"/>
      <c r="V20" s="8">
        <f>SUM(J20:U20)</f>
        <v>4989</v>
      </c>
      <c r="W20" s="9">
        <f>V20/H20</f>
        <v>831.5</v>
      </c>
      <c r="X20" s="59" t="str">
        <f>IF(W20&gt;=2000,"&gt; 2000",IF(W20&gt;=1500,"&gt; 1500",IF(W20&gt;=900,"&gt; 900",IF(W20&gt;=600,"&gt; 600",IF(W20&gt;=450,"&gt; 450",IF(W20&gt;=300,"&gt; 300",IF(W20&gt;=150,"&gt; 150",IF(W20&lt;150,"&lt; 150",IF(W20&lt;1,"Nill")))))))))</f>
        <v>&gt; 600</v>
      </c>
    </row>
    <row r="21" spans="1:24" x14ac:dyDescent="0.3">
      <c r="A21" s="4" t="str">
        <f>VLOOKUP(G21,Data!$A:$G,2,0)</f>
        <v>Under Office (W Medinipur)</v>
      </c>
      <c r="B21" s="4" t="str">
        <f>VLOOKUP(G21,Data!$A:$G,3,0)</f>
        <v>Active</v>
      </c>
      <c r="C21" s="4" t="str">
        <f>VLOOKUP(G21,Data!$A:$G,4,0)</f>
        <v>Hooghly</v>
      </c>
      <c r="D21" s="4" t="str">
        <f>VLOOKUP(G21,Data!$A:$G,5,0)</f>
        <v>Kharar</v>
      </c>
      <c r="E21" s="4" t="str">
        <f>VLOOKUP(G21,Data!$A:$G,6,0)</f>
        <v>Pinki Ghosh</v>
      </c>
      <c r="F21" s="10" t="str">
        <f>VLOOKUP(G21,Data!$A:$G,7,0)</f>
        <v>2390311944</v>
      </c>
      <c r="G21" s="5">
        <v>29368</v>
      </c>
      <c r="H21" s="7">
        <f>COUNT(J21:U21)</f>
        <v>6</v>
      </c>
      <c r="I21" s="7">
        <f>H21*300</f>
        <v>1800</v>
      </c>
      <c r="J21" s="8">
        <v>71</v>
      </c>
      <c r="K21" s="8">
        <v>534</v>
      </c>
      <c r="L21" s="8">
        <v>422</v>
      </c>
      <c r="M21" s="8">
        <v>400</v>
      </c>
      <c r="N21" s="8">
        <v>696</v>
      </c>
      <c r="O21" s="8">
        <v>136</v>
      </c>
      <c r="P21" s="8"/>
      <c r="Q21" s="8"/>
      <c r="R21" s="8"/>
      <c r="S21" s="8"/>
      <c r="T21" s="8"/>
      <c r="U21" s="8"/>
      <c r="V21" s="8">
        <f>SUM(J21:U21)</f>
        <v>2259</v>
      </c>
      <c r="W21" s="9">
        <f>V21/H21</f>
        <v>376.5</v>
      </c>
      <c r="X21" s="59" t="str">
        <f>IF(W21&gt;=2000,"&gt; 2000",IF(W21&gt;=1500,"&gt; 1500",IF(W21&gt;=900,"&gt; 900",IF(W21&gt;=600,"&gt; 600",IF(W21&gt;=450,"&gt; 450",IF(W21&gt;=300,"&gt; 300",IF(W21&gt;=150,"&gt; 150",IF(W21&lt;150,"&lt; 150",IF(W21&lt;1,"Nill")))))))))</f>
        <v>&gt; 300</v>
      </c>
    </row>
    <row r="22" spans="1:24" x14ac:dyDescent="0.3">
      <c r="A22" s="4" t="str">
        <f>VLOOKUP(G22,Data!$A:$G,2,0)</f>
        <v>Under Office (Birbhum)</v>
      </c>
      <c r="B22" s="4" t="str">
        <f>VLOOKUP(G22,Data!$A:$G,3,0)</f>
        <v>Active</v>
      </c>
      <c r="C22" s="4" t="str">
        <f>VLOOKUP(G22,Data!$A:$G,4,0)</f>
        <v>Siliguri</v>
      </c>
      <c r="D22" s="4" t="str">
        <f>VLOOKUP(G22,Data!$A:$G,5,0)</f>
        <v>Mangaldihi</v>
      </c>
      <c r="E22" s="4" t="str">
        <f>VLOOKUP(G22,Data!$A:$G,6,0)</f>
        <v>Ruma Bagdi</v>
      </c>
      <c r="F22" s="10" t="str">
        <f>VLOOKUP(G22,Data!$A:$G,7,0)</f>
        <v>0140311670</v>
      </c>
      <c r="G22" s="5">
        <v>27028</v>
      </c>
      <c r="H22" s="7">
        <f>COUNT(J22:U22)</f>
        <v>6</v>
      </c>
      <c r="I22" s="7">
        <f>H22*300</f>
        <v>1800</v>
      </c>
      <c r="J22" s="8">
        <v>684</v>
      </c>
      <c r="K22" s="8">
        <v>605</v>
      </c>
      <c r="L22" s="8">
        <v>504</v>
      </c>
      <c r="M22" s="8">
        <v>675</v>
      </c>
      <c r="N22" s="8">
        <v>659</v>
      </c>
      <c r="O22" s="8">
        <v>134</v>
      </c>
      <c r="P22" s="8"/>
      <c r="Q22" s="8"/>
      <c r="R22" s="8"/>
      <c r="S22" s="8"/>
      <c r="T22" s="8"/>
      <c r="U22" s="8"/>
      <c r="V22" s="8">
        <f>SUM(J22:U22)</f>
        <v>3261</v>
      </c>
      <c r="W22" s="9">
        <f>V22/H22</f>
        <v>543.5</v>
      </c>
      <c r="X22" s="59" t="str">
        <f>IF(W22&gt;=2000,"&gt; 2000",IF(W22&gt;=1500,"&gt; 1500",IF(W22&gt;=900,"&gt; 900",IF(W22&gt;=600,"&gt; 600",IF(W22&gt;=450,"&gt; 450",IF(W22&gt;=300,"&gt; 300",IF(W22&gt;=150,"&gt; 150",IF(W22&lt;150,"&lt; 150",IF(W22&lt;1,"Nill")))))))))</f>
        <v>&gt; 450</v>
      </c>
    </row>
    <row r="23" spans="1:24" x14ac:dyDescent="0.3">
      <c r="A23" s="4" t="str">
        <f>VLOOKUP(G23,Data!$A:$G,2,0)</f>
        <v>Souvik Maity</v>
      </c>
      <c r="B23" s="4" t="str">
        <f>VLOOKUP(G23,Data!$A:$G,3,0)</f>
        <v>Active</v>
      </c>
      <c r="C23" s="4" t="str">
        <f>VLOOKUP(G23,Data!$A:$G,4,0)</f>
        <v>Hooghly</v>
      </c>
      <c r="D23" s="4" t="str">
        <f>VLOOKUP(G23,Data!$A:$G,5,0)</f>
        <v>Dhanyaghori</v>
      </c>
      <c r="E23" s="4" t="str">
        <f>VLOOKUP(G23,Data!$A:$G,6,0)</f>
        <v>Pratik Chakraborty</v>
      </c>
      <c r="F23" s="10" t="str">
        <f>VLOOKUP(G23,Data!$A:$G,7,0)</f>
        <v>3390311946</v>
      </c>
      <c r="G23" s="5">
        <v>22773</v>
      </c>
      <c r="H23" s="7">
        <f>COUNT(J23:U23)</f>
        <v>6</v>
      </c>
      <c r="I23" s="7">
        <f>H23*300</f>
        <v>1800</v>
      </c>
      <c r="J23" s="8">
        <v>613</v>
      </c>
      <c r="K23" s="8">
        <v>641</v>
      </c>
      <c r="L23" s="8">
        <v>551</v>
      </c>
      <c r="M23" s="8">
        <v>606</v>
      </c>
      <c r="N23" s="8">
        <v>639</v>
      </c>
      <c r="O23" s="8">
        <v>132</v>
      </c>
      <c r="P23" s="8"/>
      <c r="Q23" s="8"/>
      <c r="R23" s="8"/>
      <c r="S23" s="8"/>
      <c r="T23" s="8"/>
      <c r="U23" s="8"/>
      <c r="V23" s="8">
        <f>SUM(J23:U23)</f>
        <v>3182</v>
      </c>
      <c r="W23" s="9">
        <f>V23/H23</f>
        <v>530.33333333333337</v>
      </c>
      <c r="X23" s="59" t="str">
        <f>IF(W23&gt;=2000,"&gt; 2000",IF(W23&gt;=1500,"&gt; 1500",IF(W23&gt;=900,"&gt; 900",IF(W23&gt;=600,"&gt; 600",IF(W23&gt;=450,"&gt; 450",IF(W23&gt;=300,"&gt; 300",IF(W23&gt;=150,"&gt; 150",IF(W23&lt;150,"&lt; 150",IF(W23&lt;1,"Nill")))))))))</f>
        <v>&gt; 450</v>
      </c>
    </row>
    <row r="24" spans="1:24" x14ac:dyDescent="0.3">
      <c r="A24" s="4" t="str">
        <f>VLOOKUP(G24,Data!$A:$G,2,0)</f>
        <v>Chandi Charan Mahato</v>
      </c>
      <c r="B24" s="4" t="str">
        <f>VLOOKUP(G24,Data!$A:$G,3,0)</f>
        <v>Active</v>
      </c>
      <c r="C24" s="4" t="str">
        <f>VLOOKUP(G24,Data!$A:$G,4,0)</f>
        <v>Durgapur</v>
      </c>
      <c r="D24" s="4" t="str">
        <f>VLOOKUP(G24,Data!$A:$G,5,0)</f>
        <v>Jhantipahari</v>
      </c>
      <c r="E24" s="4" t="str">
        <f>VLOOKUP(G24,Data!$A:$G,6,0)</f>
        <v>Asish Kumar Mandal</v>
      </c>
      <c r="F24" s="10" t="str">
        <f>VLOOKUP(G24,Data!$A:$G,7,0)</f>
        <v>2160314962</v>
      </c>
      <c r="G24" s="5">
        <v>27220</v>
      </c>
      <c r="H24" s="7">
        <f>COUNT(J24:U24)</f>
        <v>6</v>
      </c>
      <c r="I24" s="7">
        <f>H24*300</f>
        <v>1800</v>
      </c>
      <c r="J24" s="8">
        <v>485</v>
      </c>
      <c r="K24" s="8">
        <v>539</v>
      </c>
      <c r="L24" s="8">
        <v>488</v>
      </c>
      <c r="M24" s="8">
        <v>525</v>
      </c>
      <c r="N24" s="8">
        <v>498</v>
      </c>
      <c r="O24" s="8">
        <v>131</v>
      </c>
      <c r="P24" s="8"/>
      <c r="Q24" s="8"/>
      <c r="R24" s="8"/>
      <c r="S24" s="8"/>
      <c r="T24" s="8"/>
      <c r="U24" s="8"/>
      <c r="V24" s="8">
        <f>SUM(J24:U24)</f>
        <v>2666</v>
      </c>
      <c r="W24" s="9">
        <f>V24/H24</f>
        <v>444.33333333333331</v>
      </c>
      <c r="X24" s="59" t="str">
        <f>IF(W24&gt;=2000,"&gt; 2000",IF(W24&gt;=1500,"&gt; 1500",IF(W24&gt;=900,"&gt; 900",IF(W24&gt;=600,"&gt; 600",IF(W24&gt;=450,"&gt; 450",IF(W24&gt;=300,"&gt; 300",IF(W24&gt;=150,"&gt; 150",IF(W24&lt;150,"&lt; 150",IF(W24&lt;1,"Nill")))))))))</f>
        <v>&gt; 300</v>
      </c>
    </row>
    <row r="25" spans="1:24" x14ac:dyDescent="0.3">
      <c r="A25" s="4" t="str">
        <f>VLOOKUP(G25,Data!$A:$G,2,0)</f>
        <v>Souvik Maity</v>
      </c>
      <c r="B25" s="4" t="str">
        <f>VLOOKUP(G25,Data!$A:$G,3,0)</f>
        <v>Active</v>
      </c>
      <c r="C25" s="4" t="str">
        <f>VLOOKUP(G25,Data!$A:$G,4,0)</f>
        <v>Hooghly</v>
      </c>
      <c r="D25" s="4" t="str">
        <f>VLOOKUP(G25,Data!$A:$G,5,0)</f>
        <v>Kamarpara</v>
      </c>
      <c r="E25" s="4" t="str">
        <f>VLOOKUP(G25,Data!$A:$G,6,0)</f>
        <v>Mithu Ghosh</v>
      </c>
      <c r="F25" s="10" t="str">
        <f>VLOOKUP(G25,Data!$A:$G,7,0)</f>
        <v>3390312440</v>
      </c>
      <c r="G25" s="5">
        <v>23432</v>
      </c>
      <c r="H25" s="7">
        <f>COUNT(J25:U25)</f>
        <v>6</v>
      </c>
      <c r="I25" s="7">
        <f>H25*300</f>
        <v>1800</v>
      </c>
      <c r="J25" s="8">
        <v>661</v>
      </c>
      <c r="K25" s="8">
        <v>414</v>
      </c>
      <c r="L25" s="8">
        <v>584</v>
      </c>
      <c r="M25" s="8">
        <v>581</v>
      </c>
      <c r="N25" s="8">
        <v>607</v>
      </c>
      <c r="O25" s="8">
        <v>119</v>
      </c>
      <c r="P25" s="8"/>
      <c r="Q25" s="8"/>
      <c r="R25" s="8"/>
      <c r="S25" s="8"/>
      <c r="T25" s="8"/>
      <c r="U25" s="8"/>
      <c r="V25" s="8">
        <f>SUM(J25:U25)</f>
        <v>2966</v>
      </c>
      <c r="W25" s="9">
        <f>V25/H25</f>
        <v>494.33333333333331</v>
      </c>
      <c r="X25" s="59" t="str">
        <f>IF(W25&gt;=2000,"&gt; 2000",IF(W25&gt;=1500,"&gt; 1500",IF(W25&gt;=900,"&gt; 900",IF(W25&gt;=600,"&gt; 600",IF(W25&gt;=450,"&gt; 450",IF(W25&gt;=300,"&gt; 300",IF(W25&gt;=150,"&gt; 150",IF(W25&lt;150,"&lt; 150",IF(W25&lt;1,"Nill")))))))))</f>
        <v>&gt; 450</v>
      </c>
    </row>
    <row r="26" spans="1:24" x14ac:dyDescent="0.3">
      <c r="A26" s="4" t="str">
        <f>VLOOKUP(G26,Data!$A:$G,2,0)</f>
        <v>Souvik Maity</v>
      </c>
      <c r="B26" s="4" t="str">
        <f>VLOOKUP(G26,Data!$A:$G,3,0)</f>
        <v>Active</v>
      </c>
      <c r="C26" s="4" t="str">
        <f>VLOOKUP(G26,Data!$A:$G,4,0)</f>
        <v>Hooghly</v>
      </c>
      <c r="D26" s="4" t="str">
        <f>VLOOKUP(G26,Data!$A:$G,5,0)</f>
        <v>Haripal</v>
      </c>
      <c r="E26" s="4" t="str">
        <f>VLOOKUP(G26,Data!$A:$G,6,0)</f>
        <v>Sk Nasim Ali</v>
      </c>
      <c r="F26" s="10" t="str">
        <f>VLOOKUP(G26,Data!$A:$G,7,0)</f>
        <v>3390312613</v>
      </c>
      <c r="G26" s="5">
        <v>23669</v>
      </c>
      <c r="H26" s="7">
        <f>COUNT(J26:U26)</f>
        <v>6</v>
      </c>
      <c r="I26" s="7">
        <f>H26*300</f>
        <v>1800</v>
      </c>
      <c r="J26" s="8">
        <v>728</v>
      </c>
      <c r="K26" s="8">
        <v>589</v>
      </c>
      <c r="L26" s="8">
        <v>525</v>
      </c>
      <c r="M26" s="8">
        <v>640</v>
      </c>
      <c r="N26" s="8">
        <v>756</v>
      </c>
      <c r="O26" s="8">
        <v>113</v>
      </c>
      <c r="P26" s="8"/>
      <c r="Q26" s="8"/>
      <c r="R26" s="8"/>
      <c r="S26" s="8"/>
      <c r="T26" s="8"/>
      <c r="U26" s="8"/>
      <c r="V26" s="8">
        <f>SUM(J26:U26)</f>
        <v>3351</v>
      </c>
      <c r="W26" s="9">
        <f>V26/H26</f>
        <v>558.5</v>
      </c>
      <c r="X26" s="59" t="str">
        <f>IF(W26&gt;=2000,"&gt; 2000",IF(W26&gt;=1500,"&gt; 1500",IF(W26&gt;=900,"&gt; 900",IF(W26&gt;=600,"&gt; 600",IF(W26&gt;=450,"&gt; 450",IF(W26&gt;=300,"&gt; 300",IF(W26&gt;=150,"&gt; 150",IF(W26&lt;150,"&lt; 150",IF(W26&lt;1,"Nill")))))))))</f>
        <v>&gt; 450</v>
      </c>
    </row>
    <row r="27" spans="1:24" x14ac:dyDescent="0.3">
      <c r="A27" s="4" t="str">
        <f>VLOOKUP(G27,Data!$A:$G,2,0)</f>
        <v>Chandi Charan Mahato</v>
      </c>
      <c r="B27" s="4" t="str">
        <f>VLOOKUP(G27,Data!$A:$G,3,0)</f>
        <v>Active</v>
      </c>
      <c r="C27" s="4" t="str">
        <f>VLOOKUP(G27,Data!$A:$G,4,0)</f>
        <v>Durgapur</v>
      </c>
      <c r="D27" s="4" t="str">
        <f>VLOOKUP(G27,Data!$A:$G,5,0)</f>
        <v>Anara</v>
      </c>
      <c r="E27" s="4" t="str">
        <f>VLOOKUP(G27,Data!$A:$G,6,0)</f>
        <v>Biswajit Majee</v>
      </c>
      <c r="F27" s="10" t="str">
        <f>VLOOKUP(G27,Data!$A:$G,7,0)</f>
        <v>2460314961</v>
      </c>
      <c r="G27" s="5">
        <v>27219</v>
      </c>
      <c r="H27" s="7">
        <f>COUNT(J27:U27)</f>
        <v>6</v>
      </c>
      <c r="I27" s="7">
        <f>H27*300</f>
        <v>1800</v>
      </c>
      <c r="J27" s="8">
        <v>444</v>
      </c>
      <c r="K27" s="8">
        <v>700</v>
      </c>
      <c r="L27" s="8">
        <v>415</v>
      </c>
      <c r="M27" s="8">
        <v>451</v>
      </c>
      <c r="N27" s="8">
        <v>525</v>
      </c>
      <c r="O27" s="8">
        <v>99</v>
      </c>
      <c r="P27" s="8"/>
      <c r="Q27" s="8"/>
      <c r="R27" s="8"/>
      <c r="S27" s="8"/>
      <c r="T27" s="8"/>
      <c r="U27" s="8"/>
      <c r="V27" s="8">
        <f>SUM(J27:U27)</f>
        <v>2634</v>
      </c>
      <c r="W27" s="9">
        <f>V27/H27</f>
        <v>439</v>
      </c>
      <c r="X27" s="59" t="str">
        <f>IF(W27&gt;=2000,"&gt; 2000",IF(W27&gt;=1500,"&gt; 1500",IF(W27&gt;=900,"&gt; 900",IF(W27&gt;=600,"&gt; 600",IF(W27&gt;=450,"&gt; 450",IF(W27&gt;=300,"&gt; 300",IF(W27&gt;=150,"&gt; 150",IF(W27&lt;150,"&lt; 150",IF(W27&lt;1,"Nill")))))))))</f>
        <v>&gt; 300</v>
      </c>
    </row>
    <row r="28" spans="1:24" x14ac:dyDescent="0.3">
      <c r="A28" s="4" t="str">
        <f>VLOOKUP(G28,Data!$A:$G,2,0)</f>
        <v>Souvik Maity</v>
      </c>
      <c r="B28" s="4" t="str">
        <f>VLOOKUP(G28,Data!$A:$G,3,0)</f>
        <v>Active</v>
      </c>
      <c r="C28" s="4" t="str">
        <f>VLOOKUP(G28,Data!$A:$G,4,0)</f>
        <v>Hooghly</v>
      </c>
      <c r="D28" s="4" t="str">
        <f>VLOOKUP(G28,Data!$A:$G,5,0)</f>
        <v>Khanakul</v>
      </c>
      <c r="E28" s="4" t="str">
        <f>VLOOKUP(G28,Data!$A:$G,6,0)</f>
        <v>Susobhan Patra</v>
      </c>
      <c r="F28" s="10" t="str">
        <f>VLOOKUP(G28,Data!$A:$G,7,0)</f>
        <v>3390312968</v>
      </c>
      <c r="G28" s="5">
        <v>24153</v>
      </c>
      <c r="H28" s="7">
        <f>COUNT(J28:U28)</f>
        <v>6</v>
      </c>
      <c r="I28" s="7">
        <f>H28*300</f>
        <v>1800</v>
      </c>
      <c r="J28" s="8">
        <v>779</v>
      </c>
      <c r="K28" s="8">
        <v>615</v>
      </c>
      <c r="L28" s="8">
        <v>518</v>
      </c>
      <c r="M28" s="8">
        <v>686</v>
      </c>
      <c r="N28" s="8">
        <v>877</v>
      </c>
      <c r="O28" s="8">
        <v>98</v>
      </c>
      <c r="P28" s="8"/>
      <c r="Q28" s="8"/>
      <c r="R28" s="8"/>
      <c r="S28" s="8"/>
      <c r="T28" s="8"/>
      <c r="U28" s="8"/>
      <c r="V28" s="8">
        <f>SUM(J28:U28)</f>
        <v>3573</v>
      </c>
      <c r="W28" s="9">
        <f>V28/H28</f>
        <v>595.5</v>
      </c>
      <c r="X28" s="59" t="str">
        <f>IF(W28&gt;=2000,"&gt; 2000",IF(W28&gt;=1500,"&gt; 1500",IF(W28&gt;=900,"&gt; 900",IF(W28&gt;=600,"&gt; 600",IF(W28&gt;=450,"&gt; 450",IF(W28&gt;=300,"&gt; 300",IF(W28&gt;=150,"&gt; 150",IF(W28&lt;150,"&lt; 150",IF(W28&lt;1,"Nill")))))))))</f>
        <v>&gt; 450</v>
      </c>
    </row>
    <row r="29" spans="1:24" x14ac:dyDescent="0.3">
      <c r="A29" s="4" t="str">
        <f>VLOOKUP(G29,Data!$A:$G,2,0)</f>
        <v>Souvik Maity</v>
      </c>
      <c r="B29" s="4" t="str">
        <f>VLOOKUP(G29,Data!$A:$G,3,0)</f>
        <v>Active</v>
      </c>
      <c r="C29" s="4" t="str">
        <f>VLOOKUP(G29,Data!$A:$G,4,0)</f>
        <v>Hooghly</v>
      </c>
      <c r="D29" s="4" t="str">
        <f>VLOOKUP(G29,Data!$A:$G,5,0)</f>
        <v>Khanakul</v>
      </c>
      <c r="E29" s="4" t="str">
        <f>VLOOKUP(G29,Data!$A:$G,6,0)</f>
        <v>Sahanaj Parvin</v>
      </c>
      <c r="F29" s="10" t="str">
        <f>VLOOKUP(G29,Data!$A:$G,7,0)</f>
        <v>3390312801</v>
      </c>
      <c r="G29" s="5">
        <v>23969</v>
      </c>
      <c r="H29" s="7">
        <f>COUNT(J29:U29)</f>
        <v>6</v>
      </c>
      <c r="I29" s="7">
        <f>H29*300</f>
        <v>1800</v>
      </c>
      <c r="J29" s="8">
        <v>613</v>
      </c>
      <c r="K29" s="8">
        <v>505</v>
      </c>
      <c r="L29" s="8">
        <v>399</v>
      </c>
      <c r="M29" s="8">
        <v>602</v>
      </c>
      <c r="N29" s="8">
        <v>643</v>
      </c>
      <c r="O29" s="8">
        <v>98</v>
      </c>
      <c r="P29" s="8"/>
      <c r="Q29" s="8"/>
      <c r="R29" s="8"/>
      <c r="S29" s="8"/>
      <c r="T29" s="8"/>
      <c r="U29" s="8"/>
      <c r="V29" s="8">
        <f>SUM(J29:U29)</f>
        <v>2860</v>
      </c>
      <c r="W29" s="9">
        <f>V29/H29</f>
        <v>476.66666666666669</v>
      </c>
      <c r="X29" s="59" t="str">
        <f>IF(W29&gt;=2000,"&gt; 2000",IF(W29&gt;=1500,"&gt; 1500",IF(W29&gt;=900,"&gt; 900",IF(W29&gt;=600,"&gt; 600",IF(W29&gt;=450,"&gt; 450",IF(W29&gt;=300,"&gt; 300",IF(W29&gt;=150,"&gt; 150",IF(W29&lt;150,"&lt; 150",IF(W29&lt;1,"Nill")))))))))</f>
        <v>&gt; 450</v>
      </c>
    </row>
    <row r="30" spans="1:24" x14ac:dyDescent="0.3">
      <c r="A30" s="4" t="str">
        <f>VLOOKUP(G30,Data!$A:$G,2,0)</f>
        <v>Santanu Bera</v>
      </c>
      <c r="B30" s="4" t="str">
        <f>VLOOKUP(G30,Data!$A:$G,3,0)</f>
        <v>Active</v>
      </c>
      <c r="C30" s="4" t="str">
        <f>VLOOKUP(G30,Data!$A:$G,4,0)</f>
        <v>Hooghly</v>
      </c>
      <c r="D30" s="4" t="str">
        <f>VLOOKUP(G30,Data!$A:$G,5,0)</f>
        <v>Panskura</v>
      </c>
      <c r="E30" s="4" t="str">
        <f>VLOOKUP(G30,Data!$A:$G,6,0)</f>
        <v>Kartik Maity</v>
      </c>
      <c r="F30" s="10" t="str">
        <f>VLOOKUP(G30,Data!$A:$G,7,0)</f>
        <v>2380311666</v>
      </c>
      <c r="G30" s="5">
        <v>22404</v>
      </c>
      <c r="H30" s="7">
        <f>COUNT(J30:U30)</f>
        <v>6</v>
      </c>
      <c r="I30" s="7">
        <f>H30*300</f>
        <v>1800</v>
      </c>
      <c r="J30" s="8">
        <v>643</v>
      </c>
      <c r="K30" s="8">
        <v>688</v>
      </c>
      <c r="L30" s="8">
        <v>489</v>
      </c>
      <c r="M30" s="8">
        <v>786</v>
      </c>
      <c r="N30" s="8">
        <v>654</v>
      </c>
      <c r="O30" s="8">
        <v>97</v>
      </c>
      <c r="P30" s="8"/>
      <c r="Q30" s="8"/>
      <c r="R30" s="8"/>
      <c r="S30" s="8"/>
      <c r="T30" s="8"/>
      <c r="U30" s="8"/>
      <c r="V30" s="8">
        <f>SUM(J30:U30)</f>
        <v>3357</v>
      </c>
      <c r="W30" s="9">
        <f>V30/H30</f>
        <v>559.5</v>
      </c>
      <c r="X30" s="59" t="str">
        <f>IF(W30&gt;=2000,"&gt; 2000",IF(W30&gt;=1500,"&gt; 1500",IF(W30&gt;=900,"&gt; 900",IF(W30&gt;=600,"&gt; 600",IF(W30&gt;=450,"&gt; 450",IF(W30&gt;=300,"&gt; 300",IF(W30&gt;=150,"&gt; 150",IF(W30&lt;150,"&lt; 150",IF(W30&lt;1,"Nill")))))))))</f>
        <v>&gt; 450</v>
      </c>
    </row>
    <row r="31" spans="1:24" x14ac:dyDescent="0.3">
      <c r="A31" s="4" t="str">
        <f>VLOOKUP(G31,Data!$A:$G,2,0)</f>
        <v>Souvik Maity</v>
      </c>
      <c r="B31" s="4" t="str">
        <f>VLOOKUP(G31,Data!$A:$G,3,0)</f>
        <v>Active</v>
      </c>
      <c r="C31" s="4" t="str">
        <f>VLOOKUP(G31,Data!$A:$G,4,0)</f>
        <v>Hooghly</v>
      </c>
      <c r="D31" s="4" t="str">
        <f>VLOOKUP(G31,Data!$A:$G,5,0)</f>
        <v>Rajbalhat</v>
      </c>
      <c r="E31" s="4" t="str">
        <f>VLOOKUP(G31,Data!$A:$G,6,0)</f>
        <v>Dibyendu Bhowmick</v>
      </c>
      <c r="F31" s="10" t="str">
        <f>VLOOKUP(G31,Data!$A:$G,7,0)</f>
        <v>3390314186</v>
      </c>
      <c r="G31" s="5">
        <v>26015</v>
      </c>
      <c r="H31" s="7">
        <f>COUNT(J31:U31)</f>
        <v>6</v>
      </c>
      <c r="I31" s="7">
        <f>H31*300</f>
        <v>1800</v>
      </c>
      <c r="J31" s="8">
        <v>495</v>
      </c>
      <c r="K31" s="8">
        <v>445</v>
      </c>
      <c r="L31" s="8">
        <v>559</v>
      </c>
      <c r="M31" s="8">
        <v>560</v>
      </c>
      <c r="N31" s="8">
        <v>598</v>
      </c>
      <c r="O31" s="8">
        <v>97</v>
      </c>
      <c r="P31" s="8"/>
      <c r="Q31" s="8"/>
      <c r="R31" s="8"/>
      <c r="S31" s="8"/>
      <c r="T31" s="8"/>
      <c r="U31" s="8"/>
      <c r="V31" s="8">
        <f>SUM(J31:U31)</f>
        <v>2754</v>
      </c>
      <c r="W31" s="9">
        <f>V31/H31</f>
        <v>459</v>
      </c>
      <c r="X31" s="59" t="str">
        <f>IF(W31&gt;=2000,"&gt; 2000",IF(W31&gt;=1500,"&gt; 1500",IF(W31&gt;=900,"&gt; 900",IF(W31&gt;=600,"&gt; 600",IF(W31&gt;=450,"&gt; 450",IF(W31&gt;=300,"&gt; 300",IF(W31&gt;=150,"&gt; 150",IF(W31&lt;150,"&lt; 150",IF(W31&lt;1,"Nill")))))))))</f>
        <v>&gt; 450</v>
      </c>
    </row>
    <row r="32" spans="1:24" x14ac:dyDescent="0.3">
      <c r="A32" s="4" t="str">
        <f>VLOOKUP(G32,Data!$A:$G,2,0)</f>
        <v>Rajiul Momin</v>
      </c>
      <c r="B32" s="4" t="str">
        <f>VLOOKUP(G32,Data!$A:$G,3,0)</f>
        <v>Active</v>
      </c>
      <c r="C32" s="4" t="str">
        <f>VLOOKUP(G32,Data!$A:$G,4,0)</f>
        <v>Siliguri</v>
      </c>
      <c r="D32" s="4" t="str">
        <f>VLOOKUP(G32,Data!$A:$G,5,0)</f>
        <v>Inyathpur</v>
      </c>
      <c r="E32" s="4" t="str">
        <f>VLOOKUP(G32,Data!$A:$G,6,0)</f>
        <v>Tumpa Poddar</v>
      </c>
      <c r="F32" s="10" t="str">
        <f>VLOOKUP(G32,Data!$A:$G,7,0)</f>
        <v>2370312246</v>
      </c>
      <c r="G32" s="5">
        <v>23178</v>
      </c>
      <c r="H32" s="7">
        <f>COUNT(J32:U32)</f>
        <v>6</v>
      </c>
      <c r="I32" s="7">
        <f>H32*300</f>
        <v>1800</v>
      </c>
      <c r="J32" s="8">
        <v>650</v>
      </c>
      <c r="K32" s="8">
        <v>519</v>
      </c>
      <c r="L32" s="8">
        <v>583</v>
      </c>
      <c r="M32" s="8">
        <v>686</v>
      </c>
      <c r="N32" s="8">
        <v>664</v>
      </c>
      <c r="O32" s="8">
        <v>88</v>
      </c>
      <c r="P32" s="8"/>
      <c r="Q32" s="8"/>
      <c r="R32" s="8"/>
      <c r="S32" s="8"/>
      <c r="T32" s="8"/>
      <c r="U32" s="8"/>
      <c r="V32" s="8">
        <f>SUM(J32:U32)</f>
        <v>3190</v>
      </c>
      <c r="W32" s="9">
        <f>V32/H32</f>
        <v>531.66666666666663</v>
      </c>
      <c r="X32" s="59" t="str">
        <f>IF(W32&gt;=2000,"&gt; 2000",IF(W32&gt;=1500,"&gt; 1500",IF(W32&gt;=900,"&gt; 900",IF(W32&gt;=600,"&gt; 600",IF(W32&gt;=450,"&gt; 450",IF(W32&gt;=300,"&gt; 300",IF(W32&gt;=150,"&gt; 150",IF(W32&lt;150,"&lt; 150",IF(W32&lt;1,"Nill")))))))))</f>
        <v>&gt; 450</v>
      </c>
    </row>
    <row r="33" spans="1:24" x14ac:dyDescent="0.3">
      <c r="A33" s="4" t="str">
        <f>VLOOKUP(G33,Data!$A:$G,2,0)</f>
        <v>Under Office (W Medinipur)</v>
      </c>
      <c r="B33" s="4" t="str">
        <f>VLOOKUP(G33,Data!$A:$G,3,0)</f>
        <v>Active</v>
      </c>
      <c r="C33" s="4" t="str">
        <f>VLOOKUP(G33,Data!$A:$G,4,0)</f>
        <v>Hooghly</v>
      </c>
      <c r="D33" s="4" t="str">
        <f>VLOOKUP(G33,Data!$A:$G,5,0)</f>
        <v>Ramjibanpur</v>
      </c>
      <c r="E33" s="4" t="str">
        <f>VLOOKUP(G33,Data!$A:$G,6,0)</f>
        <v xml:space="preserve">Mahadeb Das </v>
      </c>
      <c r="F33" s="10" t="str">
        <f>VLOOKUP(G33,Data!$A:$G,7,0)</f>
        <v>3390315155</v>
      </c>
      <c r="G33" s="5">
        <v>27629</v>
      </c>
      <c r="H33" s="7">
        <f>COUNT(J33:U33)</f>
        <v>6</v>
      </c>
      <c r="I33" s="7">
        <f>H33*300</f>
        <v>1800</v>
      </c>
      <c r="J33" s="8">
        <v>532</v>
      </c>
      <c r="K33" s="8">
        <v>562</v>
      </c>
      <c r="L33" s="8">
        <v>487</v>
      </c>
      <c r="M33" s="8">
        <v>434</v>
      </c>
      <c r="N33" s="8">
        <v>488</v>
      </c>
      <c r="O33" s="8">
        <v>87</v>
      </c>
      <c r="P33" s="8"/>
      <c r="Q33" s="8"/>
      <c r="R33" s="8"/>
      <c r="S33" s="8"/>
      <c r="T33" s="8"/>
      <c r="U33" s="8"/>
      <c r="V33" s="8">
        <f>SUM(J33:U33)</f>
        <v>2590</v>
      </c>
      <c r="W33" s="9">
        <f>V33/H33</f>
        <v>431.66666666666669</v>
      </c>
      <c r="X33" s="59" t="str">
        <f>IF(W33&gt;=2000,"&gt; 2000",IF(W33&gt;=1500,"&gt; 1500",IF(W33&gt;=900,"&gt; 900",IF(W33&gt;=600,"&gt; 600",IF(W33&gt;=450,"&gt; 450",IF(W33&gt;=300,"&gt; 300",IF(W33&gt;=150,"&gt; 150",IF(W33&lt;150,"&lt; 150",IF(W33&lt;1,"Nill")))))))))</f>
        <v>&gt; 300</v>
      </c>
    </row>
    <row r="34" spans="1:24" x14ac:dyDescent="0.3">
      <c r="A34" s="4" t="str">
        <f>VLOOKUP(G34,Data!$A:$G,2,0)</f>
        <v>Souvik Maity</v>
      </c>
      <c r="B34" s="4" t="str">
        <f>VLOOKUP(G34,Data!$A:$G,3,0)</f>
        <v>Active</v>
      </c>
      <c r="C34" s="4" t="str">
        <f>VLOOKUP(G34,Data!$A:$G,4,0)</f>
        <v>Hooghly</v>
      </c>
      <c r="D34" s="4" t="str">
        <f>VLOOKUP(G34,Data!$A:$G,5,0)</f>
        <v>Kamarpara</v>
      </c>
      <c r="E34" s="4" t="str">
        <f>VLOOKUP(G34,Data!$A:$G,6,0)</f>
        <v>Md Mustakim</v>
      </c>
      <c r="F34" s="10" t="str">
        <f>VLOOKUP(G34,Data!$A:$G,7,0)</f>
        <v>3390312441</v>
      </c>
      <c r="G34" s="5">
        <v>23433</v>
      </c>
      <c r="H34" s="7">
        <f>COUNT(J34:U34)</f>
        <v>6</v>
      </c>
      <c r="I34" s="7">
        <f>H34*300</f>
        <v>1800</v>
      </c>
      <c r="J34" s="8">
        <v>713</v>
      </c>
      <c r="K34" s="8">
        <v>586</v>
      </c>
      <c r="L34" s="8">
        <v>174</v>
      </c>
      <c r="M34" s="8">
        <v>210</v>
      </c>
      <c r="N34" s="8">
        <v>385</v>
      </c>
      <c r="O34" s="8">
        <v>84</v>
      </c>
      <c r="P34" s="8"/>
      <c r="Q34" s="8"/>
      <c r="R34" s="8"/>
      <c r="S34" s="8"/>
      <c r="T34" s="8"/>
      <c r="U34" s="8"/>
      <c r="V34" s="8">
        <f>SUM(J34:U34)</f>
        <v>2152</v>
      </c>
      <c r="W34" s="9">
        <f>V34/H34</f>
        <v>358.66666666666669</v>
      </c>
      <c r="X34" s="59" t="str">
        <f>IF(W34&gt;=2000,"&gt; 2000",IF(W34&gt;=1500,"&gt; 1500",IF(W34&gt;=900,"&gt; 900",IF(W34&gt;=600,"&gt; 600",IF(W34&gt;=450,"&gt; 450",IF(W34&gt;=300,"&gt; 300",IF(W34&gt;=150,"&gt; 150",IF(W34&lt;150,"&lt; 150",IF(W34&lt;1,"Nill")))))))))</f>
        <v>&gt; 300</v>
      </c>
    </row>
    <row r="35" spans="1:24" x14ac:dyDescent="0.3">
      <c r="A35" s="4" t="str">
        <f>VLOOKUP(G35,Data!$A:$G,2,0)</f>
        <v>Souvik Maity</v>
      </c>
      <c r="B35" s="4" t="str">
        <f>VLOOKUP(G35,Data!$A:$G,3,0)</f>
        <v>Active</v>
      </c>
      <c r="C35" s="4" t="str">
        <f>VLOOKUP(G35,Data!$A:$G,4,0)</f>
        <v>Hooghly</v>
      </c>
      <c r="D35" s="4" t="str">
        <f>VLOOKUP(G35,Data!$A:$G,5,0)</f>
        <v>Polba</v>
      </c>
      <c r="E35" s="4" t="str">
        <f>VLOOKUP(G35,Data!$A:$G,6,0)</f>
        <v>Arindam Sadhukhan</v>
      </c>
      <c r="F35" s="10" t="str">
        <f>VLOOKUP(G35,Data!$A:$G,7,0)</f>
        <v>3390315433</v>
      </c>
      <c r="G35" s="5">
        <v>28201</v>
      </c>
      <c r="H35" s="7">
        <f>COUNT(J35:U35)</f>
        <v>6</v>
      </c>
      <c r="I35" s="7">
        <f>H35*300</f>
        <v>1800</v>
      </c>
      <c r="J35" s="8">
        <v>580</v>
      </c>
      <c r="K35" s="8">
        <v>426</v>
      </c>
      <c r="L35" s="8">
        <v>193</v>
      </c>
      <c r="M35" s="8">
        <v>161</v>
      </c>
      <c r="N35" s="8">
        <v>312</v>
      </c>
      <c r="O35" s="8">
        <v>78</v>
      </c>
      <c r="P35" s="8"/>
      <c r="Q35" s="8"/>
      <c r="R35" s="8"/>
      <c r="S35" s="8"/>
      <c r="T35" s="8"/>
      <c r="U35" s="8"/>
      <c r="V35" s="8">
        <f>SUM(J35:U35)</f>
        <v>1750</v>
      </c>
      <c r="W35" s="9">
        <f>V35/H35</f>
        <v>291.66666666666669</v>
      </c>
      <c r="X35" s="59" t="str">
        <f>IF(W35&gt;=2000,"&gt; 2000",IF(W35&gt;=1500,"&gt; 1500",IF(W35&gt;=900,"&gt; 900",IF(W35&gt;=600,"&gt; 600",IF(W35&gt;=450,"&gt; 450",IF(W35&gt;=300,"&gt; 300",IF(W35&gt;=150,"&gt; 150",IF(W35&lt;150,"&lt; 150",IF(W35&lt;1,"Nill")))))))))</f>
        <v>&gt; 150</v>
      </c>
    </row>
    <row r="36" spans="1:24" x14ac:dyDescent="0.3">
      <c r="A36" s="4" t="str">
        <f>VLOOKUP(G36,Data!$A:$G,2,0)</f>
        <v>Under Office (Birbhum)</v>
      </c>
      <c r="B36" s="4" t="str">
        <f>VLOOKUP(G36,Data!$A:$G,3,0)</f>
        <v>Active</v>
      </c>
      <c r="C36" s="4" t="str">
        <f>VLOOKUP(G36,Data!$A:$G,4,0)</f>
        <v>Siliguri</v>
      </c>
      <c r="D36" s="4" t="str">
        <f>VLOOKUP(G36,Data!$A:$G,5,0)</f>
        <v>Kapista</v>
      </c>
      <c r="E36" s="4" t="str">
        <f>VLOOKUP(G36,Data!$A:$G,6,0)</f>
        <v>Swarup Karmakar</v>
      </c>
      <c r="F36" s="10" t="str">
        <f>VLOOKUP(G36,Data!$A:$G,7,0)</f>
        <v>0140311629</v>
      </c>
      <c r="G36" s="5">
        <v>22366</v>
      </c>
      <c r="H36" s="7">
        <f>COUNT(J36:U36)</f>
        <v>6</v>
      </c>
      <c r="I36" s="7">
        <f>H36*300</f>
        <v>1800</v>
      </c>
      <c r="J36" s="8">
        <v>338</v>
      </c>
      <c r="K36" s="8">
        <v>371</v>
      </c>
      <c r="L36" s="8">
        <v>313</v>
      </c>
      <c r="M36" s="8">
        <v>330</v>
      </c>
      <c r="N36" s="8">
        <v>444</v>
      </c>
      <c r="O36" s="8">
        <v>77</v>
      </c>
      <c r="P36" s="8"/>
      <c r="Q36" s="8"/>
      <c r="R36" s="8"/>
      <c r="S36" s="8"/>
      <c r="T36" s="8"/>
      <c r="U36" s="8"/>
      <c r="V36" s="8">
        <f>SUM(J36:U36)</f>
        <v>1873</v>
      </c>
      <c r="W36" s="9">
        <f>V36/H36</f>
        <v>312.16666666666669</v>
      </c>
      <c r="X36" s="59" t="str">
        <f>IF(W36&gt;=2000,"&gt; 2000",IF(W36&gt;=1500,"&gt; 1500",IF(W36&gt;=900,"&gt; 900",IF(W36&gt;=600,"&gt; 600",IF(W36&gt;=450,"&gt; 450",IF(W36&gt;=300,"&gt; 300",IF(W36&gt;=150,"&gt; 150",IF(W36&lt;150,"&lt; 150",IF(W36&lt;1,"Nill")))))))))</f>
        <v>&gt; 300</v>
      </c>
    </row>
    <row r="37" spans="1:24" x14ac:dyDescent="0.3">
      <c r="A37" s="4" t="str">
        <f>VLOOKUP(G37,Data!$A:$G,2,0)</f>
        <v>Under Office (W Medinipur)</v>
      </c>
      <c r="B37" s="4" t="str">
        <f>VLOOKUP(G37,Data!$A:$G,3,0)</f>
        <v>Active</v>
      </c>
      <c r="C37" s="4" t="str">
        <f>VLOOKUP(G37,Data!$A:$G,4,0)</f>
        <v>Hooghly</v>
      </c>
      <c r="D37" s="4" t="str">
        <f>VLOOKUP(G37,Data!$A:$G,5,0)</f>
        <v>Chandrakona</v>
      </c>
      <c r="E37" s="4" t="str">
        <f>VLOOKUP(G37,Data!$A:$G,6,0)</f>
        <v>Mani Dhara</v>
      </c>
      <c r="F37" s="10" t="str">
        <f>VLOOKUP(G37,Data!$A:$G,7,0)</f>
        <v>2390313180</v>
      </c>
      <c r="G37" s="5">
        <v>24494</v>
      </c>
      <c r="H37" s="7">
        <f>COUNT(J37:U37)</f>
        <v>6</v>
      </c>
      <c r="I37" s="7">
        <f>H37*300</f>
        <v>1800</v>
      </c>
      <c r="J37" s="8">
        <v>427</v>
      </c>
      <c r="K37" s="8">
        <v>323</v>
      </c>
      <c r="L37" s="8">
        <v>353</v>
      </c>
      <c r="M37" s="8">
        <v>370</v>
      </c>
      <c r="N37" s="8">
        <v>463</v>
      </c>
      <c r="O37" s="8">
        <v>76</v>
      </c>
      <c r="P37" s="8"/>
      <c r="Q37" s="8"/>
      <c r="R37" s="8"/>
      <c r="S37" s="8"/>
      <c r="T37" s="8"/>
      <c r="U37" s="8"/>
      <c r="V37" s="8">
        <f>SUM(J37:U37)</f>
        <v>2012</v>
      </c>
      <c r="W37" s="9">
        <f>V37/H37</f>
        <v>335.33333333333331</v>
      </c>
      <c r="X37" s="59" t="str">
        <f>IF(W37&gt;=2000,"&gt; 2000",IF(W37&gt;=1500,"&gt; 1500",IF(W37&gt;=900,"&gt; 900",IF(W37&gt;=600,"&gt; 600",IF(W37&gt;=450,"&gt; 450",IF(W37&gt;=300,"&gt; 300",IF(W37&gt;=150,"&gt; 150",IF(W37&lt;150,"&lt; 150",IF(W37&lt;1,"Nill")))))))))</f>
        <v>&gt; 300</v>
      </c>
    </row>
    <row r="38" spans="1:24" x14ac:dyDescent="0.3">
      <c r="A38" s="4" t="str">
        <f>VLOOKUP(G38,Data!$A:$G,2,0)</f>
        <v>Souvik Maity</v>
      </c>
      <c r="B38" s="4" t="str">
        <f>VLOOKUP(G38,Data!$A:$G,3,0)</f>
        <v>Active</v>
      </c>
      <c r="C38" s="4" t="str">
        <f>VLOOKUP(G38,Data!$A:$G,4,0)</f>
        <v>Hooghly</v>
      </c>
      <c r="D38" s="4" t="str">
        <f>VLOOKUP(G38,Data!$A:$G,5,0)</f>
        <v>Kalipur</v>
      </c>
      <c r="E38" s="4" t="str">
        <f>VLOOKUP(G38,Data!$A:$G,6,0)</f>
        <v>Satyajit Chattopadhyay</v>
      </c>
      <c r="F38" s="10" t="str">
        <f>VLOOKUP(G38,Data!$A:$G,7,0)</f>
        <v>3390311422</v>
      </c>
      <c r="G38" s="5">
        <v>22128</v>
      </c>
      <c r="H38" s="7">
        <f>COUNT(J38:U38)</f>
        <v>6</v>
      </c>
      <c r="I38" s="7">
        <f>H38*300</f>
        <v>1800</v>
      </c>
      <c r="J38" s="8">
        <v>686</v>
      </c>
      <c r="K38" s="8">
        <v>655</v>
      </c>
      <c r="L38" s="8">
        <v>460</v>
      </c>
      <c r="M38" s="8">
        <v>533</v>
      </c>
      <c r="N38" s="8">
        <v>521</v>
      </c>
      <c r="O38" s="8">
        <v>75</v>
      </c>
      <c r="P38" s="8"/>
      <c r="Q38" s="8"/>
      <c r="R38" s="8"/>
      <c r="S38" s="8"/>
      <c r="T38" s="8"/>
      <c r="U38" s="8"/>
      <c r="V38" s="8">
        <f>SUM(J38:U38)</f>
        <v>2930</v>
      </c>
      <c r="W38" s="9">
        <f>V38/H38</f>
        <v>488.33333333333331</v>
      </c>
      <c r="X38" s="59" t="str">
        <f>IF(W38&gt;=2000,"&gt; 2000",IF(W38&gt;=1500,"&gt; 1500",IF(W38&gt;=900,"&gt; 900",IF(W38&gt;=600,"&gt; 600",IF(W38&gt;=450,"&gt; 450",IF(W38&gt;=300,"&gt; 300",IF(W38&gt;=150,"&gt; 150",IF(W38&lt;150,"&lt; 150",IF(W38&lt;1,"Nill")))))))))</f>
        <v>&gt; 450</v>
      </c>
    </row>
    <row r="39" spans="1:24" x14ac:dyDescent="0.3">
      <c r="A39" s="4" t="str">
        <f>VLOOKUP(G39,Data!$A:$G,2,0)</f>
        <v>Under Office (W Medinipur)</v>
      </c>
      <c r="B39" s="4" t="str">
        <f>VLOOKUP(G39,Data!$A:$G,3,0)</f>
        <v>Active</v>
      </c>
      <c r="C39" s="4" t="str">
        <f>VLOOKUP(G39,Data!$A:$G,4,0)</f>
        <v>Hooghly</v>
      </c>
      <c r="D39" s="4" t="str">
        <f>VLOOKUP(G39,Data!$A:$G,5,0)</f>
        <v>Chandrakona</v>
      </c>
      <c r="E39" s="4" t="str">
        <f>VLOOKUP(G39,Data!$A:$G,6,0)</f>
        <v>Ananya Maity Bag</v>
      </c>
      <c r="F39" s="10" t="str">
        <f>VLOOKUP(G39,Data!$A:$G,7,0)</f>
        <v>2390313181</v>
      </c>
      <c r="G39" s="5">
        <v>24495</v>
      </c>
      <c r="H39" s="7">
        <f>COUNT(J39:U39)</f>
        <v>6</v>
      </c>
      <c r="I39" s="7">
        <f>H39*300</f>
        <v>1800</v>
      </c>
      <c r="J39" s="8">
        <v>414</v>
      </c>
      <c r="K39" s="8">
        <v>321</v>
      </c>
      <c r="L39" s="8">
        <v>365</v>
      </c>
      <c r="M39" s="8">
        <v>380</v>
      </c>
      <c r="N39" s="8">
        <v>500</v>
      </c>
      <c r="O39" s="8">
        <v>72</v>
      </c>
      <c r="P39" s="8"/>
      <c r="Q39" s="8"/>
      <c r="R39" s="8"/>
      <c r="S39" s="8"/>
      <c r="T39" s="8"/>
      <c r="U39" s="8"/>
      <c r="V39" s="8">
        <f>SUM(J39:U39)</f>
        <v>2052</v>
      </c>
      <c r="W39" s="9">
        <f>V39/H39</f>
        <v>342</v>
      </c>
      <c r="X39" s="59" t="str">
        <f>IF(W39&gt;=2000,"&gt; 2000",IF(W39&gt;=1500,"&gt; 1500",IF(W39&gt;=900,"&gt; 900",IF(W39&gt;=600,"&gt; 600",IF(W39&gt;=450,"&gt; 450",IF(W39&gt;=300,"&gt; 300",IF(W39&gt;=150,"&gt; 150",IF(W39&lt;150,"&lt; 150",IF(W39&lt;1,"Nill")))))))))</f>
        <v>&gt; 300</v>
      </c>
    </row>
    <row r="40" spans="1:24" x14ac:dyDescent="0.3">
      <c r="A40" s="4" t="str">
        <f>VLOOKUP(G40,Data!$A:$G,2,0)</f>
        <v>Sunil Biswas</v>
      </c>
      <c r="B40" s="4" t="str">
        <f>VLOOKUP(G40,Data!$A:$G,3,0)</f>
        <v>Active</v>
      </c>
      <c r="C40" s="4" t="str">
        <f>VLOOKUP(G40,Data!$A:$G,4,0)</f>
        <v>Durgapur</v>
      </c>
      <c r="D40" s="4" t="str">
        <f>VLOOKUP(G40,Data!$A:$G,5,0)</f>
        <v>Badkulla</v>
      </c>
      <c r="E40" s="4" t="str">
        <f>VLOOKUP(G40,Data!$A:$G,6,0)</f>
        <v>Swapan Kumar Biswas</v>
      </c>
      <c r="F40" s="10" t="str">
        <f>VLOOKUP(G40,Data!$A:$G,7,0)</f>
        <v>2430315186</v>
      </c>
      <c r="G40" s="5">
        <v>27732</v>
      </c>
      <c r="H40" s="7">
        <f>COUNT(J40:U40)</f>
        <v>6</v>
      </c>
      <c r="I40" s="7">
        <f>H40*300</f>
        <v>1800</v>
      </c>
      <c r="J40" s="8">
        <v>266</v>
      </c>
      <c r="K40" s="8">
        <v>259</v>
      </c>
      <c r="L40" s="8">
        <v>315</v>
      </c>
      <c r="M40" s="8">
        <v>271</v>
      </c>
      <c r="N40" s="8">
        <v>258</v>
      </c>
      <c r="O40" s="8">
        <v>70</v>
      </c>
      <c r="P40" s="8"/>
      <c r="Q40" s="8"/>
      <c r="R40" s="8"/>
      <c r="S40" s="8"/>
      <c r="T40" s="8"/>
      <c r="U40" s="8"/>
      <c r="V40" s="8">
        <f>SUM(J40:U40)</f>
        <v>1439</v>
      </c>
      <c r="W40" s="9">
        <f>V40/H40</f>
        <v>239.83333333333334</v>
      </c>
      <c r="X40" s="59" t="str">
        <f>IF(W40&gt;=2000,"&gt; 2000",IF(W40&gt;=1500,"&gt; 1500",IF(W40&gt;=900,"&gt; 900",IF(W40&gt;=600,"&gt; 600",IF(W40&gt;=450,"&gt; 450",IF(W40&gt;=300,"&gt; 300",IF(W40&gt;=150,"&gt; 150",IF(W40&lt;150,"&lt; 150",IF(W40&lt;1,"Nill")))))))))</f>
        <v>&gt; 150</v>
      </c>
    </row>
    <row r="41" spans="1:24" x14ac:dyDescent="0.3">
      <c r="A41" s="4" t="str">
        <f>VLOOKUP(G41,Data!$A:$G,2,0)</f>
        <v>Under Office (W Medinipur)</v>
      </c>
      <c r="B41" s="4" t="str">
        <f>VLOOKUP(G41,Data!$A:$G,3,0)</f>
        <v>Active</v>
      </c>
      <c r="C41" s="4" t="str">
        <f>VLOOKUP(G41,Data!$A:$G,4,0)</f>
        <v>Hooghly</v>
      </c>
      <c r="D41" s="4" t="str">
        <f>VLOOKUP(G41,Data!$A:$G,5,0)</f>
        <v>Khirpai</v>
      </c>
      <c r="E41" s="4" t="str">
        <f>VLOOKUP(G41,Data!$A:$G,6,0)</f>
        <v>Reshma Khatun</v>
      </c>
      <c r="F41" s="10" t="str">
        <f>VLOOKUP(G41,Data!$A:$G,7,0)</f>
        <v>2390314453</v>
      </c>
      <c r="G41" s="5">
        <v>26501</v>
      </c>
      <c r="H41" s="7">
        <f>COUNT(J41:U41)</f>
        <v>6</v>
      </c>
      <c r="I41" s="7">
        <f>H41*300</f>
        <v>1800</v>
      </c>
      <c r="J41" s="8">
        <v>513</v>
      </c>
      <c r="K41" s="8">
        <v>563</v>
      </c>
      <c r="L41" s="8">
        <v>528</v>
      </c>
      <c r="M41" s="8">
        <v>549</v>
      </c>
      <c r="N41" s="8">
        <v>678</v>
      </c>
      <c r="O41" s="8">
        <v>69</v>
      </c>
      <c r="P41" s="8"/>
      <c r="Q41" s="8"/>
      <c r="R41" s="8"/>
      <c r="S41" s="8"/>
      <c r="T41" s="8"/>
      <c r="U41" s="8"/>
      <c r="V41" s="8">
        <f>SUM(J41:U41)</f>
        <v>2900</v>
      </c>
      <c r="W41" s="9">
        <f>V41/H41</f>
        <v>483.33333333333331</v>
      </c>
      <c r="X41" s="59" t="str">
        <f>IF(W41&gt;=2000,"&gt; 2000",IF(W41&gt;=1500,"&gt; 1500",IF(W41&gt;=900,"&gt; 900",IF(W41&gt;=600,"&gt; 600",IF(W41&gt;=450,"&gt; 450",IF(W41&gt;=300,"&gt; 300",IF(W41&gt;=150,"&gt; 150",IF(W41&lt;150,"&lt; 150",IF(W41&lt;1,"Nill")))))))))</f>
        <v>&gt; 450</v>
      </c>
    </row>
    <row r="42" spans="1:24" x14ac:dyDescent="0.3">
      <c r="A42" s="4" t="str">
        <f>VLOOKUP(G42,Data!$A:$G,2,0)</f>
        <v>Mousumi Sarkar</v>
      </c>
      <c r="B42" s="4" t="str">
        <f>VLOOKUP(G42,Data!$A:$G,3,0)</f>
        <v>Active</v>
      </c>
      <c r="C42" s="4" t="str">
        <f>VLOOKUP(G42,Data!$A:$G,4,0)</f>
        <v>Saltlake</v>
      </c>
      <c r="D42" s="4" t="str">
        <f>VLOOKUP(G42,Data!$A:$G,5,0)</f>
        <v>Hingalganj</v>
      </c>
      <c r="E42" s="4" t="str">
        <f>VLOOKUP(G42,Data!$A:$G,6,0)</f>
        <v>Khairulla Mistri</v>
      </c>
      <c r="F42" s="10" t="str">
        <f>VLOOKUP(G42,Data!$A:$G,7,0)</f>
        <v>8410316210</v>
      </c>
      <c r="G42" s="5">
        <v>29799</v>
      </c>
      <c r="H42" s="7">
        <f>COUNT(J42:U42)</f>
        <v>2</v>
      </c>
      <c r="I42" s="7">
        <f>H42*300</f>
        <v>600</v>
      </c>
      <c r="J42" s="8"/>
      <c r="K42" s="8"/>
      <c r="L42" s="8"/>
      <c r="M42" s="8"/>
      <c r="N42" s="8">
        <v>128</v>
      </c>
      <c r="O42" s="8">
        <v>69</v>
      </c>
      <c r="P42" s="8"/>
      <c r="Q42" s="8"/>
      <c r="R42" s="8"/>
      <c r="S42" s="8"/>
      <c r="T42" s="8"/>
      <c r="U42" s="8"/>
      <c r="V42" s="8"/>
      <c r="W42" s="9">
        <f>V42/H42</f>
        <v>0</v>
      </c>
      <c r="X42" s="59" t="str">
        <f>IF(W42&gt;=2000,"&gt; 2000",IF(W42&gt;=1500,"&gt; 1500",IF(W42&gt;=900,"&gt; 900",IF(W42&gt;=600,"&gt; 600",IF(W42&gt;=450,"&gt; 450",IF(W42&gt;=300,"&gt; 300",IF(W42&gt;=150,"&gt; 150",IF(W42&lt;150,"&lt; 150",IF(W42&lt;1,"Nill")))))))))</f>
        <v>&lt; 150</v>
      </c>
    </row>
    <row r="43" spans="1:24" x14ac:dyDescent="0.3">
      <c r="A43" s="4" t="str">
        <f>VLOOKUP(G43,Data!$A:$G,2,0)</f>
        <v>Manindra Nath Barman</v>
      </c>
      <c r="B43" s="4" t="str">
        <f>VLOOKUP(G43,Data!$A:$G,3,0)</f>
        <v>Active</v>
      </c>
      <c r="C43" s="4" t="str">
        <f>VLOOKUP(G43,Data!$A:$G,4,0)</f>
        <v>Siliguri</v>
      </c>
      <c r="D43" s="4" t="str">
        <f>VLOOKUP(G43,Data!$A:$G,5,0)</f>
        <v>Barobisha</v>
      </c>
      <c r="E43" s="4" t="str">
        <f>VLOOKUP(G43,Data!$A:$G,6,0)</f>
        <v>Md Akimuzzaman</v>
      </c>
      <c r="F43" s="10" t="str">
        <f>VLOOKUP(G43,Data!$A:$G,7,0)</f>
        <v>2310315481</v>
      </c>
      <c r="G43" s="5">
        <v>28270</v>
      </c>
      <c r="H43" s="7">
        <f>COUNT(J43:U43)</f>
        <v>6</v>
      </c>
      <c r="I43" s="7">
        <f>H43*300</f>
        <v>1800</v>
      </c>
      <c r="J43" s="8">
        <v>213</v>
      </c>
      <c r="K43" s="8">
        <v>157</v>
      </c>
      <c r="L43" s="8">
        <v>269</v>
      </c>
      <c r="M43" s="8">
        <v>340</v>
      </c>
      <c r="N43" s="8">
        <v>493</v>
      </c>
      <c r="O43" s="8">
        <v>66</v>
      </c>
      <c r="P43" s="8"/>
      <c r="Q43" s="8"/>
      <c r="R43" s="8"/>
      <c r="S43" s="8"/>
      <c r="T43" s="8"/>
      <c r="U43" s="8"/>
      <c r="V43" s="8">
        <f>SUM(J43:U43)</f>
        <v>1538</v>
      </c>
      <c r="W43" s="9">
        <f>V43/H43</f>
        <v>256.33333333333331</v>
      </c>
      <c r="X43" s="59" t="str">
        <f>IF(W43&gt;=2000,"&gt; 2000",IF(W43&gt;=1500,"&gt; 1500",IF(W43&gt;=900,"&gt; 900",IF(W43&gt;=600,"&gt; 600",IF(W43&gt;=450,"&gt; 450",IF(W43&gt;=300,"&gt; 300",IF(W43&gt;=150,"&gt; 150",IF(W43&lt;150,"&lt; 150",IF(W43&lt;1,"Nill")))))))))</f>
        <v>&gt; 150</v>
      </c>
    </row>
    <row r="44" spans="1:24" x14ac:dyDescent="0.3">
      <c r="A44" s="4" t="str">
        <f>VLOOKUP(G44,Data!$A:$G,2,0)</f>
        <v>Chandi Charan Mahato</v>
      </c>
      <c r="B44" s="4" t="str">
        <f>VLOOKUP(G44,Data!$A:$G,3,0)</f>
        <v>Active</v>
      </c>
      <c r="C44" s="4" t="str">
        <f>VLOOKUP(G44,Data!$A:$G,4,0)</f>
        <v>Durgapur</v>
      </c>
      <c r="D44" s="4" t="str">
        <f>VLOOKUP(G44,Data!$A:$G,5,0)</f>
        <v>Patrasayer</v>
      </c>
      <c r="E44" s="4" t="str">
        <f>VLOOKUP(G44,Data!$A:$G,6,0)</f>
        <v>Satish Ankure</v>
      </c>
      <c r="F44" s="10" t="str">
        <f>VLOOKUP(G44,Data!$A:$G,7,0)</f>
        <v>2160314679</v>
      </c>
      <c r="G44" s="5">
        <v>26810</v>
      </c>
      <c r="H44" s="7">
        <f>COUNT(J44:U44)</f>
        <v>6</v>
      </c>
      <c r="I44" s="7">
        <f>H44*300</f>
        <v>1800</v>
      </c>
      <c r="J44" s="8">
        <v>473</v>
      </c>
      <c r="K44" s="8">
        <v>362</v>
      </c>
      <c r="L44" s="8">
        <v>238</v>
      </c>
      <c r="M44" s="8">
        <v>347</v>
      </c>
      <c r="N44" s="8">
        <v>368</v>
      </c>
      <c r="O44" s="8">
        <v>66</v>
      </c>
      <c r="P44" s="8"/>
      <c r="Q44" s="8"/>
      <c r="R44" s="8"/>
      <c r="S44" s="8"/>
      <c r="T44" s="8"/>
      <c r="U44" s="8"/>
      <c r="V44" s="8">
        <f>SUM(J44:U44)</f>
        <v>1854</v>
      </c>
      <c r="W44" s="9">
        <f>V44/H44</f>
        <v>309</v>
      </c>
      <c r="X44" s="59" t="str">
        <f>IF(W44&gt;=2000,"&gt; 2000",IF(W44&gt;=1500,"&gt; 1500",IF(W44&gt;=900,"&gt; 900",IF(W44&gt;=600,"&gt; 600",IF(W44&gt;=450,"&gt; 450",IF(W44&gt;=300,"&gt; 300",IF(W44&gt;=150,"&gt; 150",IF(W44&lt;150,"&lt; 150",IF(W44&lt;1,"Nill")))))))))</f>
        <v>&gt; 300</v>
      </c>
    </row>
    <row r="45" spans="1:24" x14ac:dyDescent="0.3">
      <c r="A45" s="4" t="str">
        <f>VLOOKUP(G45,Data!$A:$G,2,0)</f>
        <v>Sunil Biswas</v>
      </c>
      <c r="B45" s="4" t="str">
        <f>VLOOKUP(G45,Data!$A:$G,3,0)</f>
        <v>Active</v>
      </c>
      <c r="C45" s="4" t="str">
        <f>VLOOKUP(G45,Data!$A:$G,4,0)</f>
        <v>Durgapur</v>
      </c>
      <c r="D45" s="4" t="str">
        <f>VLOOKUP(G45,Data!$A:$G,5,0)</f>
        <v>Hridaypur</v>
      </c>
      <c r="E45" s="4" t="str">
        <f>VLOOKUP(G45,Data!$A:$G,6,0)</f>
        <v xml:space="preserve">Injamul Rahaman </v>
      </c>
      <c r="F45" s="10" t="str">
        <f>VLOOKUP(G45,Data!$A:$G,7,0)</f>
        <v>2430314512</v>
      </c>
      <c r="G45" s="5">
        <v>26588</v>
      </c>
      <c r="H45" s="7">
        <f>COUNT(J45:U45)</f>
        <v>6</v>
      </c>
      <c r="I45" s="7">
        <f>H45*300</f>
        <v>1800</v>
      </c>
      <c r="J45" s="8">
        <v>352</v>
      </c>
      <c r="K45" s="8">
        <v>425</v>
      </c>
      <c r="L45" s="8">
        <v>400</v>
      </c>
      <c r="M45" s="8">
        <v>398</v>
      </c>
      <c r="N45" s="8">
        <v>382</v>
      </c>
      <c r="O45" s="8">
        <v>60</v>
      </c>
      <c r="P45" s="8"/>
      <c r="Q45" s="8"/>
      <c r="R45" s="8"/>
      <c r="S45" s="8"/>
      <c r="T45" s="8"/>
      <c r="U45" s="8"/>
      <c r="V45" s="8">
        <f>SUM(J45:U45)</f>
        <v>2017</v>
      </c>
      <c r="W45" s="9">
        <f>V45/H45</f>
        <v>336.16666666666669</v>
      </c>
      <c r="X45" s="59" t="str">
        <f>IF(W45&gt;=2000,"&gt; 2000",IF(W45&gt;=1500,"&gt; 1500",IF(W45&gt;=900,"&gt; 900",IF(W45&gt;=600,"&gt; 600",IF(W45&gt;=450,"&gt; 450",IF(W45&gt;=300,"&gt; 300",IF(W45&gt;=150,"&gt; 150",IF(W45&lt;150,"&lt; 150",IF(W45&lt;1,"Nill")))))))))</f>
        <v>&gt; 300</v>
      </c>
    </row>
    <row r="46" spans="1:24" x14ac:dyDescent="0.3">
      <c r="A46" s="4" t="str">
        <f>VLOOKUP(G46,Data!$A:$G,2,0)</f>
        <v>Under Office (W Medinipur)</v>
      </c>
      <c r="B46" s="4" t="str">
        <f>VLOOKUP(G46,Data!$A:$G,3,0)</f>
        <v>Active</v>
      </c>
      <c r="C46" s="4" t="str">
        <f>VLOOKUP(G46,Data!$A:$G,4,0)</f>
        <v>Hooghly</v>
      </c>
      <c r="D46" s="4" t="str">
        <f>VLOOKUP(G46,Data!$A:$G,5,0)</f>
        <v>Jhargram</v>
      </c>
      <c r="E46" s="4" t="str">
        <f>VLOOKUP(G46,Data!$A:$G,6,0)</f>
        <v>Sk Imran</v>
      </c>
      <c r="F46" s="10" t="str">
        <f>VLOOKUP(G46,Data!$A:$G,7,0)</f>
        <v>2390311695</v>
      </c>
      <c r="G46" s="5">
        <v>22452</v>
      </c>
      <c r="H46" s="7">
        <f>COUNT(J46:U46)</f>
        <v>6</v>
      </c>
      <c r="I46" s="7">
        <f>H46*300</f>
        <v>1800</v>
      </c>
      <c r="J46" s="8">
        <v>328</v>
      </c>
      <c r="K46" s="8">
        <v>224</v>
      </c>
      <c r="L46" s="8">
        <v>286</v>
      </c>
      <c r="M46" s="8">
        <v>402</v>
      </c>
      <c r="N46" s="8">
        <v>371</v>
      </c>
      <c r="O46" s="8">
        <v>59</v>
      </c>
      <c r="P46" s="8"/>
      <c r="Q46" s="8"/>
      <c r="R46" s="8"/>
      <c r="S46" s="8"/>
      <c r="T46" s="8"/>
      <c r="U46" s="8"/>
      <c r="V46" s="8">
        <f>SUM(J46:U46)</f>
        <v>1670</v>
      </c>
      <c r="W46" s="9">
        <f>V46/H46</f>
        <v>278.33333333333331</v>
      </c>
      <c r="X46" s="59" t="str">
        <f>IF(W46&gt;=2000,"&gt; 2000",IF(W46&gt;=1500,"&gt; 1500",IF(W46&gt;=900,"&gt; 900",IF(W46&gt;=600,"&gt; 600",IF(W46&gt;=450,"&gt; 450",IF(W46&gt;=300,"&gt; 300",IF(W46&gt;=150,"&gt; 150",IF(W46&lt;150,"&lt; 150",IF(W46&lt;1,"Nill")))))))))</f>
        <v>&gt; 150</v>
      </c>
    </row>
    <row r="47" spans="1:24" x14ac:dyDescent="0.3">
      <c r="A47" s="4" t="str">
        <f>VLOOKUP(G47,Data!$A:$G,2,0)</f>
        <v>Sunil Biswas</v>
      </c>
      <c r="B47" s="4" t="str">
        <f>VLOOKUP(G47,Data!$A:$G,3,0)</f>
        <v>Active</v>
      </c>
      <c r="C47" s="4" t="str">
        <f>VLOOKUP(G47,Data!$A:$G,4,0)</f>
        <v>Durgapur</v>
      </c>
      <c r="D47" s="4" t="str">
        <f>VLOOKUP(G47,Data!$A:$G,5,0)</f>
        <v>Hidaypur</v>
      </c>
      <c r="E47" s="4" t="str">
        <f>VLOOKUP(G47,Data!$A:$G,6,0)</f>
        <v>Akramul Shaikh</v>
      </c>
      <c r="F47" s="10" t="str">
        <f>VLOOKUP(G47,Data!$A:$G,7,0)</f>
        <v>2430315571</v>
      </c>
      <c r="G47" s="5">
        <v>28485</v>
      </c>
      <c r="H47" s="7">
        <f>COUNT(J47:U47)</f>
        <v>6</v>
      </c>
      <c r="I47" s="7">
        <f>H47*300</f>
        <v>1800</v>
      </c>
      <c r="J47" s="8">
        <v>249</v>
      </c>
      <c r="K47" s="8">
        <v>240</v>
      </c>
      <c r="L47" s="8">
        <v>247</v>
      </c>
      <c r="M47" s="8">
        <v>313</v>
      </c>
      <c r="N47" s="8">
        <v>314</v>
      </c>
      <c r="O47" s="8">
        <v>59</v>
      </c>
      <c r="P47" s="8"/>
      <c r="Q47" s="8"/>
      <c r="R47" s="8"/>
      <c r="S47" s="8"/>
      <c r="T47" s="8"/>
      <c r="U47" s="8"/>
      <c r="V47" s="8">
        <f>SUM(J47:U47)</f>
        <v>1422</v>
      </c>
      <c r="W47" s="9">
        <f>V47/H47</f>
        <v>237</v>
      </c>
      <c r="X47" s="59" t="str">
        <f>IF(W47&gt;=2000,"&gt; 2000",IF(W47&gt;=1500,"&gt; 1500",IF(W47&gt;=900,"&gt; 900",IF(W47&gt;=600,"&gt; 600",IF(W47&gt;=450,"&gt; 450",IF(W47&gt;=300,"&gt; 300",IF(W47&gt;=150,"&gt; 150",IF(W47&lt;150,"&lt; 150",IF(W47&lt;1,"Nill")))))))))</f>
        <v>&gt; 150</v>
      </c>
    </row>
    <row r="48" spans="1:24" x14ac:dyDescent="0.3">
      <c r="A48" s="4" t="str">
        <f>VLOOKUP(G48,Data!$A:$G,2,0)</f>
        <v>Santanu Bera</v>
      </c>
      <c r="B48" s="4" t="str">
        <f>VLOOKUP(G48,Data!$A:$G,3,0)</f>
        <v>Active</v>
      </c>
      <c r="C48" s="4" t="str">
        <f>VLOOKUP(G48,Data!$A:$G,4,0)</f>
        <v>Hooghly</v>
      </c>
      <c r="D48" s="4" t="str">
        <f>VLOOKUP(G48,Data!$A:$G,5,0)</f>
        <v>Kolaghat (Ktpps)</v>
      </c>
      <c r="E48" s="4" t="str">
        <f>VLOOKUP(G48,Data!$A:$G,6,0)</f>
        <v>Sudipta Mandal</v>
      </c>
      <c r="F48" s="10" t="str">
        <f>VLOOKUP(G48,Data!$A:$G,7,0)</f>
        <v>2380315163</v>
      </c>
      <c r="G48" s="5">
        <v>27637</v>
      </c>
      <c r="H48" s="7">
        <f>COUNT(J48:U48)</f>
        <v>6</v>
      </c>
      <c r="I48" s="7">
        <f>H48*300</f>
        <v>1800</v>
      </c>
      <c r="J48" s="8">
        <v>188</v>
      </c>
      <c r="K48" s="8">
        <v>119</v>
      </c>
      <c r="L48" s="8">
        <v>86</v>
      </c>
      <c r="M48" s="8">
        <v>58</v>
      </c>
      <c r="N48" s="8">
        <v>251</v>
      </c>
      <c r="O48" s="8">
        <v>59</v>
      </c>
      <c r="P48" s="8"/>
      <c r="Q48" s="8"/>
      <c r="R48" s="8"/>
      <c r="S48" s="8"/>
      <c r="T48" s="8"/>
      <c r="U48" s="8"/>
      <c r="V48" s="8">
        <f>SUM(J48:U48)</f>
        <v>761</v>
      </c>
      <c r="W48" s="9">
        <f>V48/H48</f>
        <v>126.83333333333333</v>
      </c>
      <c r="X48" s="59" t="str">
        <f>IF(W48&gt;=2000,"&gt; 2000",IF(W48&gt;=1500,"&gt; 1500",IF(W48&gt;=900,"&gt; 900",IF(W48&gt;=600,"&gt; 600",IF(W48&gt;=450,"&gt; 450",IF(W48&gt;=300,"&gt; 300",IF(W48&gt;=150,"&gt; 150",IF(W48&lt;150,"&lt; 150",IF(W48&lt;1,"Nill")))))))))</f>
        <v>&lt; 150</v>
      </c>
    </row>
    <row r="49" spans="1:24" x14ac:dyDescent="0.3">
      <c r="A49" s="4" t="str">
        <f>VLOOKUP(G49,Data!$A:$G,2,0)</f>
        <v>Rajendra Kumar Bapari</v>
      </c>
      <c r="B49" s="4" t="str">
        <f>VLOOKUP(G49,Data!$A:$G,3,0)</f>
        <v>Active</v>
      </c>
      <c r="C49" s="4" t="str">
        <f>VLOOKUP(G49,Data!$A:$G,4,0)</f>
        <v>Durgapur</v>
      </c>
      <c r="D49" s="4" t="str">
        <f>VLOOKUP(G49,Data!$A:$G,5,0)</f>
        <v>Kushodanga</v>
      </c>
      <c r="E49" s="4" t="str">
        <f>VLOOKUP(G49,Data!$A:$G,6,0)</f>
        <v>Rumpa Pal Mondal</v>
      </c>
      <c r="F49" s="10" t="str">
        <f>VLOOKUP(G49,Data!$A:$G,7,0)</f>
        <v>3390315402</v>
      </c>
      <c r="G49" s="5">
        <v>28170</v>
      </c>
      <c r="H49" s="7">
        <f>COUNT(J49:U49)</f>
        <v>6</v>
      </c>
      <c r="I49" s="7">
        <f>H49*300</f>
        <v>1800</v>
      </c>
      <c r="J49" s="8">
        <v>412</v>
      </c>
      <c r="K49" s="8">
        <v>353</v>
      </c>
      <c r="L49" s="8">
        <v>329</v>
      </c>
      <c r="M49" s="8">
        <v>378</v>
      </c>
      <c r="N49" s="8">
        <v>432</v>
      </c>
      <c r="O49" s="8">
        <v>58</v>
      </c>
      <c r="P49" s="8"/>
      <c r="Q49" s="8"/>
      <c r="R49" s="8"/>
      <c r="S49" s="8"/>
      <c r="T49" s="8"/>
      <c r="U49" s="8"/>
      <c r="V49" s="8">
        <f>SUM(J49:U49)</f>
        <v>1962</v>
      </c>
      <c r="W49" s="9">
        <f>V49/H49</f>
        <v>327</v>
      </c>
      <c r="X49" s="59" t="str">
        <f>IF(W49&gt;=2000,"&gt; 2000",IF(W49&gt;=1500,"&gt; 1500",IF(W49&gt;=900,"&gt; 900",IF(W49&gt;=600,"&gt; 600",IF(W49&gt;=450,"&gt; 450",IF(W49&gt;=300,"&gt; 300",IF(W49&gt;=150,"&gt; 150",IF(W49&lt;150,"&lt; 150",IF(W49&lt;1,"Nill")))))))))</f>
        <v>&gt; 300</v>
      </c>
    </row>
    <row r="50" spans="1:24" x14ac:dyDescent="0.3">
      <c r="A50" s="4" t="str">
        <f>VLOOKUP(G50,Data!$A:$G,2,0)</f>
        <v>Sunil Biswas</v>
      </c>
      <c r="B50" s="4" t="str">
        <f>VLOOKUP(G50,Data!$A:$G,3,0)</f>
        <v>Active</v>
      </c>
      <c r="C50" s="4" t="str">
        <f>VLOOKUP(G50,Data!$A:$G,4,0)</f>
        <v>Durgapur</v>
      </c>
      <c r="D50" s="4" t="str">
        <f>VLOOKUP(G50,Data!$A:$G,5,0)</f>
        <v>Haringhata</v>
      </c>
      <c r="E50" s="4" t="str">
        <f>VLOOKUP(G50,Data!$A:$G,6,0)</f>
        <v>Eyakub Mondal</v>
      </c>
      <c r="F50" s="10" t="str">
        <f>VLOOKUP(G50,Data!$A:$G,7,0)</f>
        <v>2430315345</v>
      </c>
      <c r="G50" s="5">
        <v>28085</v>
      </c>
      <c r="H50" s="7">
        <f>COUNT(J50:U50)</f>
        <v>6</v>
      </c>
      <c r="I50" s="7">
        <f>H50*300</f>
        <v>1800</v>
      </c>
      <c r="J50" s="8">
        <v>368</v>
      </c>
      <c r="K50" s="8">
        <v>500</v>
      </c>
      <c r="L50" s="8">
        <v>309</v>
      </c>
      <c r="M50" s="8">
        <v>472</v>
      </c>
      <c r="N50" s="8">
        <v>342</v>
      </c>
      <c r="O50" s="8">
        <v>56</v>
      </c>
      <c r="P50" s="8"/>
      <c r="Q50" s="8"/>
      <c r="R50" s="8"/>
      <c r="S50" s="8"/>
      <c r="T50" s="8"/>
      <c r="U50" s="8"/>
      <c r="V50" s="8">
        <f>SUM(J50:U50)</f>
        <v>2047</v>
      </c>
      <c r="W50" s="9">
        <f>V50/H50</f>
        <v>341.16666666666669</v>
      </c>
      <c r="X50" s="59" t="str">
        <f>IF(W50&gt;=2000,"&gt; 2000",IF(W50&gt;=1500,"&gt; 1500",IF(W50&gt;=900,"&gt; 900",IF(W50&gt;=600,"&gt; 600",IF(W50&gt;=450,"&gt; 450",IF(W50&gt;=300,"&gt; 300",IF(W50&gt;=150,"&gt; 150",IF(W50&lt;150,"&lt; 150",IF(W50&lt;1,"Nill")))))))))</f>
        <v>&gt; 300</v>
      </c>
    </row>
    <row r="51" spans="1:24" x14ac:dyDescent="0.3">
      <c r="A51" s="4" t="str">
        <f>VLOOKUP(G51,Data!$A:$G,2,0)</f>
        <v>Under Office (W Medinipur)</v>
      </c>
      <c r="B51" s="4" t="str">
        <f>VLOOKUP(G51,Data!$A:$G,3,0)</f>
        <v>Active</v>
      </c>
      <c r="C51" s="4" t="str">
        <f>VLOOKUP(G51,Data!$A:$G,4,0)</f>
        <v>Hooghly</v>
      </c>
      <c r="D51" s="4" t="str">
        <f>VLOOKUP(G51,Data!$A:$G,5,0)</f>
        <v>Nayabasat</v>
      </c>
      <c r="E51" s="4" t="str">
        <f>VLOOKUP(G51,Data!$A:$G,6,0)</f>
        <v>Soumya Ghosh</v>
      </c>
      <c r="F51" s="10" t="str">
        <f>VLOOKUP(G51,Data!$A:$G,7,0)</f>
        <v>2390314387</v>
      </c>
      <c r="G51" s="5">
        <v>26403</v>
      </c>
      <c r="H51" s="7">
        <f>COUNT(J51:U51)</f>
        <v>6</v>
      </c>
      <c r="I51" s="7">
        <f>H51*300</f>
        <v>1800</v>
      </c>
      <c r="J51" s="8">
        <v>345</v>
      </c>
      <c r="K51" s="8">
        <v>262</v>
      </c>
      <c r="L51" s="8">
        <v>230</v>
      </c>
      <c r="M51" s="8">
        <v>289</v>
      </c>
      <c r="N51" s="8">
        <v>350</v>
      </c>
      <c r="O51" s="8">
        <v>54</v>
      </c>
      <c r="P51" s="8"/>
      <c r="Q51" s="8"/>
      <c r="R51" s="8"/>
      <c r="S51" s="8"/>
      <c r="T51" s="8"/>
      <c r="U51" s="8"/>
      <c r="V51" s="8">
        <f>SUM(J51:U51)</f>
        <v>1530</v>
      </c>
      <c r="W51" s="9">
        <f>V51/H51</f>
        <v>255</v>
      </c>
      <c r="X51" s="59" t="str">
        <f>IF(W51&gt;=2000,"&gt; 2000",IF(W51&gt;=1500,"&gt; 1500",IF(W51&gt;=900,"&gt; 900",IF(W51&gt;=600,"&gt; 600",IF(W51&gt;=450,"&gt; 450",IF(W51&gt;=300,"&gt; 300",IF(W51&gt;=150,"&gt; 150",IF(W51&lt;150,"&lt; 150",IF(W51&lt;1,"Nill")))))))))</f>
        <v>&gt; 150</v>
      </c>
    </row>
    <row r="52" spans="1:24" x14ac:dyDescent="0.3">
      <c r="A52" s="4" t="str">
        <f>VLOOKUP(G52,Data!$A:$G,2,0)</f>
        <v>Shyamalesh Sarkar</v>
      </c>
      <c r="B52" s="4" t="str">
        <f>VLOOKUP(G52,Data!$A:$G,3,0)</f>
        <v>Active</v>
      </c>
      <c r="C52" s="4" t="str">
        <f>VLOOKUP(G52,Data!$A:$G,4,0)</f>
        <v>Siliguri</v>
      </c>
      <c r="D52" s="4" t="str">
        <f>VLOOKUP(G52,Data!$A:$G,5,0)</f>
        <v>Sagardighi Square</v>
      </c>
      <c r="E52" s="4" t="str">
        <f>VLOOKUP(G52,Data!$A:$G,6,0)</f>
        <v>Rajani Roy</v>
      </c>
      <c r="F52" s="10" t="str">
        <f>VLOOKUP(G52,Data!$A:$G,7,0)</f>
        <v>2200310076</v>
      </c>
      <c r="G52" s="5">
        <v>20502</v>
      </c>
      <c r="H52" s="7">
        <f>COUNT(J52:U52)</f>
        <v>6</v>
      </c>
      <c r="I52" s="7">
        <f>H52*300</f>
        <v>1800</v>
      </c>
      <c r="J52" s="8">
        <v>223</v>
      </c>
      <c r="K52" s="8">
        <v>217</v>
      </c>
      <c r="L52" s="8">
        <v>267</v>
      </c>
      <c r="M52" s="8">
        <v>423</v>
      </c>
      <c r="N52" s="8">
        <v>334</v>
      </c>
      <c r="O52" s="8">
        <v>51</v>
      </c>
      <c r="P52" s="8"/>
      <c r="Q52" s="8"/>
      <c r="R52" s="8"/>
      <c r="S52" s="8"/>
      <c r="T52" s="8"/>
      <c r="U52" s="8"/>
      <c r="V52" s="8">
        <f>SUM(J52:U52)</f>
        <v>1515</v>
      </c>
      <c r="W52" s="9">
        <f>V52/H52</f>
        <v>252.5</v>
      </c>
      <c r="X52" s="59" t="str">
        <f>IF(W52&gt;=2000,"&gt; 2000",IF(W52&gt;=1500,"&gt; 1500",IF(W52&gt;=900,"&gt; 900",IF(W52&gt;=600,"&gt; 600",IF(W52&gt;=450,"&gt; 450",IF(W52&gt;=300,"&gt; 300",IF(W52&gt;=150,"&gt; 150",IF(W52&lt;150,"&lt; 150",IF(W52&lt;1,"Nill")))))))))</f>
        <v>&gt; 150</v>
      </c>
    </row>
    <row r="53" spans="1:24" x14ac:dyDescent="0.3">
      <c r="A53" s="4" t="str">
        <f>VLOOKUP(G53,Data!$A:$G,2,0)</f>
        <v>Avi Sk</v>
      </c>
      <c r="B53" s="4" t="str">
        <f>VLOOKUP(G53,Data!$A:$G,3,0)</f>
        <v>Active</v>
      </c>
      <c r="C53" s="4" t="str">
        <f>VLOOKUP(G53,Data!$A:$G,4,0)</f>
        <v>Siliguri</v>
      </c>
      <c r="D53" s="4" t="str">
        <f>VLOOKUP(G53,Data!$A:$G,5,0)</f>
        <v>Sagarpara</v>
      </c>
      <c r="E53" s="4" t="str">
        <f>VLOOKUP(G53,Data!$A:$G,6,0)</f>
        <v>Habibur Rahaman</v>
      </c>
      <c r="F53" s="10" t="str">
        <f>VLOOKUP(G53,Data!$A:$G,7,0)</f>
        <v>2410311259</v>
      </c>
      <c r="G53" s="5">
        <v>28860</v>
      </c>
      <c r="H53" s="7">
        <f>COUNT(J53:U53)</f>
        <v>6</v>
      </c>
      <c r="I53" s="7">
        <f>H53*300</f>
        <v>1800</v>
      </c>
      <c r="J53" s="8">
        <v>318</v>
      </c>
      <c r="K53" s="8">
        <v>324</v>
      </c>
      <c r="L53" s="8">
        <v>264</v>
      </c>
      <c r="M53" s="8">
        <v>227</v>
      </c>
      <c r="N53" s="8">
        <v>279</v>
      </c>
      <c r="O53" s="8">
        <v>49</v>
      </c>
      <c r="P53" s="8"/>
      <c r="Q53" s="8"/>
      <c r="R53" s="8"/>
      <c r="S53" s="8"/>
      <c r="T53" s="8"/>
      <c r="U53" s="8"/>
      <c r="V53" s="8">
        <f>SUM(J53:U53)</f>
        <v>1461</v>
      </c>
      <c r="W53" s="9">
        <f>V53/H53</f>
        <v>243.5</v>
      </c>
      <c r="X53" s="59" t="str">
        <f>IF(W53&gt;=2000,"&gt; 2000",IF(W53&gt;=1500,"&gt; 1500",IF(W53&gt;=900,"&gt; 900",IF(W53&gt;=600,"&gt; 600",IF(W53&gt;=450,"&gt; 450",IF(W53&gt;=300,"&gt; 300",IF(W53&gt;=150,"&gt; 150",IF(W53&lt;150,"&lt; 150",IF(W53&lt;1,"Nill")))))))))</f>
        <v>&gt; 150</v>
      </c>
    </row>
    <row r="54" spans="1:24" x14ac:dyDescent="0.3">
      <c r="A54" s="4" t="str">
        <f>VLOOKUP(G54,Data!$A:$G,2,0)</f>
        <v>Souvik Maity</v>
      </c>
      <c r="B54" s="4" t="str">
        <f>VLOOKUP(G54,Data!$A:$G,3,0)</f>
        <v>Active</v>
      </c>
      <c r="C54" s="4" t="str">
        <f>VLOOKUP(G54,Data!$A:$G,4,0)</f>
        <v>Hooghly</v>
      </c>
      <c r="D54" s="4" t="str">
        <f>VLOOKUP(G54,Data!$A:$G,5,0)</f>
        <v>Sahapur</v>
      </c>
      <c r="E54" s="4" t="str">
        <f>VLOOKUP(G54,Data!$A:$G,6,0)</f>
        <v>Bishal Maity</v>
      </c>
      <c r="F54" s="10" t="str">
        <f>VLOOKUP(G54,Data!$A:$G,7,0)</f>
        <v>3390312548</v>
      </c>
      <c r="G54" s="5">
        <v>23565</v>
      </c>
      <c r="H54" s="7">
        <f>COUNT(J54:U54)</f>
        <v>6</v>
      </c>
      <c r="I54" s="7">
        <f>H54*300</f>
        <v>1800</v>
      </c>
      <c r="J54" s="8">
        <v>360</v>
      </c>
      <c r="K54" s="8">
        <v>279</v>
      </c>
      <c r="L54" s="8">
        <v>183</v>
      </c>
      <c r="M54" s="8">
        <v>183</v>
      </c>
      <c r="N54" s="8">
        <v>185</v>
      </c>
      <c r="O54" s="8">
        <v>46</v>
      </c>
      <c r="P54" s="8"/>
      <c r="Q54" s="8"/>
      <c r="R54" s="8"/>
      <c r="S54" s="8"/>
      <c r="T54" s="8"/>
      <c r="U54" s="8"/>
      <c r="V54" s="8">
        <f>SUM(J54:U54)</f>
        <v>1236</v>
      </c>
      <c r="W54" s="9">
        <f>V54/H54</f>
        <v>206</v>
      </c>
      <c r="X54" s="59" t="str">
        <f>IF(W54&gt;=2000,"&gt; 2000",IF(W54&gt;=1500,"&gt; 1500",IF(W54&gt;=900,"&gt; 900",IF(W54&gt;=600,"&gt; 600",IF(W54&gt;=450,"&gt; 450",IF(W54&gt;=300,"&gt; 300",IF(W54&gt;=150,"&gt; 150",IF(W54&lt;150,"&lt; 150",IF(W54&lt;1,"Nill")))))))))</f>
        <v>&gt; 150</v>
      </c>
    </row>
    <row r="55" spans="1:24" x14ac:dyDescent="0.3">
      <c r="A55" s="4" t="str">
        <f>VLOOKUP(G55,Data!$A:$G,2,0)</f>
        <v>Pijush Singha</v>
      </c>
      <c r="B55" s="4" t="str">
        <f>VLOOKUP(G55,Data!$A:$G,3,0)</f>
        <v>Active</v>
      </c>
      <c r="C55" s="4" t="str">
        <f>VLOOKUP(G55,Data!$A:$G,4,0)</f>
        <v>Siliguri</v>
      </c>
      <c r="D55" s="4" t="str">
        <f>VLOOKUP(G55,Data!$A:$G,5,0)</f>
        <v>Dhuliyan</v>
      </c>
      <c r="E55" s="4" t="str">
        <f>VLOOKUP(G55,Data!$A:$G,6,0)</f>
        <v>Md Asraful Hoque</v>
      </c>
      <c r="F55" s="10" t="str">
        <f>VLOOKUP(G55,Data!$A:$G,7,0)</f>
        <v>2410313985</v>
      </c>
      <c r="G55" s="5">
        <v>25557</v>
      </c>
      <c r="H55" s="7">
        <f>COUNT(J55:U55)</f>
        <v>6</v>
      </c>
      <c r="I55" s="7">
        <f>H55*300</f>
        <v>1800</v>
      </c>
      <c r="J55" s="8">
        <v>34</v>
      </c>
      <c r="K55" s="8">
        <v>65</v>
      </c>
      <c r="L55" s="8">
        <v>38</v>
      </c>
      <c r="M55" s="8">
        <v>137</v>
      </c>
      <c r="N55" s="8">
        <v>49</v>
      </c>
      <c r="O55" s="8">
        <v>46</v>
      </c>
      <c r="P55" s="8"/>
      <c r="Q55" s="8"/>
      <c r="R55" s="8"/>
      <c r="S55" s="8"/>
      <c r="T55" s="8"/>
      <c r="U55" s="8"/>
      <c r="V55" s="8">
        <f>SUM(J55:U55)</f>
        <v>369</v>
      </c>
      <c r="W55" s="9">
        <f>V55/H55</f>
        <v>61.5</v>
      </c>
      <c r="X55" s="59" t="str">
        <f>IF(W55&gt;=2000,"&gt; 2000",IF(W55&gt;=1500,"&gt; 1500",IF(W55&gt;=900,"&gt; 900",IF(W55&gt;=600,"&gt; 600",IF(W55&gt;=450,"&gt; 450",IF(W55&gt;=300,"&gt; 300",IF(W55&gt;=150,"&gt; 150",IF(W55&lt;150,"&lt; 150",IF(W55&lt;1,"Nill")))))))))</f>
        <v>&lt; 150</v>
      </c>
    </row>
    <row r="56" spans="1:24" x14ac:dyDescent="0.3">
      <c r="A56" s="4" t="str">
        <f>VLOOKUP(G56,Data!$A:$G,2,0)</f>
        <v>Avi Sk</v>
      </c>
      <c r="B56" s="4" t="str">
        <f>VLOOKUP(G56,Data!$A:$G,3,0)</f>
        <v>Active</v>
      </c>
      <c r="C56" s="4" t="str">
        <f>VLOOKUP(G56,Data!$A:$G,4,0)</f>
        <v>Siliguri</v>
      </c>
      <c r="D56" s="4" t="str">
        <f>VLOOKUP(G56,Data!$A:$G,5,0)</f>
        <v>Kanupur</v>
      </c>
      <c r="E56" s="4" t="str">
        <f>VLOOKUP(G56,Data!$A:$G,6,0)</f>
        <v>Shobhan Majhi</v>
      </c>
      <c r="F56" s="10" t="str">
        <f>VLOOKUP(G56,Data!$A:$G,7,0)</f>
        <v>2410311257</v>
      </c>
      <c r="G56" s="5">
        <v>21926</v>
      </c>
      <c r="H56" s="7">
        <f>COUNT(J56:U56)</f>
        <v>6</v>
      </c>
      <c r="I56" s="7">
        <f>H56*300</f>
        <v>1800</v>
      </c>
      <c r="J56" s="8">
        <v>284</v>
      </c>
      <c r="K56" s="8">
        <v>225</v>
      </c>
      <c r="L56" s="8">
        <v>245</v>
      </c>
      <c r="M56" s="8">
        <v>214</v>
      </c>
      <c r="N56" s="8">
        <v>212</v>
      </c>
      <c r="O56" s="8">
        <v>43</v>
      </c>
      <c r="P56" s="8"/>
      <c r="Q56" s="8"/>
      <c r="R56" s="8"/>
      <c r="S56" s="8"/>
      <c r="T56" s="8"/>
      <c r="U56" s="8"/>
      <c r="V56" s="8">
        <f>SUM(J56:U56)</f>
        <v>1223</v>
      </c>
      <c r="W56" s="9">
        <f>V56/H56</f>
        <v>203.83333333333334</v>
      </c>
      <c r="X56" s="59" t="str">
        <f>IF(W56&gt;=2000,"&gt; 2000",IF(W56&gt;=1500,"&gt; 1500",IF(W56&gt;=900,"&gt; 900",IF(W56&gt;=600,"&gt; 600",IF(W56&gt;=450,"&gt; 450",IF(W56&gt;=300,"&gt; 300",IF(W56&gt;=150,"&gt; 150",IF(W56&lt;150,"&lt; 150",IF(W56&lt;1,"Nill")))))))))</f>
        <v>&gt; 150</v>
      </c>
    </row>
    <row r="57" spans="1:24" x14ac:dyDescent="0.3">
      <c r="A57" s="4" t="str">
        <f>VLOOKUP(G57,Data!$A:$G,2,0)</f>
        <v>Under Office (W Medinipur)</v>
      </c>
      <c r="B57" s="4" t="str">
        <f>VLOOKUP(G57,Data!$A:$G,3,0)</f>
        <v>Active</v>
      </c>
      <c r="C57" s="4" t="str">
        <f>VLOOKUP(G57,Data!$A:$G,4,0)</f>
        <v>Hooghly</v>
      </c>
      <c r="D57" s="4" t="str">
        <f>VLOOKUP(G57,Data!$A:$G,5,0)</f>
        <v>Jara</v>
      </c>
      <c r="E57" s="4" t="str">
        <f>VLOOKUP(G57,Data!$A:$G,6,0)</f>
        <v>Priyanka Biswas</v>
      </c>
      <c r="F57" s="10" t="str">
        <f>VLOOKUP(G57,Data!$A:$G,7,0)</f>
        <v>2390311424</v>
      </c>
      <c r="G57" s="5">
        <v>22130</v>
      </c>
      <c r="H57" s="7">
        <f>COUNT(J57:U57)</f>
        <v>6</v>
      </c>
      <c r="I57" s="7">
        <f>H57*300</f>
        <v>1800</v>
      </c>
      <c r="J57" s="8">
        <v>390</v>
      </c>
      <c r="K57" s="8">
        <v>336</v>
      </c>
      <c r="L57" s="8">
        <v>305</v>
      </c>
      <c r="M57" s="8">
        <v>500</v>
      </c>
      <c r="N57" s="8">
        <v>362</v>
      </c>
      <c r="O57" s="8">
        <v>36</v>
      </c>
      <c r="P57" s="8"/>
      <c r="Q57" s="8"/>
      <c r="R57" s="8"/>
      <c r="S57" s="8"/>
      <c r="T57" s="8"/>
      <c r="U57" s="8"/>
      <c r="V57" s="8">
        <f>SUM(J57:U57)</f>
        <v>1929</v>
      </c>
      <c r="W57" s="9">
        <f>V57/H57</f>
        <v>321.5</v>
      </c>
      <c r="X57" s="59" t="str">
        <f>IF(W57&gt;=2000,"&gt; 2000",IF(W57&gt;=1500,"&gt; 1500",IF(W57&gt;=900,"&gt; 900",IF(W57&gt;=600,"&gt; 600",IF(W57&gt;=450,"&gt; 450",IF(W57&gt;=300,"&gt; 300",IF(W57&gt;=150,"&gt; 150",IF(W57&lt;150,"&lt; 150",IF(W57&lt;1,"Nill")))))))))</f>
        <v>&gt; 300</v>
      </c>
    </row>
    <row r="58" spans="1:24" x14ac:dyDescent="0.3">
      <c r="A58" s="4" t="str">
        <f>VLOOKUP(G58,Data!$A:$G,2,0)</f>
        <v>Pijush Singha</v>
      </c>
      <c r="B58" s="4" t="str">
        <f>VLOOKUP(G58,Data!$A:$G,3,0)</f>
        <v>Active</v>
      </c>
      <c r="C58" s="4" t="str">
        <f>VLOOKUP(G58,Data!$A:$G,4,0)</f>
        <v>Siliguri</v>
      </c>
      <c r="D58" s="4" t="str">
        <f>VLOOKUP(G58,Data!$A:$G,5,0)</f>
        <v>Nabagram</v>
      </c>
      <c r="E58" s="4" t="str">
        <f>VLOOKUP(G58,Data!$A:$G,6,0)</f>
        <v>Sahabuddin Ahmed</v>
      </c>
      <c r="F58" s="10" t="str">
        <f>VLOOKUP(G58,Data!$A:$G,7,0)</f>
        <v>2410312329</v>
      </c>
      <c r="G58" s="5">
        <v>23270</v>
      </c>
      <c r="H58" s="7">
        <f>COUNT(J58:U58)</f>
        <v>6</v>
      </c>
      <c r="I58" s="7">
        <f>H58*300</f>
        <v>1800</v>
      </c>
      <c r="J58" s="8">
        <v>204</v>
      </c>
      <c r="K58" s="8">
        <v>189</v>
      </c>
      <c r="L58" s="8">
        <v>169</v>
      </c>
      <c r="M58" s="8">
        <v>189</v>
      </c>
      <c r="N58" s="8">
        <v>185</v>
      </c>
      <c r="O58" s="8">
        <v>32</v>
      </c>
      <c r="P58" s="8"/>
      <c r="Q58" s="8"/>
      <c r="R58" s="8"/>
      <c r="S58" s="8"/>
      <c r="T58" s="8"/>
      <c r="U58" s="8"/>
      <c r="V58" s="8">
        <f>SUM(J58:U58)</f>
        <v>968</v>
      </c>
      <c r="W58" s="9">
        <f>V58/H58</f>
        <v>161.33333333333334</v>
      </c>
      <c r="X58" s="59" t="str">
        <f>IF(W58&gt;=2000,"&gt; 2000",IF(W58&gt;=1500,"&gt; 1500",IF(W58&gt;=900,"&gt; 900",IF(W58&gt;=600,"&gt; 600",IF(W58&gt;=450,"&gt; 450",IF(W58&gt;=300,"&gt; 300",IF(W58&gt;=150,"&gt; 150",IF(W58&lt;150,"&lt; 150",IF(W58&lt;1,"Nill")))))))))</f>
        <v>&gt; 150</v>
      </c>
    </row>
    <row r="59" spans="1:24" x14ac:dyDescent="0.3">
      <c r="A59" s="4" t="str">
        <f>VLOOKUP(G59,Data!$A:$G,2,0)</f>
        <v>Under Office (Birbhum)</v>
      </c>
      <c r="B59" s="4" t="str">
        <f>VLOOKUP(G59,Data!$A:$G,3,0)</f>
        <v>Active</v>
      </c>
      <c r="C59" s="4" t="str">
        <f>VLOOKUP(G59,Data!$A:$G,4,0)</f>
        <v>Siliguri</v>
      </c>
      <c r="D59" s="4" t="str">
        <f>VLOOKUP(G59,Data!$A:$G,5,0)</f>
        <v>Dharampur</v>
      </c>
      <c r="E59" s="4" t="str">
        <f>VLOOKUP(G59,Data!$A:$G,6,0)</f>
        <v>Md Zulfikar Ali</v>
      </c>
      <c r="F59" s="10" t="str">
        <f>VLOOKUP(G59,Data!$A:$G,7,0)</f>
        <v>0140315201</v>
      </c>
      <c r="G59" s="5">
        <v>27792</v>
      </c>
      <c r="H59" s="7">
        <f>COUNT(J59:U59)</f>
        <v>6</v>
      </c>
      <c r="I59" s="7">
        <f>H59*300</f>
        <v>1800</v>
      </c>
      <c r="J59" s="8">
        <v>485</v>
      </c>
      <c r="K59" s="8">
        <v>359</v>
      </c>
      <c r="L59" s="8">
        <v>423</v>
      </c>
      <c r="M59" s="8">
        <v>465</v>
      </c>
      <c r="N59" s="8">
        <v>448</v>
      </c>
      <c r="O59" s="8">
        <v>31</v>
      </c>
      <c r="P59" s="8"/>
      <c r="Q59" s="8"/>
      <c r="R59" s="8"/>
      <c r="S59" s="8"/>
      <c r="T59" s="8"/>
      <c r="U59" s="8"/>
      <c r="V59" s="8">
        <f>SUM(J59:U59)</f>
        <v>2211</v>
      </c>
      <c r="W59" s="9">
        <f>V59/H59</f>
        <v>368.5</v>
      </c>
      <c r="X59" s="59" t="str">
        <f>IF(W59&gt;=2000,"&gt; 2000",IF(W59&gt;=1500,"&gt; 1500",IF(W59&gt;=900,"&gt; 900",IF(W59&gt;=600,"&gt; 600",IF(W59&gt;=450,"&gt; 450",IF(W59&gt;=300,"&gt; 300",IF(W59&gt;=150,"&gt; 150",IF(W59&lt;150,"&lt; 150",IF(W59&lt;1,"Nill")))))))))</f>
        <v>&gt; 300</v>
      </c>
    </row>
    <row r="60" spans="1:24" x14ac:dyDescent="0.3">
      <c r="A60" s="4" t="str">
        <f>VLOOKUP(G60,Data!$A:$G,2,0)</f>
        <v>Under Office (W Medinipur)</v>
      </c>
      <c r="B60" s="4" t="str">
        <f>VLOOKUP(G60,Data!$A:$G,3,0)</f>
        <v>Active</v>
      </c>
      <c r="C60" s="4" t="str">
        <f>VLOOKUP(G60,Data!$A:$G,4,0)</f>
        <v>Hooghly</v>
      </c>
      <c r="D60" s="4" t="str">
        <f>VLOOKUP(G60,Data!$A:$G,5,0)</f>
        <v>Banka</v>
      </c>
      <c r="E60" s="4" t="str">
        <f>VLOOKUP(G60,Data!$A:$G,6,0)</f>
        <v>Subhajit Chanda</v>
      </c>
      <c r="F60" s="10" t="str">
        <f>VLOOKUP(G60,Data!$A:$G,7,0)</f>
        <v>2390312543</v>
      </c>
      <c r="G60" s="5">
        <v>23560</v>
      </c>
      <c r="H60" s="7">
        <f>COUNT(J60:U60)</f>
        <v>6</v>
      </c>
      <c r="I60" s="7">
        <f>H60*300</f>
        <v>1800</v>
      </c>
      <c r="J60" s="8">
        <v>467</v>
      </c>
      <c r="K60" s="8">
        <v>414</v>
      </c>
      <c r="L60" s="8">
        <v>378</v>
      </c>
      <c r="M60" s="8">
        <v>373</v>
      </c>
      <c r="N60" s="8">
        <v>391</v>
      </c>
      <c r="O60" s="8">
        <v>31</v>
      </c>
      <c r="P60" s="8"/>
      <c r="Q60" s="8"/>
      <c r="R60" s="8"/>
      <c r="S60" s="8"/>
      <c r="T60" s="8"/>
      <c r="U60" s="8"/>
      <c r="V60" s="8">
        <f>SUM(J60:U60)</f>
        <v>2054</v>
      </c>
      <c r="W60" s="9">
        <f>V60/H60</f>
        <v>342.33333333333331</v>
      </c>
      <c r="X60" s="59" t="str">
        <f>IF(W60&gt;=2000,"&gt; 2000",IF(W60&gt;=1500,"&gt; 1500",IF(W60&gt;=900,"&gt; 900",IF(W60&gt;=600,"&gt; 600",IF(W60&gt;=450,"&gt; 450",IF(W60&gt;=300,"&gt; 300",IF(W60&gt;=150,"&gt; 150",IF(W60&lt;150,"&lt; 150",IF(W60&lt;1,"Nill")))))))))</f>
        <v>&gt; 300</v>
      </c>
    </row>
    <row r="61" spans="1:24" x14ac:dyDescent="0.3">
      <c r="A61" s="4" t="str">
        <f>VLOOKUP(G61,Data!$A:$G,2,0)</f>
        <v>Under Office (W Medinipur)</v>
      </c>
      <c r="B61" s="4" t="str">
        <f>VLOOKUP(G61,Data!$A:$G,3,0)</f>
        <v>Active</v>
      </c>
      <c r="C61" s="4" t="str">
        <f>VLOOKUP(G61,Data!$A:$G,4,0)</f>
        <v>Hooghly</v>
      </c>
      <c r="D61" s="4" t="str">
        <f>VLOOKUP(G61,Data!$A:$G,5,0)</f>
        <v>Kankabati</v>
      </c>
      <c r="E61" s="4" t="str">
        <f>VLOOKUP(G61,Data!$A:$G,6,0)</f>
        <v>Mita Samanta</v>
      </c>
      <c r="F61" s="10" t="str">
        <f>VLOOKUP(G61,Data!$A:$G,7,0)</f>
        <v>2390311663</v>
      </c>
      <c r="G61" s="5">
        <v>22401</v>
      </c>
      <c r="H61" s="7">
        <f>COUNT(J61:U61)</f>
        <v>6</v>
      </c>
      <c r="I61" s="7">
        <f>H61*300</f>
        <v>1800</v>
      </c>
      <c r="J61" s="8">
        <v>136</v>
      </c>
      <c r="K61" s="8">
        <v>194</v>
      </c>
      <c r="L61" s="8">
        <v>100</v>
      </c>
      <c r="M61" s="8">
        <v>98</v>
      </c>
      <c r="N61" s="8">
        <v>83</v>
      </c>
      <c r="O61" s="8">
        <v>31</v>
      </c>
      <c r="P61" s="8"/>
      <c r="Q61" s="8"/>
      <c r="R61" s="8"/>
      <c r="S61" s="8"/>
      <c r="T61" s="8"/>
      <c r="U61" s="8"/>
      <c r="V61" s="8">
        <f>SUM(J61:U61)</f>
        <v>642</v>
      </c>
      <c r="W61" s="9">
        <f>V61/H61</f>
        <v>107</v>
      </c>
      <c r="X61" s="59" t="str">
        <f>IF(W61&gt;=2000,"&gt; 2000",IF(W61&gt;=1500,"&gt; 1500",IF(W61&gt;=900,"&gt; 900",IF(W61&gt;=600,"&gt; 600",IF(W61&gt;=450,"&gt; 450",IF(W61&gt;=300,"&gt; 300",IF(W61&gt;=150,"&gt; 150",IF(W61&lt;150,"&lt; 150",IF(W61&lt;1,"Nill")))))))))</f>
        <v>&lt; 150</v>
      </c>
    </row>
    <row r="62" spans="1:24" x14ac:dyDescent="0.3">
      <c r="A62" s="4" t="str">
        <f>VLOOKUP(G62,Data!$A:$G,2,0)</f>
        <v>Under Office (W Medinipur)</v>
      </c>
      <c r="B62" s="4" t="str">
        <f>VLOOKUP(G62,Data!$A:$G,3,0)</f>
        <v>Active</v>
      </c>
      <c r="C62" s="4" t="str">
        <f>VLOOKUP(G62,Data!$A:$G,4,0)</f>
        <v>Hooghly</v>
      </c>
      <c r="D62" s="4" t="str">
        <f>VLOOKUP(G62,Data!$A:$G,5,0)</f>
        <v>Banka</v>
      </c>
      <c r="E62" s="4" t="str">
        <f>VLOOKUP(G62,Data!$A:$G,6,0)</f>
        <v>Shampa Mandal</v>
      </c>
      <c r="F62" s="10" t="str">
        <f>VLOOKUP(G62,Data!$A:$G,7,0)</f>
        <v>2390312439</v>
      </c>
      <c r="G62" s="5">
        <v>23431</v>
      </c>
      <c r="H62" s="7">
        <f>COUNT(J62:U62)</f>
        <v>6</v>
      </c>
      <c r="I62" s="7">
        <f>H62*300</f>
        <v>1800</v>
      </c>
      <c r="J62" s="8">
        <v>212</v>
      </c>
      <c r="K62" s="8">
        <v>135</v>
      </c>
      <c r="L62" s="8">
        <v>220</v>
      </c>
      <c r="M62" s="8">
        <v>219</v>
      </c>
      <c r="N62" s="8">
        <v>193</v>
      </c>
      <c r="O62" s="8">
        <v>28</v>
      </c>
      <c r="P62" s="8"/>
      <c r="Q62" s="8"/>
      <c r="R62" s="8"/>
      <c r="S62" s="8"/>
      <c r="T62" s="8"/>
      <c r="U62" s="8"/>
      <c r="V62" s="8">
        <f>SUM(J62:U62)</f>
        <v>1007</v>
      </c>
      <c r="W62" s="9">
        <f>V62/H62</f>
        <v>167.83333333333334</v>
      </c>
      <c r="X62" s="59" t="str">
        <f>IF(W62&gt;=2000,"&gt; 2000",IF(W62&gt;=1500,"&gt; 1500",IF(W62&gt;=900,"&gt; 900",IF(W62&gt;=600,"&gt; 600",IF(W62&gt;=450,"&gt; 450",IF(W62&gt;=300,"&gt; 300",IF(W62&gt;=150,"&gt; 150",IF(W62&lt;150,"&lt; 150",IF(W62&lt;1,"Nill")))))))))</f>
        <v>&gt; 150</v>
      </c>
    </row>
    <row r="63" spans="1:24" x14ac:dyDescent="0.3">
      <c r="A63" s="4" t="str">
        <f>VLOOKUP(G63,Data!$A:$G,2,0)</f>
        <v>Sanjoy Paul</v>
      </c>
      <c r="B63" s="4" t="str">
        <f>VLOOKUP(G63,Data!$A:$G,3,0)</f>
        <v>Active</v>
      </c>
      <c r="C63" s="4" t="str">
        <f>VLOOKUP(G63,Data!$A:$G,4,0)</f>
        <v>Siliguri</v>
      </c>
      <c r="D63" s="4" t="str">
        <f>VLOOKUP(G63,Data!$A:$G,5,0)</f>
        <v>Raiganj</v>
      </c>
      <c r="E63" s="4" t="str">
        <f>VLOOKUP(G63,Data!$A:$G,6,0)</f>
        <v>Joydev Das</v>
      </c>
      <c r="F63" s="10" t="str">
        <f>VLOOKUP(G63,Data!$A:$G,7,0)</f>
        <v>2560315042</v>
      </c>
      <c r="G63" s="5">
        <v>27372</v>
      </c>
      <c r="H63" s="7">
        <f>COUNT(J63:U63)</f>
        <v>6</v>
      </c>
      <c r="I63" s="7">
        <f>H63*300</f>
        <v>1800</v>
      </c>
      <c r="J63" s="8">
        <v>408</v>
      </c>
      <c r="K63" s="8">
        <v>288</v>
      </c>
      <c r="L63" s="8">
        <v>169</v>
      </c>
      <c r="M63" s="8">
        <v>240</v>
      </c>
      <c r="N63" s="8">
        <v>296</v>
      </c>
      <c r="O63" s="8">
        <v>27</v>
      </c>
      <c r="P63" s="8"/>
      <c r="Q63" s="8"/>
      <c r="R63" s="8"/>
      <c r="S63" s="8"/>
      <c r="T63" s="8"/>
      <c r="U63" s="8"/>
      <c r="V63" s="8">
        <f>SUM(J63:U63)</f>
        <v>1428</v>
      </c>
      <c r="W63" s="9">
        <f>V63/H63</f>
        <v>238</v>
      </c>
      <c r="X63" s="59" t="str">
        <f>IF(W63&gt;=2000,"&gt; 2000",IF(W63&gt;=1500,"&gt; 1500",IF(W63&gt;=900,"&gt; 900",IF(W63&gt;=600,"&gt; 600",IF(W63&gt;=450,"&gt; 450",IF(W63&gt;=300,"&gt; 300",IF(W63&gt;=150,"&gt; 150",IF(W63&lt;150,"&lt; 150",IF(W63&lt;1,"Nill")))))))))</f>
        <v>&gt; 150</v>
      </c>
    </row>
    <row r="64" spans="1:24" x14ac:dyDescent="0.3">
      <c r="A64" s="4" t="str">
        <f>VLOOKUP(G64,Data!$A:$G,2,0)</f>
        <v>Manindra Nath Barman</v>
      </c>
      <c r="B64" s="4" t="str">
        <f>VLOOKUP(G64,Data!$A:$G,3,0)</f>
        <v>Active</v>
      </c>
      <c r="C64" s="4" t="str">
        <f>VLOOKUP(G64,Data!$A:$G,4,0)</f>
        <v>Siliguri</v>
      </c>
      <c r="D64" s="4" t="str">
        <f>VLOOKUP(G64,Data!$A:$G,5,0)</f>
        <v>Damanpur</v>
      </c>
      <c r="E64" s="4" t="str">
        <f>VLOOKUP(G64,Data!$A:$G,6,0)</f>
        <v>Biplab Barman</v>
      </c>
      <c r="F64" s="10" t="str">
        <f>VLOOKUP(G64,Data!$A:$G,7,0)</f>
        <v>9490310566</v>
      </c>
      <c r="G64" s="5">
        <v>21091</v>
      </c>
      <c r="H64" s="7">
        <f>COUNT(J64:U64)</f>
        <v>6</v>
      </c>
      <c r="I64" s="7">
        <f>H64*300</f>
        <v>1800</v>
      </c>
      <c r="J64" s="8">
        <v>171</v>
      </c>
      <c r="K64" s="8">
        <v>243</v>
      </c>
      <c r="L64" s="8">
        <v>167</v>
      </c>
      <c r="M64" s="8">
        <v>191</v>
      </c>
      <c r="N64" s="8">
        <v>158</v>
      </c>
      <c r="O64" s="8">
        <v>27</v>
      </c>
      <c r="P64" s="8"/>
      <c r="Q64" s="8"/>
      <c r="R64" s="8"/>
      <c r="S64" s="8"/>
      <c r="T64" s="8"/>
      <c r="U64" s="8"/>
      <c r="V64" s="8">
        <f>SUM(J64:U64)</f>
        <v>957</v>
      </c>
      <c r="W64" s="9">
        <f>V64/H64</f>
        <v>159.5</v>
      </c>
      <c r="X64" s="59" t="str">
        <f>IF(W64&gt;=2000,"&gt; 2000",IF(W64&gt;=1500,"&gt; 1500",IF(W64&gt;=900,"&gt; 900",IF(W64&gt;=600,"&gt; 600",IF(W64&gt;=450,"&gt; 450",IF(W64&gt;=300,"&gt; 300",IF(W64&gt;=150,"&gt; 150",IF(W64&lt;150,"&lt; 150",IF(W64&lt;1,"Nill")))))))))</f>
        <v>&gt; 150</v>
      </c>
    </row>
    <row r="65" spans="1:24" x14ac:dyDescent="0.3">
      <c r="A65" s="4" t="str">
        <f>VLOOKUP(G65,Data!$A:$G,2,0)</f>
        <v>Sunil Biswas</v>
      </c>
      <c r="B65" s="4" t="str">
        <f>VLOOKUP(G65,Data!$A:$G,3,0)</f>
        <v>Active</v>
      </c>
      <c r="C65" s="4" t="str">
        <f>VLOOKUP(G65,Data!$A:$G,4,0)</f>
        <v>Durgapur</v>
      </c>
      <c r="D65" s="4" t="str">
        <f>VLOOKUP(G65,Data!$A:$G,5,0)</f>
        <v>Santipur</v>
      </c>
      <c r="E65" s="4" t="str">
        <f>VLOOKUP(G65,Data!$A:$G,6,0)</f>
        <v>Najmira Khatun</v>
      </c>
      <c r="F65" s="10" t="str">
        <f>VLOOKUP(G65,Data!$A:$G,7,0)</f>
        <v>2430315335</v>
      </c>
      <c r="G65" s="5">
        <v>28075</v>
      </c>
      <c r="H65" s="7">
        <f>COUNT(J65:U65)</f>
        <v>6</v>
      </c>
      <c r="I65" s="7">
        <f>H65*300</f>
        <v>1800</v>
      </c>
      <c r="J65" s="8">
        <v>125</v>
      </c>
      <c r="K65" s="8">
        <v>93</v>
      </c>
      <c r="L65" s="8">
        <v>80</v>
      </c>
      <c r="M65" s="8">
        <v>179</v>
      </c>
      <c r="N65" s="8">
        <v>123</v>
      </c>
      <c r="O65" s="8">
        <v>27</v>
      </c>
      <c r="P65" s="8"/>
      <c r="Q65" s="8"/>
      <c r="R65" s="8"/>
      <c r="S65" s="8"/>
      <c r="T65" s="8"/>
      <c r="U65" s="8"/>
      <c r="V65" s="8">
        <f>SUM(J65:U65)</f>
        <v>627</v>
      </c>
      <c r="W65" s="9">
        <f>V65/H65</f>
        <v>104.5</v>
      </c>
      <c r="X65" s="59" t="str">
        <f>IF(W65&gt;=2000,"&gt; 2000",IF(W65&gt;=1500,"&gt; 1500",IF(W65&gt;=900,"&gt; 900",IF(W65&gt;=600,"&gt; 600",IF(W65&gt;=450,"&gt; 450",IF(W65&gt;=300,"&gt; 300",IF(W65&gt;=150,"&gt; 150",IF(W65&lt;150,"&lt; 150",IF(W65&lt;1,"Nill")))))))))</f>
        <v>&lt; 150</v>
      </c>
    </row>
    <row r="66" spans="1:24" x14ac:dyDescent="0.3">
      <c r="A66" s="4" t="str">
        <f>VLOOKUP(G66,Data!$A:$G,2,0)</f>
        <v>Under Office (W Medinipur)</v>
      </c>
      <c r="B66" s="4" t="str">
        <f>VLOOKUP(G66,Data!$A:$G,3,0)</f>
        <v>Active</v>
      </c>
      <c r="C66" s="4" t="str">
        <f>VLOOKUP(G66,Data!$A:$G,4,0)</f>
        <v>Hooghly</v>
      </c>
      <c r="D66" s="4" t="str">
        <f>VLOOKUP(G66,Data!$A:$G,5,0)</f>
        <v>Ghatal</v>
      </c>
      <c r="E66" s="4" t="str">
        <f>VLOOKUP(G66,Data!$A:$G,6,0)</f>
        <v>Chandan Satik</v>
      </c>
      <c r="F66" s="10" t="str">
        <f>VLOOKUP(G66,Data!$A:$G,7,0)</f>
        <v>2390311662</v>
      </c>
      <c r="G66" s="5">
        <v>22400</v>
      </c>
      <c r="H66" s="7">
        <f>COUNT(J66:U66)</f>
        <v>6</v>
      </c>
      <c r="I66" s="7">
        <f>H66*300</f>
        <v>1800</v>
      </c>
      <c r="J66" s="8">
        <v>99</v>
      </c>
      <c r="K66" s="8">
        <v>63</v>
      </c>
      <c r="L66" s="8">
        <v>35</v>
      </c>
      <c r="M66" s="8">
        <v>50</v>
      </c>
      <c r="N66" s="8">
        <v>54</v>
      </c>
      <c r="O66" s="8">
        <v>17</v>
      </c>
      <c r="P66" s="8"/>
      <c r="Q66" s="8"/>
      <c r="R66" s="8"/>
      <c r="S66" s="8"/>
      <c r="T66" s="8"/>
      <c r="U66" s="8"/>
      <c r="V66" s="8">
        <f>SUM(J66:U66)</f>
        <v>318</v>
      </c>
      <c r="W66" s="9">
        <f>V66/H66</f>
        <v>53</v>
      </c>
      <c r="X66" s="59" t="str">
        <f>IF(W66&gt;=2000,"&gt; 2000",IF(W66&gt;=1500,"&gt; 1500",IF(W66&gt;=900,"&gt; 900",IF(W66&gt;=600,"&gt; 600",IF(W66&gt;=450,"&gt; 450",IF(W66&gt;=300,"&gt; 300",IF(W66&gt;=150,"&gt; 150",IF(W66&lt;150,"&lt; 150",IF(W66&lt;1,"Nill")))))))))</f>
        <v>&lt; 150</v>
      </c>
    </row>
    <row r="67" spans="1:24" x14ac:dyDescent="0.3">
      <c r="A67" s="4" t="str">
        <f>VLOOKUP(G67,Data!$A:$G,2,0)</f>
        <v>Sunil Biswas</v>
      </c>
      <c r="B67" s="4" t="str">
        <f>VLOOKUP(G67,Data!$A:$G,3,0)</f>
        <v>Active</v>
      </c>
      <c r="C67" s="4" t="str">
        <f>VLOOKUP(G67,Data!$A:$G,4,0)</f>
        <v>Durgapur</v>
      </c>
      <c r="D67" s="4" t="str">
        <f>VLOOKUP(G67,Data!$A:$G,5,0)</f>
        <v>Ranaghat</v>
      </c>
      <c r="E67" s="4" t="str">
        <f>VLOOKUP(G67,Data!$A:$G,6,0)</f>
        <v>Sagari Ghosh</v>
      </c>
      <c r="F67" s="10" t="str">
        <f>VLOOKUP(G67,Data!$A:$G,7,0)</f>
        <v>2430314519</v>
      </c>
      <c r="G67" s="5">
        <v>26595</v>
      </c>
      <c r="H67" s="7">
        <f>COUNT(J67:U67)</f>
        <v>6</v>
      </c>
      <c r="I67" s="7">
        <f>H67*300</f>
        <v>1800</v>
      </c>
      <c r="J67" s="8">
        <v>894</v>
      </c>
      <c r="K67" s="8">
        <v>724</v>
      </c>
      <c r="L67" s="8">
        <v>564</v>
      </c>
      <c r="M67" s="8">
        <v>220</v>
      </c>
      <c r="N67" s="8">
        <v>139</v>
      </c>
      <c r="O67" s="8">
        <v>15</v>
      </c>
      <c r="P67" s="8"/>
      <c r="Q67" s="8"/>
      <c r="R67" s="8"/>
      <c r="S67" s="8"/>
      <c r="T67" s="8"/>
      <c r="U67" s="8"/>
      <c r="V67" s="8">
        <f>SUM(J67:U67)</f>
        <v>2556</v>
      </c>
      <c r="W67" s="9">
        <f>V67/H67</f>
        <v>426</v>
      </c>
      <c r="X67" s="59" t="str">
        <f>IF(W67&gt;=2000,"&gt; 2000",IF(W67&gt;=1500,"&gt; 1500",IF(W67&gt;=900,"&gt; 900",IF(W67&gt;=600,"&gt; 600",IF(W67&gt;=450,"&gt; 450",IF(W67&gt;=300,"&gt; 300",IF(W67&gt;=150,"&gt; 150",IF(W67&lt;150,"&lt; 150",IF(W67&lt;1,"Nill")))))))))</f>
        <v>&gt; 300</v>
      </c>
    </row>
    <row r="68" spans="1:24" x14ac:dyDescent="0.3">
      <c r="A68" s="4" t="str">
        <f>VLOOKUP(G68,Data!$A:$G,2,0)</f>
        <v>Sunil Biswas</v>
      </c>
      <c r="B68" s="4" t="s">
        <v>275</v>
      </c>
      <c r="C68" s="4" t="str">
        <f>VLOOKUP(G68,Data!$A:$G,4,0)</f>
        <v>Durgapur</v>
      </c>
      <c r="D68" s="4" t="str">
        <f>VLOOKUP(G68,Data!$A:$G,5,0)</f>
        <v>Hridaypur</v>
      </c>
      <c r="E68" s="4" t="str">
        <f>VLOOKUP(G68,Data!$A:$G,6,0)</f>
        <v>Suman Ghosh</v>
      </c>
      <c r="F68" s="10" t="str">
        <f>VLOOKUP(G68,Data!$A:$G,7,0)</f>
        <v>8116659114</v>
      </c>
      <c r="G68" s="5">
        <v>29525</v>
      </c>
      <c r="H68" s="7">
        <f>COUNT(J68:U68)</f>
        <v>4</v>
      </c>
      <c r="I68" s="7">
        <f>H68*300</f>
        <v>1200</v>
      </c>
      <c r="J68" s="8"/>
      <c r="K68" s="8"/>
      <c r="L68" s="8">
        <v>46</v>
      </c>
      <c r="M68" s="8">
        <v>114</v>
      </c>
      <c r="N68" s="8">
        <v>62</v>
      </c>
      <c r="O68" s="8">
        <v>13</v>
      </c>
      <c r="P68" s="8"/>
      <c r="Q68" s="8"/>
      <c r="R68" s="8"/>
      <c r="S68" s="8"/>
      <c r="T68" s="8"/>
      <c r="U68" s="8"/>
      <c r="V68" s="8">
        <f>SUM(J68:U68)</f>
        <v>235</v>
      </c>
      <c r="W68" s="9">
        <f>V68/H68</f>
        <v>58.75</v>
      </c>
      <c r="X68" s="59" t="str">
        <f>IF(W68&gt;=2000,"&gt; 2000",IF(W68&gt;=1500,"&gt; 1500",IF(W68&gt;=900,"&gt; 900",IF(W68&gt;=600,"&gt; 600",IF(W68&gt;=450,"&gt; 450",IF(W68&gt;=300,"&gt; 300",IF(W68&gt;=150,"&gt; 150",IF(W68&lt;150,"&lt; 150",IF(W68&lt;1,"Nill")))))))))</f>
        <v>&lt; 150</v>
      </c>
    </row>
    <row r="69" spans="1:24" x14ac:dyDescent="0.3">
      <c r="A69" s="4" t="str">
        <f>VLOOKUP(G69,Data!$A:$G,2,0)</f>
        <v>Santanu Bera</v>
      </c>
      <c r="B69" s="4" t="str">
        <f>VLOOKUP(G69,Data!$A:$G,3,0)</f>
        <v>Active</v>
      </c>
      <c r="C69" s="4" t="str">
        <f>VLOOKUP(G69,Data!$A:$G,4,0)</f>
        <v>Hooghly</v>
      </c>
      <c r="D69" s="4" t="str">
        <f>VLOOKUP(G69,Data!$A:$G,5,0)</f>
        <v>Contai</v>
      </c>
      <c r="E69" s="4" t="str">
        <f>VLOOKUP(G69,Data!$A:$G,6,0)</f>
        <v>Subhankar Sahoo</v>
      </c>
      <c r="F69" s="10" t="str">
        <f>VLOOKUP(G69,Data!$A:$G,7,0)</f>
        <v>2380314983</v>
      </c>
      <c r="G69" s="5">
        <v>27249</v>
      </c>
      <c r="H69" s="7">
        <f>COUNT(J69:U69)</f>
        <v>6</v>
      </c>
      <c r="I69" s="7">
        <f>H69*300</f>
        <v>1800</v>
      </c>
      <c r="J69" s="8">
        <v>30</v>
      </c>
      <c r="K69" s="8">
        <v>14</v>
      </c>
      <c r="L69" s="8">
        <v>6</v>
      </c>
      <c r="M69" s="8">
        <v>22</v>
      </c>
      <c r="N69" s="8">
        <v>21</v>
      </c>
      <c r="O69" s="8">
        <v>13</v>
      </c>
      <c r="P69" s="8"/>
      <c r="Q69" s="8"/>
      <c r="R69" s="8"/>
      <c r="S69" s="8"/>
      <c r="T69" s="8"/>
      <c r="U69" s="8"/>
      <c r="V69" s="8">
        <f>SUM(J69:U69)</f>
        <v>106</v>
      </c>
      <c r="W69" s="9">
        <f>V69/H69</f>
        <v>17.666666666666668</v>
      </c>
      <c r="X69" s="59" t="str">
        <f>IF(W69&gt;=2000,"&gt; 2000",IF(W69&gt;=1500,"&gt; 1500",IF(W69&gt;=900,"&gt; 900",IF(W69&gt;=600,"&gt; 600",IF(W69&gt;=450,"&gt; 450",IF(W69&gt;=300,"&gt; 300",IF(W69&gt;=150,"&gt; 150",IF(W69&lt;150,"&lt; 150",IF(W69&lt;1,"Nill")))))))))</f>
        <v>&lt; 150</v>
      </c>
    </row>
    <row r="70" spans="1:24" x14ac:dyDescent="0.3">
      <c r="A70" s="4" t="str">
        <f>VLOOKUP(G70,Data!$A:$G,2,0)</f>
        <v>Manindra Nath Barman</v>
      </c>
      <c r="B70" s="4" t="str">
        <f>VLOOKUP(G70,Data!$A:$G,3,0)</f>
        <v>Active</v>
      </c>
      <c r="C70" s="4" t="str">
        <f>VLOOKUP(G70,Data!$A:$G,4,0)</f>
        <v>Siliguri</v>
      </c>
      <c r="D70" s="4" t="str">
        <f>VLOOKUP(G70,Data!$A:$G,5,0)</f>
        <v>Barobisha</v>
      </c>
      <c r="E70" s="4" t="str">
        <f>VLOOKUP(G70,Data!$A:$G,6,0)</f>
        <v>Sankar Arya</v>
      </c>
      <c r="F70" s="10" t="str">
        <f>VLOOKUP(G70,Data!$A:$G,7,0)</f>
        <v>2200315639</v>
      </c>
      <c r="G70" s="5">
        <v>28692</v>
      </c>
      <c r="H70" s="7">
        <f>COUNT(J70:U70)</f>
        <v>6</v>
      </c>
      <c r="I70" s="7">
        <f>H70*300</f>
        <v>1800</v>
      </c>
      <c r="J70" s="8">
        <v>64</v>
      </c>
      <c r="K70" s="8">
        <v>41</v>
      </c>
      <c r="L70" s="8">
        <v>49</v>
      </c>
      <c r="M70" s="8">
        <v>25</v>
      </c>
      <c r="N70" s="8">
        <v>66</v>
      </c>
      <c r="O70" s="8">
        <v>10</v>
      </c>
      <c r="P70" s="8"/>
      <c r="Q70" s="8"/>
      <c r="R70" s="8"/>
      <c r="S70" s="8"/>
      <c r="T70" s="8"/>
      <c r="U70" s="8"/>
      <c r="V70" s="8">
        <f>SUM(J70:U70)</f>
        <v>255</v>
      </c>
      <c r="W70" s="9">
        <f>V70/H70</f>
        <v>42.5</v>
      </c>
      <c r="X70" s="59" t="str">
        <f>IF(W70&gt;=2000,"&gt; 2000",IF(W70&gt;=1500,"&gt; 1500",IF(W70&gt;=900,"&gt; 900",IF(W70&gt;=600,"&gt; 600",IF(W70&gt;=450,"&gt; 450",IF(W70&gt;=300,"&gt; 300",IF(W70&gt;=150,"&gt; 150",IF(W70&lt;150,"&lt; 150",IF(W70&lt;1,"Nill")))))))))</f>
        <v>&lt; 150</v>
      </c>
    </row>
    <row r="71" spans="1:24" x14ac:dyDescent="0.3">
      <c r="A71" s="4" t="str">
        <f>VLOOKUP(G71,Data!$A:$G,2,0)</f>
        <v>Shyamalesh Sarkar</v>
      </c>
      <c r="B71" s="4" t="str">
        <f>VLOOKUP(G71,Data!$A:$G,3,0)</f>
        <v>Active</v>
      </c>
      <c r="C71" s="4" t="str">
        <f>VLOOKUP(G71,Data!$A:$G,4,0)</f>
        <v>Siliguri</v>
      </c>
      <c r="D71" s="4" t="str">
        <f>VLOOKUP(G71,Data!$A:$G,5,0)</f>
        <v>Sagardighi Square</v>
      </c>
      <c r="E71" s="4" t="str">
        <f>VLOOKUP(G71,Data!$A:$G,6,0)</f>
        <v xml:space="preserve">Khurshid Alom </v>
      </c>
      <c r="F71" s="10" t="str">
        <f>VLOOKUP(G71,Data!$A:$G,7,0)</f>
        <v>2200311941</v>
      </c>
      <c r="G71" s="5">
        <v>22768</v>
      </c>
      <c r="H71" s="7">
        <f>COUNT(J71:U71)</f>
        <v>6</v>
      </c>
      <c r="I71" s="7">
        <f>H71*300</f>
        <v>1800</v>
      </c>
      <c r="J71" s="8">
        <v>124</v>
      </c>
      <c r="K71" s="8">
        <v>88</v>
      </c>
      <c r="L71" s="8">
        <v>74</v>
      </c>
      <c r="M71" s="8">
        <v>72</v>
      </c>
      <c r="N71" s="8">
        <v>84</v>
      </c>
      <c r="O71" s="8">
        <v>8</v>
      </c>
      <c r="P71" s="8"/>
      <c r="Q71" s="8"/>
      <c r="R71" s="8"/>
      <c r="S71" s="8"/>
      <c r="T71" s="8"/>
      <c r="U71" s="8"/>
      <c r="V71" s="8">
        <f>SUM(J71:U71)</f>
        <v>450</v>
      </c>
      <c r="W71" s="9">
        <f>V71/H71</f>
        <v>75</v>
      </c>
      <c r="X71" s="59" t="str">
        <f>IF(W71&gt;=2000,"&gt; 2000",IF(W71&gt;=1500,"&gt; 1500",IF(W71&gt;=900,"&gt; 900",IF(W71&gt;=600,"&gt; 600",IF(W71&gt;=450,"&gt; 450",IF(W71&gt;=300,"&gt; 300",IF(W71&gt;=150,"&gt; 150",IF(W71&lt;150,"&lt; 150",IF(W71&lt;1,"Nill")))))))))</f>
        <v>&lt; 150</v>
      </c>
    </row>
    <row r="72" spans="1:24" x14ac:dyDescent="0.3">
      <c r="A72" s="4" t="str">
        <f>VLOOKUP(G72,Data!$A:$G,2,0)</f>
        <v>Sunil Biswas</v>
      </c>
      <c r="B72" s="4" t="str">
        <f>VLOOKUP(G72,Data!$A:$G,3,0)</f>
        <v>Active</v>
      </c>
      <c r="C72" s="4" t="str">
        <f>VLOOKUP(G72,Data!$A:$G,4,0)</f>
        <v>Durgapur</v>
      </c>
      <c r="D72" s="4" t="str">
        <f>VLOOKUP(G72,Data!$A:$G,5,0)</f>
        <v>Ranaghat</v>
      </c>
      <c r="E72" s="4" t="str">
        <f>VLOOKUP(G72,Data!$A:$G,6,0)</f>
        <v>Kishore Bhakta</v>
      </c>
      <c r="F72" s="10" t="str">
        <f>VLOOKUP(G72,Data!$A:$G,7,0)</f>
        <v>2430315568</v>
      </c>
      <c r="G72" s="5">
        <v>28482</v>
      </c>
      <c r="H72" s="7">
        <f>COUNT(J72:U72)</f>
        <v>6</v>
      </c>
      <c r="I72" s="7">
        <f>H72*300</f>
        <v>1800</v>
      </c>
      <c r="J72" s="8">
        <v>26</v>
      </c>
      <c r="K72" s="8">
        <v>51</v>
      </c>
      <c r="L72" s="8">
        <v>29</v>
      </c>
      <c r="M72" s="8">
        <v>38</v>
      </c>
      <c r="N72" s="8">
        <v>39</v>
      </c>
      <c r="O72" s="8">
        <v>8</v>
      </c>
      <c r="P72" s="8"/>
      <c r="Q72" s="8"/>
      <c r="R72" s="8"/>
      <c r="S72" s="8"/>
      <c r="T72" s="8"/>
      <c r="U72" s="8"/>
      <c r="V72" s="8">
        <f>SUM(J72:U72)</f>
        <v>191</v>
      </c>
      <c r="W72" s="9">
        <f>V72/H72</f>
        <v>31.833333333333332</v>
      </c>
      <c r="X72" s="59" t="str">
        <f>IF(W72&gt;=2000,"&gt; 2000",IF(W72&gt;=1500,"&gt; 1500",IF(W72&gt;=900,"&gt; 900",IF(W72&gt;=600,"&gt; 600",IF(W72&gt;=450,"&gt; 450",IF(W72&gt;=300,"&gt; 300",IF(W72&gt;=150,"&gt; 150",IF(W72&lt;150,"&lt; 150",IF(W72&lt;1,"Nill")))))))))</f>
        <v>&lt; 150</v>
      </c>
    </row>
    <row r="73" spans="1:24" x14ac:dyDescent="0.3">
      <c r="A73" s="4" t="str">
        <f>VLOOKUP(G73,Data!$A:$G,2,0)</f>
        <v>Santanu Bera</v>
      </c>
      <c r="B73" s="4" t="str">
        <f>VLOOKUP(G73,Data!$A:$G,3,0)</f>
        <v>Active</v>
      </c>
      <c r="C73" s="4" t="str">
        <f>VLOOKUP(G73,Data!$A:$G,4,0)</f>
        <v>Hooghly</v>
      </c>
      <c r="D73" s="4" t="str">
        <f>VLOOKUP(G73,Data!$A:$G,5,0)</f>
        <v>Tamluk</v>
      </c>
      <c r="E73" s="4" t="str">
        <f>VLOOKUP(G73,Data!$A:$G,6,0)</f>
        <v>Soumen Baichar</v>
      </c>
      <c r="F73" s="10" t="str">
        <f>VLOOKUP(G73,Data!$A:$G,7,0)</f>
        <v>2390314474</v>
      </c>
      <c r="G73" s="5">
        <v>26530</v>
      </c>
      <c r="H73" s="7">
        <f>COUNT(J73:U73)</f>
        <v>6</v>
      </c>
      <c r="I73" s="7">
        <f>H73*300</f>
        <v>1800</v>
      </c>
      <c r="J73" s="8">
        <v>40</v>
      </c>
      <c r="K73" s="8">
        <v>45</v>
      </c>
      <c r="L73" s="8">
        <v>35</v>
      </c>
      <c r="M73" s="8">
        <v>38</v>
      </c>
      <c r="N73" s="8">
        <v>17</v>
      </c>
      <c r="O73" s="8">
        <v>8</v>
      </c>
      <c r="P73" s="8"/>
      <c r="Q73" s="8"/>
      <c r="R73" s="8"/>
      <c r="S73" s="8"/>
      <c r="T73" s="8"/>
      <c r="U73" s="8"/>
      <c r="V73" s="8">
        <f>SUM(J73:U73)</f>
        <v>183</v>
      </c>
      <c r="W73" s="9">
        <f>V73/H73</f>
        <v>30.5</v>
      </c>
      <c r="X73" s="59" t="str">
        <f>IF(W73&gt;=2000,"&gt; 2000",IF(W73&gt;=1500,"&gt; 1500",IF(W73&gt;=900,"&gt; 900",IF(W73&gt;=600,"&gt; 600",IF(W73&gt;=450,"&gt; 450",IF(W73&gt;=300,"&gt; 300",IF(W73&gt;=150,"&gt; 150",IF(W73&lt;150,"&lt; 150",IF(W73&lt;1,"Nill")))))))))</f>
        <v>&lt; 150</v>
      </c>
    </row>
    <row r="74" spans="1:24" x14ac:dyDescent="0.3">
      <c r="A74" s="4" t="str">
        <f>VLOOKUP(G74,Data!$A:$G,2,0)</f>
        <v>Souvik Maity</v>
      </c>
      <c r="B74" s="4" t="str">
        <f>VLOOKUP(G74,Data!$A:$G,3,0)</f>
        <v>Active</v>
      </c>
      <c r="C74" s="4" t="str">
        <f>VLOOKUP(G74,Data!$A:$G,4,0)</f>
        <v>Hooghly</v>
      </c>
      <c r="D74" s="4" t="str">
        <f>VLOOKUP(G74,Data!$A:$G,5,0)</f>
        <v>Dasghara</v>
      </c>
      <c r="E74" s="4" t="str">
        <f>VLOOKUP(G74,Data!$A:$G,6,0)</f>
        <v>Sabir Amed</v>
      </c>
      <c r="F74" s="10" t="str">
        <f>VLOOKUP(G74,Data!$A:$G,7,0)</f>
        <v>3390312282</v>
      </c>
      <c r="G74" s="5">
        <v>23214</v>
      </c>
      <c r="H74" s="7">
        <f>COUNT(J74:U74)</f>
        <v>6</v>
      </c>
      <c r="I74" s="7">
        <f>H74*300</f>
        <v>1800</v>
      </c>
      <c r="J74" s="8">
        <v>21</v>
      </c>
      <c r="K74" s="8">
        <v>18</v>
      </c>
      <c r="L74" s="8">
        <v>13</v>
      </c>
      <c r="M74" s="8">
        <v>28</v>
      </c>
      <c r="N74" s="8">
        <v>26</v>
      </c>
      <c r="O74" s="8">
        <v>6</v>
      </c>
      <c r="P74" s="8"/>
      <c r="Q74" s="8"/>
      <c r="R74" s="8"/>
      <c r="S74" s="8"/>
      <c r="T74" s="8"/>
      <c r="U74" s="8"/>
      <c r="V74" s="8">
        <f>SUM(J74:U74)</f>
        <v>112</v>
      </c>
      <c r="W74" s="9">
        <f>V74/H74</f>
        <v>18.666666666666668</v>
      </c>
      <c r="X74" s="59" t="str">
        <f>IF(W74&gt;=2000,"&gt; 2000",IF(W74&gt;=1500,"&gt; 1500",IF(W74&gt;=900,"&gt; 900",IF(W74&gt;=600,"&gt; 600",IF(W74&gt;=450,"&gt; 450",IF(W74&gt;=300,"&gt; 300",IF(W74&gt;=150,"&gt; 150",IF(W74&lt;150,"&lt; 150",IF(W74&lt;1,"Nill")))))))))</f>
        <v>&lt; 150</v>
      </c>
    </row>
    <row r="75" spans="1:24" x14ac:dyDescent="0.3">
      <c r="A75" s="4" t="str">
        <f>VLOOKUP(G75,Data!$A:$G,2,0)</f>
        <v>Sunil Biswas</v>
      </c>
      <c r="B75" s="4" t="str">
        <f>VLOOKUP(G75,Data!$A:$G,3,0)</f>
        <v>Active</v>
      </c>
      <c r="C75" s="4" t="str">
        <f>VLOOKUP(G75,Data!$A:$G,4,0)</f>
        <v>Durgapur</v>
      </c>
      <c r="D75" s="4" t="str">
        <f>VLOOKUP(G75,Data!$A:$G,5,0)</f>
        <v>Santipur</v>
      </c>
      <c r="E75" s="4" t="str">
        <f>VLOOKUP(G75,Data!$A:$G,6,0)</f>
        <v>Partha Dey</v>
      </c>
      <c r="F75" s="10" t="str">
        <f>VLOOKUP(G75,Data!$A:$G,7,0)</f>
        <v>2430315570</v>
      </c>
      <c r="G75" s="5">
        <v>29089</v>
      </c>
      <c r="H75" s="7">
        <f>COUNT(J75:U75)</f>
        <v>6</v>
      </c>
      <c r="I75" s="7">
        <f>H75*300</f>
        <v>1800</v>
      </c>
      <c r="J75" s="8">
        <v>11</v>
      </c>
      <c r="K75" s="8">
        <v>27</v>
      </c>
      <c r="L75" s="8">
        <v>39</v>
      </c>
      <c r="M75" s="8">
        <v>72</v>
      </c>
      <c r="N75" s="8">
        <v>47</v>
      </c>
      <c r="O75" s="8">
        <v>4</v>
      </c>
      <c r="P75" s="8"/>
      <c r="Q75" s="8"/>
      <c r="R75" s="8"/>
      <c r="S75" s="8"/>
      <c r="T75" s="8"/>
      <c r="U75" s="8"/>
      <c r="V75" s="8">
        <f>SUM(J75:U75)</f>
        <v>200</v>
      </c>
      <c r="W75" s="9">
        <f>V75/H75</f>
        <v>33.333333333333336</v>
      </c>
      <c r="X75" s="59" t="str">
        <f>IF(W75&gt;=2000,"&gt; 2000",IF(W75&gt;=1500,"&gt; 1500",IF(W75&gt;=900,"&gt; 900",IF(W75&gt;=600,"&gt; 600",IF(W75&gt;=450,"&gt; 450",IF(W75&gt;=300,"&gt; 300",IF(W75&gt;=150,"&gt; 150",IF(W75&lt;150,"&lt; 150",IF(W75&lt;1,"Nill")))))))))</f>
        <v>&lt; 150</v>
      </c>
    </row>
    <row r="76" spans="1:24" x14ac:dyDescent="0.3">
      <c r="A76" s="4" t="str">
        <f>VLOOKUP(G76,Data!$A:$G,2,0)</f>
        <v>Santanu Bera</v>
      </c>
      <c r="B76" s="4" t="str">
        <f>VLOOKUP(G76,Data!$A:$G,3,0)</f>
        <v>Active</v>
      </c>
      <c r="C76" s="4" t="str">
        <f>VLOOKUP(G76,Data!$A:$G,4,0)</f>
        <v>Hooghly</v>
      </c>
      <c r="D76" s="4" t="str">
        <f>VLOOKUP(G76,Data!$A:$G,5,0)</f>
        <v>Keshapat</v>
      </c>
      <c r="E76" s="4" t="str">
        <f>VLOOKUP(G76,Data!$A:$G,6,0)</f>
        <v>Subhankar Samanta</v>
      </c>
      <c r="F76" s="10" t="str">
        <f>VLOOKUP(G76,Data!$A:$G,7,0)</f>
        <v>2380311664</v>
      </c>
      <c r="G76" s="5">
        <v>22402</v>
      </c>
      <c r="H76" s="7">
        <f>COUNT(J76:U76)</f>
        <v>6</v>
      </c>
      <c r="I76" s="7">
        <f>H76*300</f>
        <v>1800</v>
      </c>
      <c r="J76" s="8">
        <v>39</v>
      </c>
      <c r="K76" s="8">
        <v>39</v>
      </c>
      <c r="L76" s="8">
        <v>39</v>
      </c>
      <c r="M76" s="8">
        <v>53</v>
      </c>
      <c r="N76" s="8">
        <v>36</v>
      </c>
      <c r="O76" s="8">
        <v>4</v>
      </c>
      <c r="P76" s="8"/>
      <c r="Q76" s="8"/>
      <c r="R76" s="8"/>
      <c r="S76" s="8"/>
      <c r="T76" s="8"/>
      <c r="U76" s="8"/>
      <c r="V76" s="8">
        <f>SUM(J76:U76)</f>
        <v>210</v>
      </c>
      <c r="W76" s="9">
        <f>V76/H76</f>
        <v>35</v>
      </c>
      <c r="X76" s="59" t="str">
        <f>IF(W76&gt;=2000,"&gt; 2000",IF(W76&gt;=1500,"&gt; 1500",IF(W76&gt;=900,"&gt; 900",IF(W76&gt;=600,"&gt; 600",IF(W76&gt;=450,"&gt; 450",IF(W76&gt;=300,"&gt; 300",IF(W76&gt;=150,"&gt; 150",IF(W76&lt;150,"&lt; 150",IF(W76&lt;1,"Nill")))))))))</f>
        <v>&lt; 150</v>
      </c>
    </row>
    <row r="77" spans="1:24" x14ac:dyDescent="0.3">
      <c r="A77" s="4" t="str">
        <f>VLOOKUP(G77,Data!$A:$G,2,0)</f>
        <v>Santanu Bera</v>
      </c>
      <c r="B77" s="4" t="str">
        <f>VLOOKUP(G77,Data!$A:$G,3,0)</f>
        <v>Active</v>
      </c>
      <c r="C77" s="4" t="str">
        <f>VLOOKUP(G77,Data!$A:$G,4,0)</f>
        <v>Hooghly</v>
      </c>
      <c r="D77" s="4" t="str">
        <f>VLOOKUP(G77,Data!$A:$G,5,0)</f>
        <v>Panskura</v>
      </c>
      <c r="E77" s="4" t="str">
        <f>VLOOKUP(G77,Data!$A:$G,6,0)</f>
        <v>Prasanta Ghorai</v>
      </c>
      <c r="F77" s="10" t="str">
        <f>VLOOKUP(G77,Data!$A:$G,7,0)</f>
        <v>9635383167</v>
      </c>
      <c r="G77" s="5">
        <v>29527</v>
      </c>
      <c r="H77" s="7">
        <f>COUNT(J77:U77)</f>
        <v>4</v>
      </c>
      <c r="I77" s="7">
        <f>H77*300</f>
        <v>1200</v>
      </c>
      <c r="J77" s="8"/>
      <c r="K77" s="8"/>
      <c r="L77" s="8">
        <v>11</v>
      </c>
      <c r="M77" s="8">
        <v>9</v>
      </c>
      <c r="N77" s="8">
        <v>7</v>
      </c>
      <c r="O77" s="8">
        <v>3</v>
      </c>
      <c r="P77" s="8"/>
      <c r="Q77" s="8"/>
      <c r="R77" s="8"/>
      <c r="S77" s="8"/>
      <c r="T77" s="8"/>
      <c r="U77" s="8"/>
      <c r="V77" s="8">
        <f>SUM(J77:U77)</f>
        <v>30</v>
      </c>
      <c r="W77" s="9"/>
      <c r="X77" s="59"/>
    </row>
    <row r="78" spans="1:24" x14ac:dyDescent="0.3">
      <c r="A78" s="4" t="str">
        <f>VLOOKUP(G78,Data!$A:$G,2,0)</f>
        <v>Souvik Maity</v>
      </c>
      <c r="B78" s="4" t="str">
        <f>VLOOKUP(G78,Data!$A:$G,3,0)</f>
        <v>Active</v>
      </c>
      <c r="C78" s="4" t="str">
        <f>VLOOKUP(G78,Data!$A:$G,4,0)</f>
        <v>Hooghly</v>
      </c>
      <c r="D78" s="4" t="str">
        <f>VLOOKUP(G78,Data!$A:$G,5,0)</f>
        <v>Mayapur</v>
      </c>
      <c r="E78" s="4" t="str">
        <f>VLOOKUP(G78,Data!$A:$G,6,0)</f>
        <v>Ruma Rana</v>
      </c>
      <c r="F78" s="10" t="str">
        <f>VLOOKUP(G78,Data!$A:$G,7,0)</f>
        <v>8410316172</v>
      </c>
      <c r="G78" s="5">
        <v>29749</v>
      </c>
      <c r="H78" s="7">
        <f>COUNT(J78:U78)</f>
        <v>1</v>
      </c>
      <c r="I78" s="7">
        <f>H78*300</f>
        <v>300</v>
      </c>
      <c r="J78" s="8"/>
      <c r="K78" s="8"/>
      <c r="L78" s="8"/>
      <c r="M78" s="8"/>
      <c r="N78" s="8"/>
      <c r="O78" s="8">
        <v>2</v>
      </c>
      <c r="P78" s="8"/>
      <c r="Q78" s="8"/>
      <c r="R78" s="8"/>
      <c r="S78" s="8"/>
      <c r="T78" s="8"/>
      <c r="U78" s="8"/>
      <c r="V78" s="8"/>
      <c r="W78" s="9">
        <f>V78/H78</f>
        <v>0</v>
      </c>
      <c r="X78" s="59" t="str">
        <f>IF(W78&gt;=2000,"&gt; 2000",IF(W78&gt;=1500,"&gt; 1500",IF(W78&gt;=900,"&gt; 900",IF(W78&gt;=600,"&gt; 600",IF(W78&gt;=450,"&gt; 450",IF(W78&gt;=300,"&gt; 300",IF(W78&gt;=150,"&gt; 150",IF(W78&lt;150,"&lt; 150",IF(W78&lt;1,"Nill")))))))))</f>
        <v>&lt; 150</v>
      </c>
    </row>
    <row r="79" spans="1:24" x14ac:dyDescent="0.3">
      <c r="A79" s="4" t="str">
        <f>VLOOKUP(G79,Data!$A:$G,2,0)</f>
        <v>Souvik Maity</v>
      </c>
      <c r="B79" s="4" t="str">
        <f>VLOOKUP(G79,Data!$A:$G,3,0)</f>
        <v>Active</v>
      </c>
      <c r="C79" s="4" t="str">
        <f>VLOOKUP(G79,Data!$A:$G,4,0)</f>
        <v>Hooghly</v>
      </c>
      <c r="D79" s="4" t="str">
        <f>VLOOKUP(G79,Data!$A:$G,5,0)</f>
        <v>Saidpur</v>
      </c>
      <c r="E79" s="4" t="str">
        <f>VLOOKUP(G79,Data!$A:$G,6,0)</f>
        <v>Puja Manna</v>
      </c>
      <c r="F79" s="10" t="str">
        <f>VLOOKUP(G79,Data!$A:$G,7,0)</f>
        <v>3390311696</v>
      </c>
      <c r="G79" s="5">
        <v>22453</v>
      </c>
      <c r="H79" s="7">
        <f>COUNT(J79:U79)</f>
        <v>6</v>
      </c>
      <c r="I79" s="7">
        <f>H79*300</f>
        <v>1800</v>
      </c>
      <c r="J79" s="8">
        <v>8</v>
      </c>
      <c r="K79" s="8">
        <v>25</v>
      </c>
      <c r="L79" s="8">
        <v>28</v>
      </c>
      <c r="M79" s="8">
        <v>44</v>
      </c>
      <c r="N79" s="8">
        <v>54</v>
      </c>
      <c r="O79" s="8">
        <v>1</v>
      </c>
      <c r="P79" s="8"/>
      <c r="Q79" s="8"/>
      <c r="R79" s="8"/>
      <c r="S79" s="8"/>
      <c r="T79" s="8"/>
      <c r="U79" s="8"/>
      <c r="V79" s="8">
        <f>SUM(J79:U79)</f>
        <v>160</v>
      </c>
      <c r="W79" s="9">
        <f>V79/H79</f>
        <v>26.666666666666668</v>
      </c>
      <c r="X79" s="59" t="str">
        <f>IF(W79&gt;=2000,"&gt; 2000",IF(W79&gt;=1500,"&gt; 1500",IF(W79&gt;=900,"&gt; 900",IF(W79&gt;=600,"&gt; 600",IF(W79&gt;=450,"&gt; 450",IF(W79&gt;=300,"&gt; 300",IF(W79&gt;=150,"&gt; 150",IF(W79&lt;150,"&lt; 150",IF(W79&lt;1,"Nill")))))))))</f>
        <v>&lt; 150</v>
      </c>
    </row>
    <row r="80" spans="1:24" x14ac:dyDescent="0.3">
      <c r="A80" s="4" t="str">
        <f>VLOOKUP(G80,Data!$A:$G,2,0)</f>
        <v>Manindra Nath Barman</v>
      </c>
      <c r="B80" s="4" t="str">
        <f>VLOOKUP(G80,Data!$A:$G,3,0)</f>
        <v>Active</v>
      </c>
      <c r="C80" s="4" t="str">
        <f>VLOOKUP(G80,Data!$A:$G,4,0)</f>
        <v>Siliguri</v>
      </c>
      <c r="D80" s="4" t="str">
        <f>VLOOKUP(G80,Data!$A:$G,5,0)</f>
        <v>Ethelbari</v>
      </c>
      <c r="E80" s="4" t="str">
        <f>VLOOKUP(G80,Data!$A:$G,6,0)</f>
        <v>Tarif Baxla</v>
      </c>
      <c r="F80" s="10" t="str">
        <f>VLOOKUP(G80,Data!$A:$G,7,0)</f>
        <v>8410316211</v>
      </c>
      <c r="G80" s="5">
        <v>29798</v>
      </c>
      <c r="H80" s="7">
        <f>COUNT(J80:U80)</f>
        <v>2</v>
      </c>
      <c r="I80" s="7">
        <f>H80*300</f>
        <v>600</v>
      </c>
      <c r="J80" s="8"/>
      <c r="K80" s="8"/>
      <c r="L80" s="8"/>
      <c r="M80" s="8"/>
      <c r="N80" s="8">
        <v>10</v>
      </c>
      <c r="O80" s="8">
        <v>1</v>
      </c>
      <c r="P80" s="8"/>
      <c r="Q80" s="8"/>
      <c r="R80" s="8"/>
      <c r="S80" s="8"/>
      <c r="T80" s="8"/>
      <c r="U80" s="8"/>
      <c r="V80" s="8"/>
      <c r="W80" s="9">
        <f>V80/H80</f>
        <v>0</v>
      </c>
      <c r="X80" s="59" t="str">
        <f>IF(W80&gt;=2000,"&gt; 2000",IF(W80&gt;=1500,"&gt; 1500",IF(W80&gt;=900,"&gt; 900",IF(W80&gt;=600,"&gt; 600",IF(W80&gt;=450,"&gt; 450",IF(W80&gt;=300,"&gt; 300",IF(W80&gt;=150,"&gt; 150",IF(W80&lt;150,"&lt; 150",IF(W80&lt;1,"Nill")))))))))</f>
        <v>&lt; 150</v>
      </c>
    </row>
    <row r="81" spans="1:24" x14ac:dyDescent="0.3">
      <c r="A81" s="4" t="str">
        <f>VLOOKUP(G81,Data!$A:$G,2,0)</f>
        <v>Chandi Charan Mahato</v>
      </c>
      <c r="B81" s="4" t="str">
        <f>VLOOKUP(G81,Data!$A:$G,3,0)</f>
        <v>Inactive</v>
      </c>
      <c r="C81" s="4" t="str">
        <f>VLOOKUP(G81,Data!$A:$G,4,0)</f>
        <v>Durgapur</v>
      </c>
      <c r="D81" s="4" t="str">
        <f>VLOOKUP(G81,Data!$A:$G,5,0)</f>
        <v>Patrasayer</v>
      </c>
      <c r="E81" s="4" t="str">
        <f>VLOOKUP(G81,Data!$A:$G,6,0)</f>
        <v>Bula Karmakar</v>
      </c>
      <c r="F81" s="10" t="str">
        <f>VLOOKUP(G81,Data!$A:$G,7,0)</f>
        <v>2160315824</v>
      </c>
      <c r="G81" s="5">
        <v>29069</v>
      </c>
      <c r="H81" s="7">
        <f>COUNT(J81:U81)</f>
        <v>5</v>
      </c>
      <c r="I81" s="7">
        <f>H81*300</f>
        <v>1500</v>
      </c>
      <c r="J81" s="8">
        <v>15</v>
      </c>
      <c r="K81" s="8">
        <v>59</v>
      </c>
      <c r="L81" s="8">
        <v>203</v>
      </c>
      <c r="M81" s="8">
        <v>63</v>
      </c>
      <c r="N81" s="8">
        <v>63</v>
      </c>
      <c r="O81" s="8"/>
      <c r="P81" s="8"/>
      <c r="Q81" s="8"/>
      <c r="R81" s="8"/>
      <c r="S81" s="8"/>
      <c r="T81" s="8"/>
      <c r="U81" s="8"/>
      <c r="V81" s="8">
        <f>SUM(J81:U81)</f>
        <v>403</v>
      </c>
      <c r="W81" s="9">
        <f>V81/H81</f>
        <v>80.599999999999994</v>
      </c>
      <c r="X81" s="59" t="str">
        <f>IF(W81&gt;=2000,"&gt; 2000",IF(W81&gt;=1500,"&gt; 1500",IF(W81&gt;=900,"&gt; 900",IF(W81&gt;=600,"&gt; 600",IF(W81&gt;=450,"&gt; 450",IF(W81&gt;=300,"&gt; 300",IF(W81&gt;=150,"&gt; 150",IF(W81&lt;150,"&lt; 150",IF(W81&lt;1,"Nill")))))))))</f>
        <v>&lt; 150</v>
      </c>
    </row>
    <row r="82" spans="1:24" x14ac:dyDescent="0.3">
      <c r="A82" s="4" t="str">
        <f>VLOOKUP(G82,Data!$A:$G,2,0)</f>
        <v>Manindra Nath Barman</v>
      </c>
      <c r="B82" s="4" t="str">
        <f>VLOOKUP(G82,Data!$A:$G,3,0)</f>
        <v>Inactive</v>
      </c>
      <c r="C82" s="4" t="str">
        <f>VLOOKUP(G82,Data!$A:$G,4,0)</f>
        <v>Siliguri</v>
      </c>
      <c r="D82" s="4" t="str">
        <f>VLOOKUP(G82,Data!$A:$G,5,0)</f>
        <v>Buxa Forest Craja</v>
      </c>
      <c r="E82" s="4" t="str">
        <f>VLOOKUP(G82,Data!$A:$G,6,0)</f>
        <v xml:space="preserve">Md Khalique Ansari </v>
      </c>
      <c r="F82" s="10" t="str">
        <f>VLOOKUP(G82,Data!$A:$G,7,0)</f>
        <v>9490315684</v>
      </c>
      <c r="G82" s="5">
        <v>28825</v>
      </c>
      <c r="H82" s="7">
        <f>COUNT(J82:U82)</f>
        <v>5</v>
      </c>
      <c r="I82" s="7">
        <f>H82*300</f>
        <v>1500</v>
      </c>
      <c r="J82" s="8">
        <v>27</v>
      </c>
      <c r="K82" s="8">
        <v>13</v>
      </c>
      <c r="L82" s="8">
        <v>3</v>
      </c>
      <c r="M82" s="8">
        <v>8</v>
      </c>
      <c r="N82" s="8">
        <v>37</v>
      </c>
      <c r="O82" s="8"/>
      <c r="P82" s="8"/>
      <c r="Q82" s="8"/>
      <c r="R82" s="8"/>
      <c r="S82" s="8"/>
      <c r="T82" s="8"/>
      <c r="U82" s="8"/>
      <c r="V82" s="8">
        <f>SUM(J82:U82)</f>
        <v>88</v>
      </c>
      <c r="W82" s="9">
        <f>V82/H82</f>
        <v>17.600000000000001</v>
      </c>
      <c r="X82" s="59" t="str">
        <f>IF(W82&gt;=2000,"&gt; 2000",IF(W82&gt;=1500,"&gt; 1500",IF(W82&gt;=900,"&gt; 900",IF(W82&gt;=600,"&gt; 600",IF(W82&gt;=450,"&gt; 450",IF(W82&gt;=300,"&gt; 300",IF(W82&gt;=150,"&gt; 150",IF(W82&lt;150,"&lt; 150",IF(W82&lt;1,"Nill")))))))))</f>
        <v>&lt; 150</v>
      </c>
    </row>
    <row r="83" spans="1:24" x14ac:dyDescent="0.3">
      <c r="A83" s="4" t="str">
        <f>VLOOKUP(G83,Data!$A:$G,2,0)</f>
        <v>Sunil Biswas</v>
      </c>
      <c r="B83" s="4" t="str">
        <f>VLOOKUP(G83,Data!$A:$G,3,0)</f>
        <v>Inactive</v>
      </c>
      <c r="C83" s="4" t="str">
        <f>VLOOKUP(G83,Data!$A:$G,4,0)</f>
        <v>Durgapur</v>
      </c>
      <c r="D83" s="4" t="str">
        <f>VLOOKUP(G83,Data!$A:$G,5,0)</f>
        <v>Chakdaha</v>
      </c>
      <c r="E83" s="4" t="str">
        <f>VLOOKUP(G83,Data!$A:$G,6,0)</f>
        <v>Kiran Biswas</v>
      </c>
      <c r="F83" s="10" t="str">
        <f>VLOOKUP(G83,Data!$A:$G,7,0)</f>
        <v>2430315343</v>
      </c>
      <c r="G83" s="5">
        <v>28083</v>
      </c>
      <c r="H83" s="7">
        <f>COUNT(J83:U83)</f>
        <v>5</v>
      </c>
      <c r="I83" s="7">
        <f>H83*300</f>
        <v>1500</v>
      </c>
      <c r="J83" s="8">
        <v>105</v>
      </c>
      <c r="K83" s="8">
        <v>59</v>
      </c>
      <c r="L83" s="8">
        <v>57</v>
      </c>
      <c r="M83" s="8">
        <v>68</v>
      </c>
      <c r="N83" s="8">
        <v>30</v>
      </c>
      <c r="O83" s="8"/>
      <c r="P83" s="8"/>
      <c r="Q83" s="8"/>
      <c r="R83" s="8"/>
      <c r="S83" s="8"/>
      <c r="T83" s="8"/>
      <c r="U83" s="8"/>
      <c r="V83" s="8">
        <f>SUM(J83:U83)</f>
        <v>319</v>
      </c>
      <c r="W83" s="9">
        <f>V83/H83</f>
        <v>63.8</v>
      </c>
      <c r="X83" s="59" t="str">
        <f>IF(W83&gt;=2000,"&gt; 2000",IF(W83&gt;=1500,"&gt; 1500",IF(W83&gt;=900,"&gt; 900",IF(W83&gt;=600,"&gt; 600",IF(W83&gt;=450,"&gt; 450",IF(W83&gt;=300,"&gt; 300",IF(W83&gt;=150,"&gt; 150",IF(W83&lt;150,"&lt; 150",IF(W83&lt;1,"Nill")))))))))</f>
        <v>&lt; 150</v>
      </c>
    </row>
    <row r="84" spans="1:24" x14ac:dyDescent="0.3">
      <c r="A84" s="4" t="str">
        <f>VLOOKUP(G84,Data!$A:$G,2,0)</f>
        <v>Manindra Nath Barman</v>
      </c>
      <c r="B84" s="4" t="str">
        <f>VLOOKUP(G84,Data!$A:$G,3,0)</f>
        <v>Inactive</v>
      </c>
      <c r="C84" s="4" t="str">
        <f>VLOOKUP(G84,Data!$A:$G,4,0)</f>
        <v>Siliguri</v>
      </c>
      <c r="D84" s="4" t="str">
        <f>VLOOKUP(G84,Data!$A:$G,5,0)</f>
        <v>Barobisha</v>
      </c>
      <c r="E84" s="4" t="str">
        <f>VLOOKUP(G84,Data!$A:$G,6,0)</f>
        <v>Virendra Narayan Nag</v>
      </c>
      <c r="F84" s="10" t="str">
        <f>VLOOKUP(G84,Data!$A:$G,7,0)</f>
        <v>8967601707</v>
      </c>
      <c r="G84" s="5">
        <v>29526</v>
      </c>
      <c r="H84" s="7">
        <f>COUNT(J84:U84)</f>
        <v>3</v>
      </c>
      <c r="I84" s="7">
        <f>H84*300</f>
        <v>900</v>
      </c>
      <c r="J84" s="8"/>
      <c r="K84" s="8"/>
      <c r="L84" s="8">
        <v>3</v>
      </c>
      <c r="M84" s="8">
        <v>11</v>
      </c>
      <c r="N84" s="8">
        <v>37</v>
      </c>
      <c r="O84" s="8"/>
      <c r="P84" s="8"/>
      <c r="Q84" s="8"/>
      <c r="R84" s="8"/>
      <c r="S84" s="8"/>
      <c r="T84" s="8"/>
      <c r="U84" s="8"/>
      <c r="V84" s="8">
        <f>SUM(J84:U84)</f>
        <v>51</v>
      </c>
      <c r="W84" s="9">
        <f>V84/H84</f>
        <v>17</v>
      </c>
      <c r="X84" s="59" t="str">
        <f>IF(W84&gt;=2000,"&gt; 2000",IF(W84&gt;=1500,"&gt; 1500",IF(W84&gt;=900,"&gt; 900",IF(W84&gt;=600,"&gt; 600",IF(W84&gt;=450,"&gt; 450",IF(W84&gt;=300,"&gt; 300",IF(W84&gt;=150,"&gt; 150",IF(W84&lt;150,"&lt; 150",IF(W84&lt;1,"Nill")))))))))</f>
        <v>&lt; 150</v>
      </c>
    </row>
    <row r="85" spans="1:24" x14ac:dyDescent="0.3">
      <c r="A85" s="4" t="str">
        <f>VLOOKUP(G85,Data!$A:$G,2,0)</f>
        <v>Sunil Biswas</v>
      </c>
      <c r="B85" s="4" t="str">
        <f>VLOOKUP(G85,Data!$A:$G,3,0)</f>
        <v>Inactive</v>
      </c>
      <c r="C85" s="4" t="str">
        <f>VLOOKUP(G85,Data!$A:$G,4,0)</f>
        <v>Durgapur</v>
      </c>
      <c r="D85" s="4" t="str">
        <f>VLOOKUP(G85,Data!$A:$G,5,0)</f>
        <v>Santipur</v>
      </c>
      <c r="E85" s="4" t="str">
        <f>VLOOKUP(G85,Data!$A:$G,6,0)</f>
        <v>Dipanwita Das</v>
      </c>
      <c r="F85" s="10" t="str">
        <f>VLOOKUP(G85,Data!$A:$G,7,0)</f>
        <v>2430315569</v>
      </c>
      <c r="G85" s="5">
        <v>28483</v>
      </c>
      <c r="H85" s="7">
        <f>COUNT(J85:U85)</f>
        <v>5</v>
      </c>
      <c r="I85" s="7">
        <f>H85*300</f>
        <v>1500</v>
      </c>
      <c r="J85" s="8">
        <v>5</v>
      </c>
      <c r="K85" s="8">
        <v>3</v>
      </c>
      <c r="L85" s="8">
        <v>28</v>
      </c>
      <c r="M85" s="8">
        <v>21</v>
      </c>
      <c r="N85" s="8">
        <v>23</v>
      </c>
      <c r="O85" s="8"/>
      <c r="P85" s="8"/>
      <c r="Q85" s="8"/>
      <c r="R85" s="8"/>
      <c r="S85" s="8"/>
      <c r="T85" s="8"/>
      <c r="U85" s="8"/>
      <c r="V85" s="8">
        <f>SUM(J85:U85)</f>
        <v>80</v>
      </c>
      <c r="W85" s="9">
        <f>V85/H85</f>
        <v>16</v>
      </c>
      <c r="X85" s="59" t="str">
        <f>IF(W85&gt;=2000,"&gt; 2000",IF(W85&gt;=1500,"&gt; 1500",IF(W85&gt;=900,"&gt; 900",IF(W85&gt;=600,"&gt; 600",IF(W85&gt;=450,"&gt; 450",IF(W85&gt;=300,"&gt; 300",IF(W85&gt;=150,"&gt; 150",IF(W85&lt;150,"&lt; 150",IF(W85&lt;1,"Nill")))))))))</f>
        <v>&lt; 150</v>
      </c>
    </row>
    <row r="86" spans="1:24" x14ac:dyDescent="0.3">
      <c r="A86" s="4" t="str">
        <f>VLOOKUP(G86,Data!$A:$G,2,0)</f>
        <v>Manindra Nath Barman</v>
      </c>
      <c r="B86" s="4" t="str">
        <f>VLOOKUP(G86,Data!$A:$G,3,0)</f>
        <v>Inactive</v>
      </c>
      <c r="C86" s="4" t="str">
        <f>VLOOKUP(G86,Data!$A:$G,4,0)</f>
        <v>Siliguri</v>
      </c>
      <c r="D86" s="4" t="str">
        <f>VLOOKUP(G86,Data!$A:$G,5,0)</f>
        <v>Buxa Forest Craja</v>
      </c>
      <c r="E86" s="4" t="str">
        <f>VLOOKUP(G86,Data!$A:$G,6,0)</f>
        <v>Pankaj Tiwari</v>
      </c>
      <c r="F86" s="10" t="str">
        <f>VLOOKUP(G86,Data!$A:$G,7,0)</f>
        <v>9490310077</v>
      </c>
      <c r="G86" s="12">
        <v>20503</v>
      </c>
      <c r="H86" s="7">
        <f>COUNT(J86:U86)</f>
        <v>4</v>
      </c>
      <c r="I86" s="7">
        <f>H86*300</f>
        <v>1200</v>
      </c>
      <c r="J86" s="8"/>
      <c r="K86" s="8">
        <v>4</v>
      </c>
      <c r="L86" s="8">
        <v>5</v>
      </c>
      <c r="M86" s="8">
        <v>11</v>
      </c>
      <c r="N86" s="8">
        <v>11</v>
      </c>
      <c r="O86" s="8"/>
      <c r="P86" s="8"/>
      <c r="Q86" s="8"/>
      <c r="R86" s="8"/>
      <c r="S86" s="8"/>
      <c r="T86" s="8"/>
      <c r="U86" s="8"/>
      <c r="V86" s="8">
        <f>SUM(J86:U86)</f>
        <v>31</v>
      </c>
      <c r="W86" s="9">
        <f>V86/H86</f>
        <v>7.75</v>
      </c>
      <c r="X86" s="59" t="str">
        <f>IF(W86&gt;=2000,"&gt; 2000",IF(W86&gt;=1500,"&gt; 1500",IF(W86&gt;=900,"&gt; 900",IF(W86&gt;=600,"&gt; 600",IF(W86&gt;=450,"&gt; 450",IF(W86&gt;=300,"&gt; 300",IF(W86&gt;=150,"&gt; 150",IF(W86&lt;150,"&lt; 150",IF(W86&lt;1,"Nill")))))))))</f>
        <v>&lt; 150</v>
      </c>
    </row>
    <row r="87" spans="1:24" x14ac:dyDescent="0.3">
      <c r="A87" s="4" t="str">
        <f>VLOOKUP(G87,Data!$A:$G,2,0)</f>
        <v>Under Office (Birbhum)</v>
      </c>
      <c r="B87" s="4" t="s">
        <v>274</v>
      </c>
      <c r="C87" s="4" t="str">
        <f>VLOOKUP(G87,Data!$A:$G,4,0)</f>
        <v>Siliguri</v>
      </c>
      <c r="D87" s="4" t="str">
        <f>VLOOKUP(G87,Data!$A:$G,5,0)</f>
        <v>Lohapur</v>
      </c>
      <c r="E87" s="4" t="str">
        <f>VLOOKUP(G87,Data!$A:$G,6,0)</f>
        <v>Suraj Fulmali</v>
      </c>
      <c r="F87" s="10" t="str">
        <f>VLOOKUP(G87,Data!$A:$G,7,0)</f>
        <v>0140311327</v>
      </c>
      <c r="G87" s="5">
        <v>27437</v>
      </c>
      <c r="H87" s="7">
        <f>COUNT(J87:U87)</f>
        <v>2</v>
      </c>
      <c r="I87" s="7">
        <f>H87*300</f>
        <v>600</v>
      </c>
      <c r="J87" s="8">
        <v>12</v>
      </c>
      <c r="K87" s="8"/>
      <c r="L87" s="8"/>
      <c r="M87" s="8"/>
      <c r="N87" s="8">
        <v>5</v>
      </c>
      <c r="O87" s="8"/>
      <c r="P87" s="8"/>
      <c r="Q87" s="8"/>
      <c r="R87" s="8"/>
      <c r="S87" s="8"/>
      <c r="T87" s="8"/>
      <c r="U87" s="8"/>
      <c r="V87" s="8">
        <f>SUM(J87:U87)</f>
        <v>17</v>
      </c>
      <c r="W87" s="9">
        <f>V87/H87</f>
        <v>8.5</v>
      </c>
      <c r="X87" s="59" t="str">
        <f>IF(W87&gt;=2000,"&gt; 2000",IF(W87&gt;=1500,"&gt; 1500",IF(W87&gt;=900,"&gt; 900",IF(W87&gt;=600,"&gt; 600",IF(W87&gt;=450,"&gt; 450",IF(W87&gt;=300,"&gt; 300",IF(W87&gt;=150,"&gt; 150",IF(W87&lt;150,"&lt; 150",IF(W87&lt;1,"Nill")))))))))</f>
        <v>&lt; 150</v>
      </c>
    </row>
    <row r="88" spans="1:24" x14ac:dyDescent="0.3">
      <c r="A88" s="4" t="str">
        <f>VLOOKUP(G88,Data!$A:$G,2,0)</f>
        <v>Chandi Charan Mahato</v>
      </c>
      <c r="B88" s="4" t="s">
        <v>274</v>
      </c>
      <c r="C88" s="4" t="str">
        <f>VLOOKUP(G88,Data!$A:$G,4,0)</f>
        <v>Durgapur</v>
      </c>
      <c r="D88" s="4" t="str">
        <f>VLOOKUP(G88,Data!$A:$G,5,0)</f>
        <v>Patrasayer</v>
      </c>
      <c r="E88" s="4" t="str">
        <f>VLOOKUP(G88,Data!$A:$G,6,0)</f>
        <v xml:space="preserve">Manorama Chakraborty Roy </v>
      </c>
      <c r="F88" s="10" t="str">
        <f>VLOOKUP(G88,Data!$A:$G,7,0)</f>
        <v>2160315496</v>
      </c>
      <c r="G88" s="5">
        <v>28305</v>
      </c>
      <c r="H88" s="7">
        <f>COUNT(J88:U88)</f>
        <v>4</v>
      </c>
      <c r="I88" s="7">
        <f>H88*300</f>
        <v>1200</v>
      </c>
      <c r="J88" s="8">
        <v>11</v>
      </c>
      <c r="K88" s="8">
        <v>9</v>
      </c>
      <c r="L88" s="8"/>
      <c r="M88" s="8">
        <v>8</v>
      </c>
      <c r="N88" s="8">
        <v>4</v>
      </c>
      <c r="O88" s="8"/>
      <c r="P88" s="8"/>
      <c r="Q88" s="8"/>
      <c r="R88" s="8"/>
      <c r="S88" s="8"/>
      <c r="T88" s="8"/>
      <c r="U88" s="8"/>
      <c r="V88" s="8">
        <f>SUM(J88:U88)</f>
        <v>32</v>
      </c>
      <c r="W88" s="9">
        <f>V88/H88</f>
        <v>8</v>
      </c>
      <c r="X88" s="59" t="str">
        <f>IF(W88&gt;=2000,"&gt; 2000",IF(W88&gt;=1500,"&gt; 1500",IF(W88&gt;=900,"&gt; 900",IF(W88&gt;=600,"&gt; 600",IF(W88&gt;=450,"&gt; 450",IF(W88&gt;=300,"&gt; 300",IF(W88&gt;=150,"&gt; 150",IF(W88&lt;150,"&lt; 150",IF(W88&lt;1,"Nill")))))))))</f>
        <v>&lt; 150</v>
      </c>
    </row>
    <row r="89" spans="1:24" x14ac:dyDescent="0.3">
      <c r="A89" s="4" t="str">
        <f>VLOOKUP(G89,Data!$A:$G,2,0)</f>
        <v>Sunil Biswas</v>
      </c>
      <c r="B89" s="4" t="s">
        <v>274</v>
      </c>
      <c r="C89" s="4" t="str">
        <f>VLOOKUP(G89,Data!$A:$G,4,0)</f>
        <v>Durgapur</v>
      </c>
      <c r="D89" s="4" t="str">
        <f>VLOOKUP(G89,Data!$A:$G,5,0)</f>
        <v>Badkulla</v>
      </c>
      <c r="E89" s="4" t="str">
        <f>VLOOKUP(G89,Data!$A:$G,6,0)</f>
        <v>Amit Sikder</v>
      </c>
      <c r="F89" s="10" t="str">
        <f>VLOOKUP(G89,Data!$A:$G,7,0)</f>
        <v>2430315185</v>
      </c>
      <c r="G89" s="5">
        <v>27731</v>
      </c>
      <c r="H89" s="7">
        <f>COUNT(J89:U89)</f>
        <v>2</v>
      </c>
      <c r="I89" s="7">
        <f>H89*300</f>
        <v>600</v>
      </c>
      <c r="J89" s="8">
        <v>78</v>
      </c>
      <c r="K89" s="8">
        <v>71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>
        <f>SUM(J89:U89)</f>
        <v>149</v>
      </c>
      <c r="W89" s="9">
        <f>V89/H89</f>
        <v>74.5</v>
      </c>
      <c r="X89" s="59" t="str">
        <f>IF(W89&gt;=2000,"&gt; 2000",IF(W89&gt;=1500,"&gt; 1500",IF(W89&gt;=900,"&gt; 900",IF(W89&gt;=600,"&gt; 600",IF(W89&gt;=450,"&gt; 450",IF(W89&gt;=300,"&gt; 300",IF(W89&gt;=150,"&gt; 150",IF(W89&lt;150,"&lt; 150",IF(W89&lt;1,"Nill")))))))))</f>
        <v>&lt; 150</v>
      </c>
    </row>
    <row r="90" spans="1:24" x14ac:dyDescent="0.3">
      <c r="A90" s="4" t="str">
        <f>VLOOKUP(G90,Data!$A:$G,2,0)</f>
        <v>Sunil Biswas</v>
      </c>
      <c r="B90" s="4" t="str">
        <f>VLOOKUP(G90,Data!$A:$G,3,0)</f>
        <v>Inactive</v>
      </c>
      <c r="C90" s="4" t="str">
        <f>VLOOKUP(G90,Data!$A:$G,4,0)</f>
        <v>Durgapur</v>
      </c>
      <c r="D90" s="4" t="str">
        <f>VLOOKUP(G90,Data!$A:$G,5,0)</f>
        <v>Hridaypur</v>
      </c>
      <c r="E90" s="4" t="str">
        <f>VLOOKUP(G90,Data!$A:$G,6,0)</f>
        <v>Asim Halder</v>
      </c>
      <c r="F90" s="10" t="str">
        <f>VLOOKUP(G90,Data!$A:$G,7,0)</f>
        <v>2430315807</v>
      </c>
      <c r="G90" s="5">
        <v>29052</v>
      </c>
      <c r="H90" s="7">
        <f>COUNT(J90:U90)</f>
        <v>3</v>
      </c>
      <c r="I90" s="7">
        <f>H90*300</f>
        <v>900</v>
      </c>
      <c r="J90" s="8">
        <v>7</v>
      </c>
      <c r="K90" s="8">
        <v>6</v>
      </c>
      <c r="L90" s="8">
        <v>1</v>
      </c>
      <c r="M90" s="8"/>
      <c r="N90" s="8"/>
      <c r="O90" s="8"/>
      <c r="P90" s="8"/>
      <c r="Q90" s="8"/>
      <c r="R90" s="8"/>
      <c r="S90" s="8"/>
      <c r="T90" s="8"/>
      <c r="U90" s="8"/>
      <c r="V90" s="8">
        <f>SUM(J90:U90)</f>
        <v>14</v>
      </c>
      <c r="W90" s="9">
        <f>V90/H90</f>
        <v>4.666666666666667</v>
      </c>
      <c r="X90" s="59" t="str">
        <f>IF(W90&gt;=2000,"&gt; 2000",IF(W90&gt;=1500,"&gt; 1500",IF(W90&gt;=900,"&gt; 900",IF(W90&gt;=600,"&gt; 600",IF(W90&gt;=450,"&gt; 450",IF(W90&gt;=300,"&gt; 300",IF(W90&gt;=150,"&gt; 150",IF(W90&lt;150,"&lt; 150",IF(W90&lt;1,"Nill")))))))))</f>
        <v>&lt; 150</v>
      </c>
    </row>
    <row r="91" spans="1:24" x14ac:dyDescent="0.3">
      <c r="A91" s="4" t="str">
        <f>VLOOKUP(G91,Data!$A:$G,2,0)</f>
        <v>Sunil Biswas</v>
      </c>
      <c r="B91" s="4" t="str">
        <f>VLOOKUP(G91,Data!$A:$G,3,0)</f>
        <v>Inactive</v>
      </c>
      <c r="C91" s="4" t="str">
        <f>VLOOKUP(G91,Data!$A:$G,4,0)</f>
        <v>Durgapur</v>
      </c>
      <c r="D91" s="4" t="str">
        <f>VLOOKUP(G91,Data!$A:$G,5,0)</f>
        <v>Hridaypur</v>
      </c>
      <c r="E91" s="4" t="str">
        <f>VLOOKUP(G91,Data!$A:$G,6,0)</f>
        <v>Nitish Mondal</v>
      </c>
      <c r="F91" s="10" t="str">
        <f>VLOOKUP(G91,Data!$A:$G,7,0)</f>
        <v>8942919438</v>
      </c>
      <c r="G91" s="5">
        <v>29524</v>
      </c>
      <c r="H91" s="7">
        <f>COUNT(J91:U91)</f>
        <v>1</v>
      </c>
      <c r="I91" s="7">
        <f>H91*300</f>
        <v>300</v>
      </c>
      <c r="J91" s="8"/>
      <c r="K91" s="8"/>
      <c r="L91" s="8"/>
      <c r="M91" s="8">
        <v>4</v>
      </c>
      <c r="N91" s="8"/>
      <c r="O91" s="8"/>
      <c r="P91" s="8"/>
      <c r="Q91" s="8"/>
      <c r="R91" s="8"/>
      <c r="S91" s="8"/>
      <c r="T91" s="8"/>
      <c r="U91" s="8"/>
      <c r="V91" s="8">
        <f>SUM(J91:U91)</f>
        <v>4</v>
      </c>
      <c r="W91" s="9">
        <f>V91/H91</f>
        <v>4</v>
      </c>
      <c r="X91" s="59" t="str">
        <f>IF(W91&gt;=2000,"&gt; 2000",IF(W91&gt;=1500,"&gt; 1500",IF(W91&gt;=900,"&gt; 900",IF(W91&gt;=600,"&gt; 600",IF(W91&gt;=450,"&gt; 450",IF(W91&gt;=300,"&gt; 300",IF(W91&gt;=150,"&gt; 150",IF(W91&lt;150,"&lt; 150",IF(W91&lt;1,"Nill")))))))))</f>
        <v>&lt; 150</v>
      </c>
    </row>
    <row r="92" spans="1:24" x14ac:dyDescent="0.3">
      <c r="A92" s="4" t="str">
        <f>VLOOKUP(G92,Data!$A:$G,2,0)</f>
        <v>Chandi Charan Mahato</v>
      </c>
      <c r="B92" s="4" t="s">
        <v>274</v>
      </c>
      <c r="C92" s="4" t="str">
        <f>VLOOKUP(G92,Data!$A:$G,4,0)</f>
        <v>Durgapur</v>
      </c>
      <c r="D92" s="4" t="str">
        <f>VLOOKUP(G92,Data!$A:$G,5,0)</f>
        <v>Kotulpur</v>
      </c>
      <c r="E92" s="4" t="str">
        <f>VLOOKUP(G92,Data!$A:$G,6,0)</f>
        <v>Sayan Dutta</v>
      </c>
      <c r="F92" s="10" t="str">
        <f>VLOOKUP(G92,Data!$A:$G,7,0)</f>
        <v>2160315608</v>
      </c>
      <c r="G92" s="12">
        <v>28601</v>
      </c>
      <c r="H92" s="7">
        <f>COUNT(J92:U92)</f>
        <v>1</v>
      </c>
      <c r="I92" s="7">
        <f>H92*300</f>
        <v>300</v>
      </c>
      <c r="J92" s="8"/>
      <c r="K92" s="8">
        <v>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>
        <f>SUM(J92:U92)</f>
        <v>4</v>
      </c>
      <c r="W92" s="9">
        <f>V92/H92</f>
        <v>4</v>
      </c>
      <c r="X92" s="59" t="str">
        <f>IF(W92&gt;=2000,"&gt; 2000",IF(W92&gt;=1500,"&gt; 1500",IF(W92&gt;=900,"&gt; 900",IF(W92&gt;=600,"&gt; 600",IF(W92&gt;=450,"&gt; 450",IF(W92&gt;=300,"&gt; 300",IF(W92&gt;=150,"&gt; 150",IF(W92&lt;150,"&lt; 150",IF(W92&lt;1,"Nill")))))))))</f>
        <v>&lt; 150</v>
      </c>
    </row>
    <row r="93" spans="1:24" x14ac:dyDescent="0.3">
      <c r="A93" s="4" t="str">
        <f>VLOOKUP(G93,Data!$A:$G,2,0)</f>
        <v>Souvik Maity</v>
      </c>
      <c r="B93" s="4" t="s">
        <v>275</v>
      </c>
      <c r="C93" s="4" t="str">
        <f>VLOOKUP(G93,Data!$A:$G,4,0)</f>
        <v>Hooghly</v>
      </c>
      <c r="D93" s="4" t="str">
        <f>VLOOKUP(G93,Data!$A:$G,5,0)</f>
        <v>Batanal</v>
      </c>
      <c r="E93" s="4" t="str">
        <f>VLOOKUP(G93,Data!$A:$G,6,0)</f>
        <v>Chaitali Shit Malik</v>
      </c>
      <c r="F93" s="10" t="str">
        <f>VLOOKUP(G93,Data!$A:$G,7,0)</f>
        <v>3390311948</v>
      </c>
      <c r="G93" s="12">
        <v>22775</v>
      </c>
      <c r="H93" s="7">
        <f>COUNT(J93:U93)</f>
        <v>1</v>
      </c>
      <c r="I93" s="7">
        <f>H93*300</f>
        <v>300</v>
      </c>
      <c r="J93" s="8"/>
      <c r="K93" s="8"/>
      <c r="L93" s="8">
        <v>2</v>
      </c>
      <c r="M93" s="8"/>
      <c r="N93" s="8"/>
      <c r="O93" s="8"/>
      <c r="P93" s="8"/>
      <c r="Q93" s="8"/>
      <c r="R93" s="8"/>
      <c r="S93" s="8"/>
      <c r="T93" s="8"/>
      <c r="U93" s="8"/>
      <c r="V93" s="8">
        <f>SUM(J93:U93)</f>
        <v>2</v>
      </c>
      <c r="W93" s="9">
        <v>0</v>
      </c>
      <c r="X93" s="59" t="s">
        <v>363</v>
      </c>
    </row>
    <row r="94" spans="1:24" x14ac:dyDescent="0.3">
      <c r="A94" s="4" t="str">
        <f>VLOOKUP(G94,Data!$A:$G,2,0)</f>
        <v>Chandi Charan Mahato</v>
      </c>
      <c r="B94" s="4" t="s">
        <v>274</v>
      </c>
      <c r="C94" s="4" t="str">
        <f>VLOOKUP(G94,Data!$A:$G,4,0)</f>
        <v>Durgapur</v>
      </c>
      <c r="D94" s="4" t="str">
        <f>VLOOKUP(G94,Data!$A:$G,5,0)</f>
        <v>Layekbandh</v>
      </c>
      <c r="E94" s="4" t="str">
        <f>VLOOKUP(G94,Data!$A:$G,6,0)</f>
        <v>Debasis Dey</v>
      </c>
      <c r="F94" s="10" t="str">
        <f>VLOOKUP(G94,Data!$A:$G,7,0)</f>
        <v>2160315158</v>
      </c>
      <c r="G94" s="12">
        <v>27632</v>
      </c>
      <c r="H94" s="7">
        <f>COUNT(J94:U94)</f>
        <v>0</v>
      </c>
      <c r="I94" s="7">
        <f>H94*300</f>
        <v>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>
        <v>0</v>
      </c>
      <c r="X94" s="59" t="s">
        <v>363</v>
      </c>
    </row>
    <row r="95" spans="1:24" x14ac:dyDescent="0.3">
      <c r="A95" s="4" t="str">
        <f>VLOOKUP(G95,Data!$A:$G,2,0)</f>
        <v>Santanu Bera</v>
      </c>
      <c r="B95" s="4" t="s">
        <v>274</v>
      </c>
      <c r="C95" s="4" t="str">
        <f>VLOOKUP(G95,Data!$A:$G,4,0)</f>
        <v>Hooghly</v>
      </c>
      <c r="D95" s="4" t="str">
        <f>VLOOKUP(G95,Data!$A:$G,5,0)</f>
        <v>Contai</v>
      </c>
      <c r="E95" s="4" t="str">
        <f>VLOOKUP(G95,Data!$A:$G,6,0)</f>
        <v>Sulekha Das</v>
      </c>
      <c r="F95" s="10" t="str">
        <f>VLOOKUP(G95,Data!$A:$G,7,0)</f>
        <v>2380314986</v>
      </c>
      <c r="G95" s="12">
        <v>27252</v>
      </c>
      <c r="H95" s="7">
        <f>COUNT(J95:U95)</f>
        <v>0</v>
      </c>
      <c r="I95" s="7">
        <f>H95*300</f>
        <v>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>
        <v>0</v>
      </c>
      <c r="X95" s="59" t="s">
        <v>363</v>
      </c>
    </row>
    <row r="96" spans="1:24" x14ac:dyDescent="0.3">
      <c r="A96" s="4" t="str">
        <f>VLOOKUP(G96,Data!$A:$G,2,0)</f>
        <v>Sunil Biswas</v>
      </c>
      <c r="B96" s="4" t="s">
        <v>274</v>
      </c>
      <c r="C96" s="4" t="str">
        <f>VLOOKUP(G96,Data!$A:$G,4,0)</f>
        <v>Durgapur</v>
      </c>
      <c r="D96" s="4" t="str">
        <f>VLOOKUP(G96,Data!$A:$G,5,0)</f>
        <v>Hridaypur</v>
      </c>
      <c r="E96" s="4" t="str">
        <f>VLOOKUP(G96,Data!$A:$G,6,0)</f>
        <v>Saiful Sekh</v>
      </c>
      <c r="F96" s="10" t="str">
        <f>VLOOKUP(G96,Data!$A:$G,7,0)</f>
        <v>2430314735</v>
      </c>
      <c r="G96" s="12">
        <v>26881</v>
      </c>
      <c r="H96" s="7">
        <f>COUNT(J96:U96)</f>
        <v>0</v>
      </c>
      <c r="I96" s="7">
        <f>H96*300</f>
        <v>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>
        <v>0</v>
      </c>
      <c r="X96" s="59" t="s">
        <v>363</v>
      </c>
    </row>
    <row r="97" spans="1:24" x14ac:dyDescent="0.3">
      <c r="A97" s="4" t="str">
        <f>VLOOKUP(G97,Data!$A:$G,2,0)</f>
        <v>Santanu Bera</v>
      </c>
      <c r="B97" s="4" t="s">
        <v>274</v>
      </c>
      <c r="C97" s="4" t="str">
        <f>VLOOKUP(G97,Data!$A:$G,4,0)</f>
        <v>Hooghly</v>
      </c>
      <c r="D97" s="4" t="str">
        <f>VLOOKUP(G97,Data!$A:$G,5,0)</f>
        <v>Contai</v>
      </c>
      <c r="E97" s="4" t="str">
        <f>VLOOKUP(G97,Data!$A:$G,6,0)</f>
        <v>Narayan Ojha</v>
      </c>
      <c r="F97" s="10" t="str">
        <f>VLOOKUP(G97,Data!$A:$G,7,0)</f>
        <v>2380314459</v>
      </c>
      <c r="G97" s="12">
        <v>26507</v>
      </c>
      <c r="H97" s="7">
        <f>COUNT(J97:U97)</f>
        <v>0</v>
      </c>
      <c r="I97" s="7">
        <f>H97*300</f>
        <v>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>
        <v>0</v>
      </c>
      <c r="X97" s="59" t="s">
        <v>363</v>
      </c>
    </row>
    <row r="98" spans="1:24" x14ac:dyDescent="0.3">
      <c r="A98" s="4" t="str">
        <f>VLOOKUP(G98,Data!$A:$G,2,0)</f>
        <v>Souvik Maity</v>
      </c>
      <c r="B98" s="4" t="s">
        <v>274</v>
      </c>
      <c r="C98" s="4" t="str">
        <f>VLOOKUP(G98,Data!$A:$G,4,0)</f>
        <v>Hooghly</v>
      </c>
      <c r="D98" s="4" t="str">
        <f>VLOOKUP(G98,Data!$A:$G,5,0)</f>
        <v>Arambagh</v>
      </c>
      <c r="E98" s="4" t="str">
        <f>VLOOKUP(G98,Data!$A:$G,6,0)</f>
        <v>Sk Momin Uddin</v>
      </c>
      <c r="F98" s="10" t="str">
        <f>VLOOKUP(G98,Data!$A:$G,7,0)</f>
        <v>3390313207</v>
      </c>
      <c r="G98" s="12">
        <v>24527</v>
      </c>
      <c r="H98" s="7">
        <f>COUNT(J98:U98)</f>
        <v>0</v>
      </c>
      <c r="I98" s="7">
        <f>H98*300</f>
        <v>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>
        <v>0</v>
      </c>
      <c r="X98" s="59" t="s">
        <v>363</v>
      </c>
    </row>
    <row r="99" spans="1:24" x14ac:dyDescent="0.3">
      <c r="A99" s="4" t="str">
        <f>VLOOKUP(G99,Data!$A:$G,2,0)</f>
        <v>Souvik Maity</v>
      </c>
      <c r="B99" s="4" t="str">
        <f>VLOOKUP(G99,Data!$A:$G,3,0)</f>
        <v>Inactive</v>
      </c>
      <c r="C99" s="4" t="str">
        <f>VLOOKUP(G99,Data!$A:$G,4,0)</f>
        <v>Hooghly</v>
      </c>
      <c r="D99" s="4" t="str">
        <f>VLOOKUP(G99,Data!$A:$G,5,0)</f>
        <v>Mangrul</v>
      </c>
      <c r="E99" s="4" t="str">
        <f>VLOOKUP(G99,Data!$A:$G,6,0)</f>
        <v>Prasenjit Ghosh</v>
      </c>
      <c r="F99" s="10" t="str">
        <f>VLOOKUP(G99,Data!$A:$G,7,0)</f>
        <v>2390311944</v>
      </c>
      <c r="G99" s="5">
        <v>22771</v>
      </c>
      <c r="H99" s="7">
        <f>COUNT(J99:U99)</f>
        <v>0</v>
      </c>
      <c r="I99" s="7">
        <f>H99*300</f>
        <v>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 t="e">
        <f>V99/H99</f>
        <v>#DIV/0!</v>
      </c>
      <c r="X99" s="59" t="e">
        <f>IF(W99&gt;=2000,"&gt; 2000",IF(W99&gt;=1500,"&gt; 1500",IF(W99&gt;=900,"&gt; 900",IF(W99&gt;=600,"&gt; 600",IF(W99&gt;=450,"&gt; 450",IF(W99&gt;=300,"&gt; 300",IF(W99&gt;=150,"&gt; 150",IF(W99&lt;150,"&lt; 150",IF(W99&lt;1,"Nill")))))))))</f>
        <v>#DIV/0!</v>
      </c>
    </row>
    <row r="100" spans="1:24" x14ac:dyDescent="0.3">
      <c r="A100" s="4" t="str">
        <f>VLOOKUP(G100,Data!$A:$G,2,0)</f>
        <v>Under Office (Birbhum)</v>
      </c>
      <c r="B100" s="4" t="str">
        <f>VLOOKUP(G100,Data!$A:$G,3,0)</f>
        <v>Inactive</v>
      </c>
      <c r="C100" s="4" t="str">
        <f>VLOOKUP(G100,Data!$A:$G,4,0)</f>
        <v>Siliguri</v>
      </c>
      <c r="D100" s="4" t="str">
        <f>VLOOKUP(G100,Data!$A:$G,5,0)</f>
        <v>Mangaldihi</v>
      </c>
      <c r="E100" s="4" t="str">
        <f>VLOOKUP(G100,Data!$A:$G,6,0)</f>
        <v>Swarup Sadhu</v>
      </c>
      <c r="F100" s="10" t="str">
        <f>VLOOKUP(G100,Data!$A:$G,7,0)</f>
        <v>0140311670</v>
      </c>
      <c r="G100" s="5">
        <v>22424</v>
      </c>
      <c r="H100" s="7">
        <f>COUNT(J100:U100)</f>
        <v>0</v>
      </c>
      <c r="I100" s="7">
        <f>H100*300</f>
        <v>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 t="e">
        <f>V100/H100</f>
        <v>#DIV/0!</v>
      </c>
      <c r="X100" s="59" t="e">
        <f>IF(W100&gt;=2000,"&gt; 2000",IF(W100&gt;=1500,"&gt; 1500",IF(W100&gt;=900,"&gt; 900",IF(W100&gt;=600,"&gt; 600",IF(W100&gt;=450,"&gt; 450",IF(W100&gt;=300,"&gt; 300",IF(W100&gt;=150,"&gt; 150",IF(W100&lt;150,"&lt; 150",IF(W100&lt;1,"Nill")))))))))</f>
        <v>#DIV/0!</v>
      </c>
    </row>
    <row r="101" spans="1:24" x14ac:dyDescent="0.3">
      <c r="A101" s="4" t="str">
        <f>VLOOKUP(G101,Data!$A:$G,2,0)</f>
        <v>Under Office (Birbhum)</v>
      </c>
      <c r="B101" s="4" t="s">
        <v>274</v>
      </c>
      <c r="C101" s="4" t="str">
        <f>VLOOKUP(G101,Data!$A:$G,4,0)</f>
        <v>Siliguri</v>
      </c>
      <c r="D101" s="4" t="str">
        <f>VLOOKUP(G101,Data!$A:$G,5,0)</f>
        <v>Koytha</v>
      </c>
      <c r="E101" s="4" t="str">
        <f>VLOOKUP(G101,Data!$A:$G,6,0)</f>
        <v>Tamarul Sk</v>
      </c>
      <c r="F101" s="10" t="str">
        <f>VLOOKUP(G101,Data!$A:$G,7,0)</f>
        <v>0140311624</v>
      </c>
      <c r="G101" s="12">
        <v>22361</v>
      </c>
      <c r="H101" s="7">
        <f>COUNT(J101:U101)</f>
        <v>0</v>
      </c>
      <c r="I101" s="7">
        <f>H101*300</f>
        <v>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>
        <v>0</v>
      </c>
      <c r="X101" s="59" t="s">
        <v>363</v>
      </c>
    </row>
    <row r="102" spans="1:24" x14ac:dyDescent="0.3">
      <c r="A102" s="4" t="str">
        <f>VLOOKUP(G102,Data!$A:$G,2,0)</f>
        <v>Manindra Nath Barman</v>
      </c>
      <c r="B102" s="4" t="s">
        <v>274</v>
      </c>
      <c r="C102" s="4" t="str">
        <f>VLOOKUP(G102,Data!$A:$G,4,0)</f>
        <v>Siliguri</v>
      </c>
      <c r="D102" s="4" t="str">
        <f>VLOOKUP(G102,Data!$A:$G,5,0)</f>
        <v>Maynaguri</v>
      </c>
      <c r="E102" s="4" t="str">
        <f>VLOOKUP(G102,Data!$A:$G,6,0)</f>
        <v>Biswajit Roy</v>
      </c>
      <c r="F102" s="10" t="str">
        <f>VLOOKUP(G102,Data!$A:$G,7,0)</f>
        <v>2310311260</v>
      </c>
      <c r="G102" s="12">
        <v>21929</v>
      </c>
      <c r="H102" s="7">
        <f>COUNT(J102:U102)</f>
        <v>0</v>
      </c>
      <c r="I102" s="7">
        <f>H102*300</f>
        <v>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>
        <v>0</v>
      </c>
      <c r="X102" s="59" t="s">
        <v>363</v>
      </c>
    </row>
    <row r="103" spans="1:24" x14ac:dyDescent="0.3">
      <c r="A103" s="4" t="str">
        <f>VLOOKUP(G103,Data!$A:$G,2,0)</f>
        <v>Souvik Maity</v>
      </c>
      <c r="B103" s="4" t="s">
        <v>274</v>
      </c>
      <c r="C103" s="4" t="str">
        <f>VLOOKUP(G103,Data!$A:$G,4,0)</f>
        <v>Hooghly</v>
      </c>
      <c r="D103" s="4" t="str">
        <f>VLOOKUP(G103,Data!$A:$G,5,0)</f>
        <v>Mayapur</v>
      </c>
      <c r="E103" s="4" t="str">
        <f>VLOOKUP(G103,Data!$A:$G,6,0)</f>
        <v>Falguni Samanta</v>
      </c>
      <c r="F103" s="10" t="str">
        <f>VLOOKUP(G103,Data!$A:$G,7,0)</f>
        <v>3390311256</v>
      </c>
      <c r="G103" s="12">
        <v>21925</v>
      </c>
      <c r="H103" s="7">
        <f>COUNT(J103:U103)</f>
        <v>0</v>
      </c>
      <c r="I103" s="7">
        <f>H103*300</f>
        <v>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>
        <v>0</v>
      </c>
      <c r="X103" s="59" t="s">
        <v>363</v>
      </c>
    </row>
    <row r="104" spans="1:24" x14ac:dyDescent="0.3">
      <c r="A104" s="4" t="str">
        <f>VLOOKUP(G104,Data!$A:$G,2,0)</f>
        <v>Under Office (Birbhum)</v>
      </c>
      <c r="B104" s="4" t="s">
        <v>274</v>
      </c>
      <c r="C104" s="4" t="str">
        <f>VLOOKUP(G104,Data!$A:$G,4,0)</f>
        <v>Siliguri</v>
      </c>
      <c r="D104" s="4" t="str">
        <f>VLOOKUP(G104,Data!$A:$G,5,0)</f>
        <v>Mangaldihi</v>
      </c>
      <c r="E104" s="4" t="str">
        <f>VLOOKUP(G104,Data!$A:$G,6,0)</f>
        <v>Sk Khairul Hossain</v>
      </c>
      <c r="F104" s="10" t="str">
        <f>VLOOKUP(G104,Data!$A:$G,7,0)</f>
        <v>0140310490</v>
      </c>
      <c r="G104" s="12">
        <v>20983</v>
      </c>
      <c r="H104" s="7">
        <f>COUNT(J104:U104)</f>
        <v>0</v>
      </c>
      <c r="I104" s="7">
        <f>H104*300</f>
        <v>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>
        <v>0</v>
      </c>
      <c r="X104" s="59" t="s">
        <v>363</v>
      </c>
    </row>
  </sheetData>
  <autoFilter ref="A1:X104" xr:uid="{00000000-0001-0000-0000-000000000000}">
    <sortState xmlns:xlrd2="http://schemas.microsoft.com/office/spreadsheetml/2017/richdata2" ref="A2:X104">
      <sortCondition descending="1" ref="O1:O104"/>
    </sortState>
  </autoFilter>
  <conditionalFormatting sqref="E1">
    <cfRule type="duplicateValues" dxfId="100" priority="25"/>
    <cfRule type="duplicateValues" dxfId="99" priority="26"/>
    <cfRule type="duplicateValues" dxfId="98" priority="27"/>
    <cfRule type="duplicateValues" dxfId="97" priority="28"/>
    <cfRule type="duplicateValues" dxfId="96" priority="29"/>
    <cfRule type="duplicateValues" dxfId="95" priority="30"/>
    <cfRule type="duplicateValues" dxfId="94" priority="31"/>
  </conditionalFormatting>
  <conditionalFormatting sqref="E105:E1048576">
    <cfRule type="duplicateValues" dxfId="93" priority="142"/>
    <cfRule type="duplicateValues" dxfId="92" priority="209"/>
  </conditionalFormatting>
  <conditionalFormatting sqref="F105:F1048576">
    <cfRule type="duplicateValues" dxfId="91" priority="39"/>
  </conditionalFormatting>
  <conditionalFormatting sqref="G1:G105 G191:G1048576">
    <cfRule type="duplicateValues" dxfId="90" priority="19"/>
  </conditionalFormatting>
  <conditionalFormatting sqref="G105 G191:G1048576">
    <cfRule type="duplicateValues" dxfId="89" priority="44"/>
    <cfRule type="duplicateValues" dxfId="88" priority="45"/>
  </conditionalFormatting>
  <conditionalFormatting sqref="G105">
    <cfRule type="duplicateValues" dxfId="87" priority="46"/>
    <cfRule type="duplicateValues" dxfId="86" priority="53"/>
  </conditionalFormatting>
  <conditionalFormatting sqref="G191:G1048576">
    <cfRule type="duplicateValues" dxfId="85" priority="47"/>
    <cfRule type="duplicateValues" dxfId="84" priority="48"/>
    <cfRule type="duplicateValues" dxfId="83" priority="49"/>
    <cfRule type="duplicateValues" dxfId="82" priority="50"/>
    <cfRule type="duplicateValues" dxfId="81" priority="51"/>
    <cfRule type="duplicateValues" dxfId="80" priority="52"/>
    <cfRule type="duplicateValues" dxfId="79" priority="55"/>
    <cfRule type="duplicateValues" dxfId="78" priority="56"/>
  </conditionalFormatting>
  <conditionalFormatting sqref="J2:U104">
    <cfRule type="top10" dxfId="77" priority="249" rank="1"/>
    <cfRule type="cellIs" dxfId="76" priority="250" operator="greaterThan">
      <formula>0</formula>
    </cfRule>
  </conditionalFormatting>
  <conditionalFormatting sqref="V2:V104">
    <cfRule type="top10" dxfId="75" priority="253" rank="3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FBB5-EC5E-41A6-8433-E1F7B4692E90}">
  <dimension ref="A1:W105"/>
  <sheetViews>
    <sheetView topLeftCell="F1"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20.21875" style="2" bestFit="1" customWidth="1"/>
    <col min="2" max="2" width="7.44140625" style="2" bestFit="1" customWidth="1"/>
    <col min="3" max="3" width="8.77734375" style="2" bestFit="1" customWidth="1"/>
    <col min="4" max="4" width="15.33203125" style="2" bestFit="1" customWidth="1"/>
    <col min="5" max="5" width="24.77734375" style="2" bestFit="1" customWidth="1"/>
    <col min="6" max="6" width="11" style="11" bestFit="1" customWidth="1"/>
    <col min="7" max="7" width="8.21875" style="6" bestFit="1" customWidth="1"/>
    <col min="8" max="8" width="6.77734375" bestFit="1" customWidth="1"/>
    <col min="9" max="9" width="6.33203125" bestFit="1" customWidth="1"/>
    <col min="10" max="10" width="11.5546875" bestFit="1" customWidth="1"/>
    <col min="11" max="12" width="9.77734375" bestFit="1" customWidth="1"/>
    <col min="13" max="13" width="11.21875" bestFit="1" customWidth="1"/>
    <col min="14" max="14" width="11.5546875" bestFit="1" customWidth="1"/>
    <col min="15" max="15" width="6.77734375" bestFit="1" customWidth="1"/>
    <col min="16" max="16" width="6.5546875" bestFit="1" customWidth="1"/>
    <col min="17" max="17" width="7.109375" bestFit="1" customWidth="1"/>
    <col min="18" max="18" width="6.77734375" bestFit="1" customWidth="1"/>
    <col min="19" max="19" width="6.44140625" bestFit="1" customWidth="1"/>
    <col min="20" max="20" width="6.6640625" bestFit="1" customWidth="1"/>
    <col min="21" max="21" width="7.109375" bestFit="1" customWidth="1"/>
    <col min="22" max="22" width="11.5546875" bestFit="1" customWidth="1"/>
    <col min="23" max="23" width="11.21875" bestFit="1" customWidth="1"/>
  </cols>
  <sheetData>
    <row r="1" spans="1:23" x14ac:dyDescent="0.3">
      <c r="A1" s="13" t="s">
        <v>264</v>
      </c>
      <c r="B1" s="13" t="s">
        <v>271</v>
      </c>
      <c r="C1" s="13" t="s">
        <v>272</v>
      </c>
      <c r="D1" s="13" t="s">
        <v>263</v>
      </c>
      <c r="E1" s="13" t="s">
        <v>265</v>
      </c>
      <c r="F1" s="14" t="s">
        <v>266</v>
      </c>
      <c r="G1" s="1" t="s">
        <v>267</v>
      </c>
      <c r="H1" s="15" t="s">
        <v>268</v>
      </c>
      <c r="I1" s="15" t="s">
        <v>280</v>
      </c>
      <c r="J1" s="15">
        <v>46113</v>
      </c>
      <c r="K1" s="15">
        <v>46143</v>
      </c>
      <c r="L1" s="15">
        <v>46174</v>
      </c>
      <c r="M1" s="15">
        <v>46204</v>
      </c>
      <c r="N1" s="15">
        <v>46235</v>
      </c>
      <c r="O1" s="15">
        <v>46266</v>
      </c>
      <c r="P1" s="15">
        <v>46296</v>
      </c>
      <c r="Q1" s="15">
        <v>46327</v>
      </c>
      <c r="R1" s="15">
        <v>46357</v>
      </c>
      <c r="S1" s="15">
        <v>46388</v>
      </c>
      <c r="T1" s="15">
        <v>46419</v>
      </c>
      <c r="U1" s="15">
        <v>46447</v>
      </c>
      <c r="V1" s="13" t="s">
        <v>273</v>
      </c>
      <c r="W1" s="15" t="s">
        <v>270</v>
      </c>
    </row>
    <row r="2" spans="1:23" x14ac:dyDescent="0.3">
      <c r="A2" s="4" t="str">
        <f>VLOOKUP(G2,Data!$A:$G,2,0)</f>
        <v>Under Office (Birbhum)</v>
      </c>
      <c r="B2" s="4" t="str">
        <f>VLOOKUP(G2,Data!$A:$G,3,0)</f>
        <v>Active</v>
      </c>
      <c r="C2" s="4" t="str">
        <f>VLOOKUP(G2,Data!$A:$G,4,0)</f>
        <v>Siliguri</v>
      </c>
      <c r="D2" s="4" t="str">
        <f>VLOOKUP(G2,Data!$A:$G,5,0)</f>
        <v>Paikar</v>
      </c>
      <c r="E2" s="4" t="str">
        <f>VLOOKUP(G2,Data!$A:$G,6,0)</f>
        <v>Saheb Sk</v>
      </c>
      <c r="F2" s="10" t="str">
        <f>VLOOKUP(G2,Data!$A:$G,7,0)</f>
        <v>0140311324</v>
      </c>
      <c r="G2" s="5">
        <v>21999</v>
      </c>
      <c r="H2" s="7">
        <f>VLOOKUP(G2,'FI txn'!$G:$H,2,0)</f>
        <v>6</v>
      </c>
      <c r="I2" s="7">
        <f t="shared" ref="I2:I33" si="0">H2*300</f>
        <v>1800</v>
      </c>
      <c r="J2" s="8">
        <v>10982957</v>
      </c>
      <c r="K2" s="8">
        <v>9539236</v>
      </c>
      <c r="L2" s="8">
        <v>8103344</v>
      </c>
      <c r="M2" s="8">
        <v>7966601</v>
      </c>
      <c r="N2" s="8">
        <v>8458340</v>
      </c>
      <c r="O2" s="8"/>
      <c r="P2" s="8"/>
      <c r="Q2" s="8"/>
      <c r="R2" s="8"/>
      <c r="S2" s="8"/>
      <c r="T2" s="8"/>
      <c r="U2" s="8"/>
      <c r="V2" s="8">
        <f t="shared" ref="V2:V33" si="1">SUM(J2:U2)</f>
        <v>45050478</v>
      </c>
      <c r="W2" s="9">
        <f t="shared" ref="W2:W33" si="2">V2/H2</f>
        <v>7508413</v>
      </c>
    </row>
    <row r="3" spans="1:23" x14ac:dyDescent="0.3">
      <c r="A3" s="4" t="str">
        <f>VLOOKUP(G3,Data!$A:$G,2,0)</f>
        <v>Under Office (W Medinipur)</v>
      </c>
      <c r="B3" s="4" t="str">
        <f>VLOOKUP(G3,Data!$A:$G,3,0)</f>
        <v>Active</v>
      </c>
      <c r="C3" s="4" t="str">
        <f>VLOOKUP(G3,Data!$A:$G,4,0)</f>
        <v>Hooghly</v>
      </c>
      <c r="D3" s="4" t="str">
        <f>VLOOKUP(G3,Data!$A:$G,5,0)</f>
        <v>Palaschabrighat</v>
      </c>
      <c r="E3" s="4" t="str">
        <f>VLOOKUP(G3,Data!$A:$G,6,0)</f>
        <v>Asima Bhunia</v>
      </c>
      <c r="F3" s="10" t="str">
        <f>VLOOKUP(G3,Data!$A:$G,7,0)</f>
        <v>2390311420</v>
      </c>
      <c r="G3" s="5">
        <v>22126</v>
      </c>
      <c r="H3" s="7">
        <f>VLOOKUP(G3,'FI txn'!$G:$H,2,0)</f>
        <v>6</v>
      </c>
      <c r="I3" s="7">
        <f t="shared" si="0"/>
        <v>1800</v>
      </c>
      <c r="J3" s="8">
        <v>8874850</v>
      </c>
      <c r="K3" s="8">
        <v>7492100</v>
      </c>
      <c r="L3" s="8">
        <v>9327724</v>
      </c>
      <c r="M3" s="8">
        <v>10600340</v>
      </c>
      <c r="N3" s="8">
        <v>13827474</v>
      </c>
      <c r="O3" s="8"/>
      <c r="P3" s="8"/>
      <c r="Q3" s="8"/>
      <c r="R3" s="8"/>
      <c r="S3" s="8"/>
      <c r="T3" s="8"/>
      <c r="U3" s="8"/>
      <c r="V3" s="8">
        <f t="shared" si="1"/>
        <v>50122488</v>
      </c>
      <c r="W3" s="9">
        <f t="shared" si="2"/>
        <v>8353748</v>
      </c>
    </row>
    <row r="4" spans="1:23" x14ac:dyDescent="0.3">
      <c r="A4" s="4" t="str">
        <f>VLOOKUP(G4,Data!$A:$G,2,0)</f>
        <v>Under Office (W Medinipur)</v>
      </c>
      <c r="B4" s="4" t="str">
        <f>VLOOKUP(G4,Data!$A:$G,3,0)</f>
        <v>Active</v>
      </c>
      <c r="C4" s="4" t="str">
        <f>VLOOKUP(G4,Data!$A:$G,4,0)</f>
        <v>Hooghly</v>
      </c>
      <c r="D4" s="4" t="str">
        <f>VLOOKUP(G4,Data!$A:$G,5,0)</f>
        <v>Binpur</v>
      </c>
      <c r="E4" s="4" t="str">
        <f>VLOOKUP(G4,Data!$A:$G,6,0)</f>
        <v>Debika Singha Patra</v>
      </c>
      <c r="F4" s="10" t="str">
        <f>VLOOKUP(G4,Data!$A:$G,7,0)</f>
        <v>2390311962</v>
      </c>
      <c r="G4" s="5">
        <v>22789</v>
      </c>
      <c r="H4" s="7">
        <f>VLOOKUP(G4,'FI txn'!$G:$H,2,0)</f>
        <v>6</v>
      </c>
      <c r="I4" s="7">
        <f t="shared" si="0"/>
        <v>1800</v>
      </c>
      <c r="J4" s="8">
        <v>8590990</v>
      </c>
      <c r="K4" s="8">
        <v>9316810</v>
      </c>
      <c r="L4" s="8">
        <v>7828130</v>
      </c>
      <c r="M4" s="8">
        <v>8341180</v>
      </c>
      <c r="N4" s="8">
        <v>8409980</v>
      </c>
      <c r="O4" s="8"/>
      <c r="P4" s="8"/>
      <c r="Q4" s="8"/>
      <c r="R4" s="8"/>
      <c r="S4" s="8"/>
      <c r="T4" s="8"/>
      <c r="U4" s="8"/>
      <c r="V4" s="8">
        <f t="shared" si="1"/>
        <v>42487090</v>
      </c>
      <c r="W4" s="9">
        <f t="shared" si="2"/>
        <v>7081181.666666667</v>
      </c>
    </row>
    <row r="5" spans="1:23" x14ac:dyDescent="0.3">
      <c r="A5" s="4" t="str">
        <f>VLOOKUP(G5,Data!$A:$G,2,0)</f>
        <v>Under Office (W Medinipur)</v>
      </c>
      <c r="B5" s="4" t="str">
        <f>VLOOKUP(G5,Data!$A:$G,3,0)</f>
        <v>Active</v>
      </c>
      <c r="C5" s="4" t="str">
        <f>VLOOKUP(G5,Data!$A:$G,4,0)</f>
        <v>Hooghly</v>
      </c>
      <c r="D5" s="4" t="str">
        <f>VLOOKUP(G5,Data!$A:$G,5,0)</f>
        <v>Khirpai</v>
      </c>
      <c r="E5" s="4" t="str">
        <f>VLOOKUP(G5,Data!$A:$G,6,0)</f>
        <v>Sk Abbas Ali</v>
      </c>
      <c r="F5" s="10" t="str">
        <f>VLOOKUP(G5,Data!$A:$G,7,0)</f>
        <v>2390311378</v>
      </c>
      <c r="G5" s="5">
        <v>22073</v>
      </c>
      <c r="H5" s="7">
        <f>VLOOKUP(G5,'FI txn'!$G:$H,2,0)</f>
        <v>6</v>
      </c>
      <c r="I5" s="7">
        <f t="shared" si="0"/>
        <v>1800</v>
      </c>
      <c r="J5" s="8">
        <v>6821870</v>
      </c>
      <c r="K5" s="8">
        <v>7065401</v>
      </c>
      <c r="L5" s="8">
        <v>6633810</v>
      </c>
      <c r="M5" s="8">
        <v>8112370</v>
      </c>
      <c r="N5" s="8">
        <v>8933710</v>
      </c>
      <c r="O5" s="8"/>
      <c r="P5" s="8"/>
      <c r="Q5" s="8"/>
      <c r="R5" s="8"/>
      <c r="S5" s="8"/>
      <c r="T5" s="8"/>
      <c r="U5" s="8"/>
      <c r="V5" s="8">
        <f t="shared" si="1"/>
        <v>37567161</v>
      </c>
      <c r="W5" s="9">
        <f t="shared" si="2"/>
        <v>6261193.5</v>
      </c>
    </row>
    <row r="6" spans="1:23" x14ac:dyDescent="0.3">
      <c r="A6" s="4" t="str">
        <f>VLOOKUP(G6,Data!$A:$G,2,0)</f>
        <v>Under Office (Birbhum)</v>
      </c>
      <c r="B6" s="4" t="str">
        <f>VLOOKUP(G6,Data!$A:$G,3,0)</f>
        <v>Active</v>
      </c>
      <c r="C6" s="4" t="str">
        <f>VLOOKUP(G6,Data!$A:$G,4,0)</f>
        <v>Siliguri</v>
      </c>
      <c r="D6" s="4" t="str">
        <f>VLOOKUP(G6,Data!$A:$G,5,0)</f>
        <v>Jajigram</v>
      </c>
      <c r="E6" s="4" t="str">
        <f>VLOOKUP(G6,Data!$A:$G,6,0)</f>
        <v>Mosaraf Sk</v>
      </c>
      <c r="F6" s="10" t="str">
        <f>VLOOKUP(G6,Data!$A:$G,7,0)</f>
        <v>0140311323</v>
      </c>
      <c r="G6" s="5">
        <v>21998</v>
      </c>
      <c r="H6" s="7">
        <f>VLOOKUP(G6,'FI txn'!$G:$H,2,0)</f>
        <v>6</v>
      </c>
      <c r="I6" s="7">
        <f t="shared" si="0"/>
        <v>1800</v>
      </c>
      <c r="J6" s="8">
        <v>6065644</v>
      </c>
      <c r="K6" s="8">
        <v>6439455</v>
      </c>
      <c r="L6" s="8">
        <v>7278900</v>
      </c>
      <c r="M6" s="8">
        <v>8370850</v>
      </c>
      <c r="N6" s="8">
        <v>8782752</v>
      </c>
      <c r="O6" s="8"/>
      <c r="P6" s="8"/>
      <c r="Q6" s="8"/>
      <c r="R6" s="8"/>
      <c r="S6" s="8"/>
      <c r="T6" s="8"/>
      <c r="U6" s="8"/>
      <c r="V6" s="8">
        <f t="shared" si="1"/>
        <v>36937601</v>
      </c>
      <c r="W6" s="9">
        <f t="shared" si="2"/>
        <v>6156266.833333333</v>
      </c>
    </row>
    <row r="7" spans="1:23" x14ac:dyDescent="0.3">
      <c r="A7" s="4" t="str">
        <f>VLOOKUP(G7,Data!$A:$G,2,0)</f>
        <v>Souvik Maity</v>
      </c>
      <c r="B7" s="4" t="str">
        <f>VLOOKUP(G7,Data!$A:$G,3,0)</f>
        <v>Active</v>
      </c>
      <c r="C7" s="4" t="str">
        <f>VLOOKUP(G7,Data!$A:$G,4,0)</f>
        <v>Hooghly</v>
      </c>
      <c r="D7" s="4" t="str">
        <f>VLOOKUP(G7,Data!$A:$G,5,0)</f>
        <v>Rajhati</v>
      </c>
      <c r="E7" s="4" t="str">
        <f>VLOOKUP(G7,Data!$A:$G,6,0)</f>
        <v>Arnnapurna Maji</v>
      </c>
      <c r="F7" s="10" t="str">
        <f>VLOOKUP(G7,Data!$A:$G,7,0)</f>
        <v>3390311610</v>
      </c>
      <c r="G7" s="5">
        <v>22346</v>
      </c>
      <c r="H7" s="7">
        <f>VLOOKUP(G7,'FI txn'!$G:$H,2,0)</f>
        <v>6</v>
      </c>
      <c r="I7" s="7">
        <f t="shared" si="0"/>
        <v>1800</v>
      </c>
      <c r="J7" s="8">
        <v>7554010</v>
      </c>
      <c r="K7" s="8">
        <v>6957070</v>
      </c>
      <c r="L7" s="8">
        <v>5836220</v>
      </c>
      <c r="M7" s="8">
        <v>7049853</v>
      </c>
      <c r="N7" s="8">
        <v>7691100</v>
      </c>
      <c r="O7" s="8"/>
      <c r="P7" s="8"/>
      <c r="Q7" s="8"/>
      <c r="R7" s="8"/>
      <c r="S7" s="8"/>
      <c r="T7" s="8"/>
      <c r="U7" s="8"/>
      <c r="V7" s="8">
        <f t="shared" si="1"/>
        <v>35088253</v>
      </c>
      <c r="W7" s="9">
        <f t="shared" si="2"/>
        <v>5848042.166666667</v>
      </c>
    </row>
    <row r="8" spans="1:23" x14ac:dyDescent="0.3">
      <c r="A8" s="4" t="str">
        <f>VLOOKUP(G8,Data!$A:$G,2,0)</f>
        <v>Under Office (W Medinipur)</v>
      </c>
      <c r="B8" s="4" t="str">
        <f>VLOOKUP(G8,Data!$A:$G,3,0)</f>
        <v>Active</v>
      </c>
      <c r="C8" s="4" t="str">
        <f>VLOOKUP(G8,Data!$A:$G,4,0)</f>
        <v>Hooghly</v>
      </c>
      <c r="D8" s="4" t="str">
        <f>VLOOKUP(G8,Data!$A:$G,5,0)</f>
        <v>Ramjibanpur</v>
      </c>
      <c r="E8" s="4" t="str">
        <f>VLOOKUP(G8,Data!$A:$G,6,0)</f>
        <v>Abhijit Modak</v>
      </c>
      <c r="F8" s="10" t="str">
        <f>VLOOKUP(G8,Data!$A:$G,7,0)</f>
        <v>3390311425</v>
      </c>
      <c r="G8" s="5">
        <v>22131</v>
      </c>
      <c r="H8" s="7">
        <f>VLOOKUP(G8,'FI txn'!$G:$H,2,0)</f>
        <v>6</v>
      </c>
      <c r="I8" s="7">
        <f t="shared" si="0"/>
        <v>1800</v>
      </c>
      <c r="J8" s="8">
        <v>6742700</v>
      </c>
      <c r="K8" s="8">
        <v>6685900</v>
      </c>
      <c r="L8" s="8">
        <v>5306800</v>
      </c>
      <c r="M8" s="8">
        <v>5770100</v>
      </c>
      <c r="N8" s="8">
        <v>6001500</v>
      </c>
      <c r="O8" s="8"/>
      <c r="P8" s="8"/>
      <c r="Q8" s="8"/>
      <c r="R8" s="8"/>
      <c r="S8" s="8"/>
      <c r="T8" s="8"/>
      <c r="U8" s="8"/>
      <c r="V8" s="8">
        <f t="shared" si="1"/>
        <v>30507000</v>
      </c>
      <c r="W8" s="9">
        <f t="shared" si="2"/>
        <v>5084500</v>
      </c>
    </row>
    <row r="9" spans="1:23" x14ac:dyDescent="0.3">
      <c r="A9" s="4" t="str">
        <f>VLOOKUP(G9,Data!$A:$G,2,0)</f>
        <v>Rajiul Momin</v>
      </c>
      <c r="B9" s="4" t="str">
        <f>VLOOKUP(G9,Data!$A:$G,3,0)</f>
        <v>Active</v>
      </c>
      <c r="C9" s="4" t="str">
        <f>VLOOKUP(G9,Data!$A:$G,4,0)</f>
        <v>Siliguri</v>
      </c>
      <c r="D9" s="4" t="str">
        <f>VLOOKUP(G9,Data!$A:$G,5,0)</f>
        <v>Kaluari</v>
      </c>
      <c r="E9" s="4" t="str">
        <f>VLOOKUP(G9,Data!$A:$G,6,0)</f>
        <v>Masidur Rahaman</v>
      </c>
      <c r="F9" s="10" t="str">
        <f>VLOOKUP(G9,Data!$A:$G,7,0)</f>
        <v>2370310973</v>
      </c>
      <c r="G9" s="5">
        <v>21583</v>
      </c>
      <c r="H9" s="7">
        <f>VLOOKUP(G9,'FI txn'!$G:$H,2,0)</f>
        <v>6</v>
      </c>
      <c r="I9" s="7">
        <f t="shared" si="0"/>
        <v>1800</v>
      </c>
      <c r="J9" s="8">
        <v>5591200</v>
      </c>
      <c r="K9" s="8">
        <v>5453650</v>
      </c>
      <c r="L9" s="8">
        <v>6144950</v>
      </c>
      <c r="M9" s="8">
        <v>5360010</v>
      </c>
      <c r="N9" s="8">
        <v>5267110</v>
      </c>
      <c r="O9" s="8"/>
      <c r="P9" s="8"/>
      <c r="Q9" s="8"/>
      <c r="R9" s="8"/>
      <c r="S9" s="8"/>
      <c r="T9" s="8"/>
      <c r="U9" s="8"/>
      <c r="V9" s="8">
        <f t="shared" si="1"/>
        <v>27816920</v>
      </c>
      <c r="W9" s="9">
        <f t="shared" si="2"/>
        <v>4636153.333333333</v>
      </c>
    </row>
    <row r="10" spans="1:23" x14ac:dyDescent="0.3">
      <c r="A10" s="4" t="str">
        <f>VLOOKUP(G10,Data!$A:$G,2,0)</f>
        <v>Avi Sk</v>
      </c>
      <c r="B10" s="4" t="str">
        <f>VLOOKUP(G10,Data!$A:$G,3,0)</f>
        <v>Active</v>
      </c>
      <c r="C10" s="4" t="str">
        <f>VLOOKUP(G10,Data!$A:$G,4,0)</f>
        <v>Siliguri</v>
      </c>
      <c r="D10" s="4" t="str">
        <f>VLOOKUP(G10,Data!$A:$G,5,0)</f>
        <v>Talgachi</v>
      </c>
      <c r="E10" s="4" t="str">
        <f>VLOOKUP(G10,Data!$A:$G,6,0)</f>
        <v>Giridhari Sarkar</v>
      </c>
      <c r="F10" s="10" t="str">
        <f>VLOOKUP(G10,Data!$A:$G,7,0)</f>
        <v>2410310083</v>
      </c>
      <c r="G10" s="5">
        <v>20509</v>
      </c>
      <c r="H10" s="7">
        <f>VLOOKUP(G10,'FI txn'!$G:$H,2,0)</f>
        <v>6</v>
      </c>
      <c r="I10" s="7">
        <f t="shared" si="0"/>
        <v>1800</v>
      </c>
      <c r="J10" s="8">
        <v>3839687</v>
      </c>
      <c r="K10" s="8">
        <v>4143270</v>
      </c>
      <c r="L10" s="8">
        <v>3851200</v>
      </c>
      <c r="M10" s="8">
        <v>3884800</v>
      </c>
      <c r="N10" s="8">
        <v>3929179</v>
      </c>
      <c r="O10" s="8"/>
      <c r="P10" s="8"/>
      <c r="Q10" s="8"/>
      <c r="R10" s="8"/>
      <c r="S10" s="8"/>
      <c r="T10" s="8"/>
      <c r="U10" s="8"/>
      <c r="V10" s="8">
        <f t="shared" si="1"/>
        <v>19648136</v>
      </c>
      <c r="W10" s="9">
        <f t="shared" si="2"/>
        <v>3274689.3333333335</v>
      </c>
    </row>
    <row r="11" spans="1:23" x14ac:dyDescent="0.3">
      <c r="A11" s="4" t="str">
        <f>VLOOKUP(G11,Data!$A:$G,2,0)</f>
        <v>Souvik Maity</v>
      </c>
      <c r="B11" s="4" t="str">
        <f>VLOOKUP(G11,Data!$A:$G,3,0)</f>
        <v>Active</v>
      </c>
      <c r="C11" s="4" t="str">
        <f>VLOOKUP(G11,Data!$A:$G,4,0)</f>
        <v>Hooghly</v>
      </c>
      <c r="D11" s="4" t="str">
        <f>VLOOKUP(G11,Data!$A:$G,5,0)</f>
        <v>Rajhati</v>
      </c>
      <c r="E11" s="4" t="str">
        <f>VLOOKUP(G11,Data!$A:$G,6,0)</f>
        <v>Santanu Ghosh</v>
      </c>
      <c r="F11" s="10" t="str">
        <f>VLOOKUP(G11,Data!$A:$G,7,0)</f>
        <v>3390314383</v>
      </c>
      <c r="G11" s="5">
        <v>26399</v>
      </c>
      <c r="H11" s="7">
        <f>VLOOKUP(G11,'FI txn'!$G:$H,2,0)</f>
        <v>6</v>
      </c>
      <c r="I11" s="7">
        <f t="shared" si="0"/>
        <v>1800</v>
      </c>
      <c r="J11" s="8">
        <v>3510840</v>
      </c>
      <c r="K11" s="8">
        <v>3233860</v>
      </c>
      <c r="L11" s="8">
        <v>2275600</v>
      </c>
      <c r="M11" s="8">
        <v>3761610</v>
      </c>
      <c r="N11" s="8">
        <v>4048870</v>
      </c>
      <c r="O11" s="8"/>
      <c r="P11" s="8"/>
      <c r="Q11" s="8"/>
      <c r="R11" s="8"/>
      <c r="S11" s="8"/>
      <c r="T11" s="8"/>
      <c r="U11" s="8"/>
      <c r="V11" s="8">
        <f t="shared" si="1"/>
        <v>16830780</v>
      </c>
      <c r="W11" s="9">
        <f t="shared" si="2"/>
        <v>2805130</v>
      </c>
    </row>
    <row r="12" spans="1:23" x14ac:dyDescent="0.3">
      <c r="A12" s="4" t="str">
        <f>VLOOKUP(G12,Data!$A:$G,2,0)</f>
        <v>Under Office (W Medinipur)</v>
      </c>
      <c r="B12" s="4" t="str">
        <f>VLOOKUP(G12,Data!$A:$G,3,0)</f>
        <v>Active</v>
      </c>
      <c r="C12" s="4" t="str">
        <f>VLOOKUP(G12,Data!$A:$G,4,0)</f>
        <v>Hooghly</v>
      </c>
      <c r="D12" s="4" t="str">
        <f>VLOOKUP(G12,Data!$A:$G,5,0)</f>
        <v>Khirpai</v>
      </c>
      <c r="E12" s="4" t="str">
        <f>VLOOKUP(G12,Data!$A:$G,6,0)</f>
        <v>Reshma Khatun</v>
      </c>
      <c r="F12" s="10" t="str">
        <f>VLOOKUP(G12,Data!$A:$G,7,0)</f>
        <v>2390314453</v>
      </c>
      <c r="G12" s="5">
        <v>26501</v>
      </c>
      <c r="H12" s="7">
        <f>VLOOKUP(G12,'FI txn'!$G:$H,2,0)</f>
        <v>6</v>
      </c>
      <c r="I12" s="7">
        <f t="shared" si="0"/>
        <v>1800</v>
      </c>
      <c r="J12" s="8">
        <v>3003120</v>
      </c>
      <c r="K12" s="8">
        <v>3383400</v>
      </c>
      <c r="L12" s="8">
        <v>2881320</v>
      </c>
      <c r="M12" s="8">
        <v>2888138</v>
      </c>
      <c r="N12" s="8">
        <v>3908430</v>
      </c>
      <c r="O12" s="8"/>
      <c r="P12" s="8"/>
      <c r="Q12" s="8"/>
      <c r="R12" s="8"/>
      <c r="S12" s="8"/>
      <c r="T12" s="8"/>
      <c r="U12" s="8"/>
      <c r="V12" s="8">
        <f t="shared" si="1"/>
        <v>16064408</v>
      </c>
      <c r="W12" s="9">
        <f t="shared" si="2"/>
        <v>2677401.3333333335</v>
      </c>
    </row>
    <row r="13" spans="1:23" x14ac:dyDescent="0.3">
      <c r="A13" s="4" t="str">
        <f>VLOOKUP(G13,Data!$A:$G,2,0)</f>
        <v>Under Office (W Medinipur)</v>
      </c>
      <c r="B13" s="4" t="str">
        <f>VLOOKUP(G13,Data!$A:$G,3,0)</f>
        <v>Active</v>
      </c>
      <c r="C13" s="4" t="str">
        <f>VLOOKUP(G13,Data!$A:$G,4,0)</f>
        <v>Hooghly</v>
      </c>
      <c r="D13" s="4" t="str">
        <f>VLOOKUP(G13,Data!$A:$G,5,0)</f>
        <v>Bhairabpur</v>
      </c>
      <c r="E13" s="4" t="str">
        <f>VLOOKUP(G13,Data!$A:$G,6,0)</f>
        <v>Srabani Chatterjee</v>
      </c>
      <c r="F13" s="10" t="str">
        <f>VLOOKUP(G13,Data!$A:$G,7,0)</f>
        <v>2390312437</v>
      </c>
      <c r="G13" s="5">
        <v>23429</v>
      </c>
      <c r="H13" s="7">
        <f>VLOOKUP(G13,'FI txn'!$G:$H,2,0)</f>
        <v>6</v>
      </c>
      <c r="I13" s="7">
        <f t="shared" si="0"/>
        <v>1800</v>
      </c>
      <c r="J13" s="8">
        <v>2705070</v>
      </c>
      <c r="K13" s="8">
        <v>2000611</v>
      </c>
      <c r="L13" s="8">
        <v>3623301</v>
      </c>
      <c r="M13" s="8">
        <v>3755030</v>
      </c>
      <c r="N13" s="8">
        <v>4543850</v>
      </c>
      <c r="O13" s="8"/>
      <c r="P13" s="8"/>
      <c r="Q13" s="8"/>
      <c r="R13" s="8"/>
      <c r="S13" s="8"/>
      <c r="T13" s="8"/>
      <c r="U13" s="8"/>
      <c r="V13" s="8">
        <f t="shared" si="1"/>
        <v>16627862</v>
      </c>
      <c r="W13" s="9">
        <f t="shared" si="2"/>
        <v>2771310.3333333335</v>
      </c>
    </row>
    <row r="14" spans="1:23" x14ac:dyDescent="0.3">
      <c r="A14" s="4" t="str">
        <f>VLOOKUP(G14,Data!$A:$G,2,0)</f>
        <v>Souvik Maity</v>
      </c>
      <c r="B14" s="4" t="str">
        <f>VLOOKUP(G14,Data!$A:$G,3,0)</f>
        <v>Active</v>
      </c>
      <c r="C14" s="4" t="str">
        <f>VLOOKUP(G14,Data!$A:$G,4,0)</f>
        <v>Hooghly</v>
      </c>
      <c r="D14" s="4" t="str">
        <f>VLOOKUP(G14,Data!$A:$G,5,0)</f>
        <v>Dhanyaghori</v>
      </c>
      <c r="E14" s="4" t="str">
        <f>VLOOKUP(G14,Data!$A:$G,6,0)</f>
        <v>Pratik Chakraborty</v>
      </c>
      <c r="F14" s="10" t="str">
        <f>VLOOKUP(G14,Data!$A:$G,7,0)</f>
        <v>3390311946</v>
      </c>
      <c r="G14" s="5">
        <v>22773</v>
      </c>
      <c r="H14" s="7">
        <f>VLOOKUP(G14,'FI txn'!$G:$H,2,0)</f>
        <v>6</v>
      </c>
      <c r="I14" s="7">
        <f t="shared" si="0"/>
        <v>1800</v>
      </c>
      <c r="J14" s="8">
        <v>2970500</v>
      </c>
      <c r="K14" s="8">
        <v>3105050</v>
      </c>
      <c r="L14" s="8">
        <v>2833900</v>
      </c>
      <c r="M14" s="8">
        <v>2813400</v>
      </c>
      <c r="N14" s="8">
        <v>3384500</v>
      </c>
      <c r="O14" s="8"/>
      <c r="P14" s="8"/>
      <c r="Q14" s="8"/>
      <c r="R14" s="8"/>
      <c r="S14" s="8"/>
      <c r="T14" s="8"/>
      <c r="U14" s="8"/>
      <c r="V14" s="8">
        <f t="shared" si="1"/>
        <v>15107350</v>
      </c>
      <c r="W14" s="9">
        <f t="shared" si="2"/>
        <v>2517891.6666666665</v>
      </c>
    </row>
    <row r="15" spans="1:23" x14ac:dyDescent="0.3">
      <c r="A15" s="4" t="str">
        <f>VLOOKUP(G15,Data!$A:$G,2,0)</f>
        <v>Santanu Bera</v>
      </c>
      <c r="B15" s="4" t="str">
        <f>VLOOKUP(G15,Data!$A:$G,3,0)</f>
        <v>Active</v>
      </c>
      <c r="C15" s="4" t="str">
        <f>VLOOKUP(G15,Data!$A:$G,4,0)</f>
        <v>Hooghly</v>
      </c>
      <c r="D15" s="4" t="str">
        <f>VLOOKUP(G15,Data!$A:$G,5,0)</f>
        <v>Panskura</v>
      </c>
      <c r="E15" s="4" t="str">
        <f>VLOOKUP(G15,Data!$A:$G,6,0)</f>
        <v>Kartik Maity</v>
      </c>
      <c r="F15" s="10" t="str">
        <f>VLOOKUP(G15,Data!$A:$G,7,0)</f>
        <v>2380311666</v>
      </c>
      <c r="G15" s="5">
        <v>22404</v>
      </c>
      <c r="H15" s="7">
        <f>VLOOKUP(G15,'FI txn'!$G:$H,2,0)</f>
        <v>6</v>
      </c>
      <c r="I15" s="7">
        <f t="shared" si="0"/>
        <v>1800</v>
      </c>
      <c r="J15" s="8">
        <v>2834800</v>
      </c>
      <c r="K15" s="8">
        <v>3386950</v>
      </c>
      <c r="L15" s="8">
        <v>2305200</v>
      </c>
      <c r="M15" s="8">
        <v>3115650</v>
      </c>
      <c r="N15" s="8">
        <v>2540930</v>
      </c>
      <c r="O15" s="8"/>
      <c r="P15" s="8"/>
      <c r="Q15" s="8"/>
      <c r="R15" s="8"/>
      <c r="S15" s="8"/>
      <c r="T15" s="8"/>
      <c r="U15" s="8"/>
      <c r="V15" s="8">
        <f t="shared" si="1"/>
        <v>14183530</v>
      </c>
      <c r="W15" s="9">
        <f t="shared" si="2"/>
        <v>2363921.6666666665</v>
      </c>
    </row>
    <row r="16" spans="1:23" x14ac:dyDescent="0.3">
      <c r="A16" s="4" t="str">
        <f>VLOOKUP(G16,Data!$A:$G,2,0)</f>
        <v>Souvik Maity</v>
      </c>
      <c r="B16" s="4" t="str">
        <f>VLOOKUP(G16,Data!$A:$G,3,0)</f>
        <v>Active</v>
      </c>
      <c r="C16" s="4" t="str">
        <f>VLOOKUP(G16,Data!$A:$G,4,0)</f>
        <v>Hooghly</v>
      </c>
      <c r="D16" s="4" t="str">
        <f>VLOOKUP(G16,Data!$A:$G,5,0)</f>
        <v>Jirat</v>
      </c>
      <c r="E16" s="4" t="str">
        <f>VLOOKUP(G16,Data!$A:$G,6,0)</f>
        <v>Sahadeb Chakraborty</v>
      </c>
      <c r="F16" s="10" t="str">
        <f>VLOOKUP(G16,Data!$A:$G,7,0)</f>
        <v>3390314204</v>
      </c>
      <c r="G16" s="5">
        <v>26084</v>
      </c>
      <c r="H16" s="7">
        <f>VLOOKUP(G16,'FI txn'!$G:$H,2,0)</f>
        <v>6</v>
      </c>
      <c r="I16" s="7">
        <f t="shared" si="0"/>
        <v>1800</v>
      </c>
      <c r="J16" s="8">
        <v>2913901</v>
      </c>
      <c r="K16" s="8">
        <v>2837400</v>
      </c>
      <c r="L16" s="8">
        <v>2489368</v>
      </c>
      <c r="M16" s="8">
        <v>3375900</v>
      </c>
      <c r="N16" s="8">
        <v>3424101</v>
      </c>
      <c r="O16" s="8"/>
      <c r="P16" s="8"/>
      <c r="Q16" s="8"/>
      <c r="R16" s="8"/>
      <c r="S16" s="8"/>
      <c r="T16" s="8"/>
      <c r="U16" s="8"/>
      <c r="V16" s="8">
        <f t="shared" si="1"/>
        <v>15040670</v>
      </c>
      <c r="W16" s="9">
        <f t="shared" si="2"/>
        <v>2506778.3333333335</v>
      </c>
    </row>
    <row r="17" spans="1:23" x14ac:dyDescent="0.3">
      <c r="A17" s="4" t="str">
        <f>VLOOKUP(G17,Data!$A:$G,2,0)</f>
        <v>Rajiul Momin</v>
      </c>
      <c r="B17" s="4" t="str">
        <f>VLOOKUP(G17,Data!$A:$G,3,0)</f>
        <v>Active</v>
      </c>
      <c r="C17" s="4" t="str">
        <f>VLOOKUP(G17,Data!$A:$G,4,0)</f>
        <v>Siliguri</v>
      </c>
      <c r="D17" s="4" t="str">
        <f>VLOOKUP(G17,Data!$A:$G,5,0)</f>
        <v>Inyathpur</v>
      </c>
      <c r="E17" s="4" t="str">
        <f>VLOOKUP(G17,Data!$A:$G,6,0)</f>
        <v>Tumpa Poddar</v>
      </c>
      <c r="F17" s="10" t="str">
        <f>VLOOKUP(G17,Data!$A:$G,7,0)</f>
        <v>2370312246</v>
      </c>
      <c r="G17" s="5">
        <v>23178</v>
      </c>
      <c r="H17" s="7">
        <f>VLOOKUP(G17,'FI txn'!$G:$H,2,0)</f>
        <v>6</v>
      </c>
      <c r="I17" s="7">
        <f t="shared" si="0"/>
        <v>1800</v>
      </c>
      <c r="J17" s="8">
        <v>3090400</v>
      </c>
      <c r="K17" s="8">
        <v>2471900</v>
      </c>
      <c r="L17" s="8">
        <v>2847700</v>
      </c>
      <c r="M17" s="8">
        <v>3131300</v>
      </c>
      <c r="N17" s="8">
        <v>2695325</v>
      </c>
      <c r="O17" s="8"/>
      <c r="P17" s="8"/>
      <c r="Q17" s="8"/>
      <c r="R17" s="8"/>
      <c r="S17" s="8"/>
      <c r="T17" s="8"/>
      <c r="U17" s="8"/>
      <c r="V17" s="8">
        <f t="shared" si="1"/>
        <v>14236625</v>
      </c>
      <c r="W17" s="9">
        <f t="shared" si="2"/>
        <v>2372770.8333333335</v>
      </c>
    </row>
    <row r="18" spans="1:23" x14ac:dyDescent="0.3">
      <c r="A18" s="4" t="str">
        <f>VLOOKUP(G18,Data!$A:$G,2,0)</f>
        <v>Rajendra Kumar Bapari</v>
      </c>
      <c r="B18" s="4" t="str">
        <f>VLOOKUP(G18,Data!$A:$G,3,0)</f>
        <v>Active</v>
      </c>
      <c r="C18" s="4" t="str">
        <f>VLOOKUP(G18,Data!$A:$G,4,0)</f>
        <v>Durgapur</v>
      </c>
      <c r="D18" s="4" t="str">
        <f>VLOOKUP(G18,Data!$A:$G,5,0)</f>
        <v>Kushodanga</v>
      </c>
      <c r="E18" s="4" t="str">
        <f>VLOOKUP(G18,Data!$A:$G,6,0)</f>
        <v>Priti Das</v>
      </c>
      <c r="F18" s="10" t="str">
        <f>VLOOKUP(G18,Data!$A:$G,7,0)</f>
        <v>3390315408</v>
      </c>
      <c r="G18" s="5">
        <v>28176</v>
      </c>
      <c r="H18" s="7">
        <f>VLOOKUP(G18,'FI txn'!$G:$H,2,0)</f>
        <v>6</v>
      </c>
      <c r="I18" s="7">
        <f t="shared" si="0"/>
        <v>1800</v>
      </c>
      <c r="J18" s="8">
        <v>1502201</v>
      </c>
      <c r="K18" s="8">
        <v>1774600</v>
      </c>
      <c r="L18" s="8">
        <v>2966317</v>
      </c>
      <c r="M18" s="8">
        <v>5206050</v>
      </c>
      <c r="N18" s="8">
        <v>10009347</v>
      </c>
      <c r="O18" s="8"/>
      <c r="P18" s="8"/>
      <c r="Q18" s="8"/>
      <c r="R18" s="8"/>
      <c r="S18" s="8"/>
      <c r="T18" s="8"/>
      <c r="U18" s="8"/>
      <c r="V18" s="8">
        <f t="shared" si="1"/>
        <v>21458515</v>
      </c>
      <c r="W18" s="9">
        <f t="shared" si="2"/>
        <v>3576419.1666666665</v>
      </c>
    </row>
    <row r="19" spans="1:23" x14ac:dyDescent="0.3">
      <c r="A19" s="4" t="str">
        <f>VLOOKUP(G19,Data!$A:$G,2,0)</f>
        <v>Under Office (Birbhum)</v>
      </c>
      <c r="B19" s="4" t="str">
        <f>VLOOKUP(G19,Data!$A:$G,3,0)</f>
        <v>Active</v>
      </c>
      <c r="C19" s="4" t="str">
        <f>VLOOKUP(G19,Data!$A:$G,4,0)</f>
        <v>Siliguri</v>
      </c>
      <c r="D19" s="4" t="str">
        <f>VLOOKUP(G19,Data!$A:$G,5,0)</f>
        <v>Parsundi</v>
      </c>
      <c r="E19" s="4" t="str">
        <f>VLOOKUP(G19,Data!$A:$G,6,0)</f>
        <v>Parimal Das</v>
      </c>
      <c r="F19" s="10" t="str">
        <f>VLOOKUP(G19,Data!$A:$G,7,0)</f>
        <v>0140311628</v>
      </c>
      <c r="G19" s="5">
        <v>22365</v>
      </c>
      <c r="H19" s="7">
        <f>VLOOKUP(G19,'FI txn'!$G:$H,2,0)</f>
        <v>6</v>
      </c>
      <c r="I19" s="7">
        <f t="shared" si="0"/>
        <v>1800</v>
      </c>
      <c r="J19" s="8">
        <v>2355600</v>
      </c>
      <c r="K19" s="8">
        <v>2894800</v>
      </c>
      <c r="L19" s="8">
        <v>2607300</v>
      </c>
      <c r="M19" s="8">
        <v>3252300</v>
      </c>
      <c r="N19" s="8">
        <v>2892200</v>
      </c>
      <c r="O19" s="8"/>
      <c r="P19" s="8"/>
      <c r="Q19" s="8"/>
      <c r="R19" s="8"/>
      <c r="S19" s="8"/>
      <c r="T19" s="8"/>
      <c r="U19" s="8"/>
      <c r="V19" s="8">
        <f t="shared" si="1"/>
        <v>14002200</v>
      </c>
      <c r="W19" s="9">
        <f t="shared" si="2"/>
        <v>2333700</v>
      </c>
    </row>
    <row r="20" spans="1:23" x14ac:dyDescent="0.3">
      <c r="A20" s="4" t="str">
        <f>VLOOKUP(G20,Data!$A:$G,2,0)</f>
        <v>Sunil Biswas</v>
      </c>
      <c r="B20" s="4" t="str">
        <f>VLOOKUP(G20,Data!$A:$G,3,0)</f>
        <v>Active</v>
      </c>
      <c r="C20" s="4" t="str">
        <f>VLOOKUP(G20,Data!$A:$G,4,0)</f>
        <v>Durgapur</v>
      </c>
      <c r="D20" s="4" t="str">
        <f>VLOOKUP(G20,Data!$A:$G,5,0)</f>
        <v>Santipur</v>
      </c>
      <c r="E20" s="4" t="str">
        <f>VLOOKUP(G20,Data!$A:$G,6,0)</f>
        <v>Sahabul Mandal</v>
      </c>
      <c r="F20" s="10" t="str">
        <f>VLOOKUP(G20,Data!$A:$G,7,0)</f>
        <v>2430315156</v>
      </c>
      <c r="G20" s="5">
        <v>27630</v>
      </c>
      <c r="H20" s="7">
        <f>VLOOKUP(G20,'FI txn'!$G:$H,2,0)</f>
        <v>6</v>
      </c>
      <c r="I20" s="7">
        <f t="shared" si="0"/>
        <v>1800</v>
      </c>
      <c r="J20" s="8">
        <v>2585789</v>
      </c>
      <c r="K20" s="8">
        <v>2645485</v>
      </c>
      <c r="L20" s="8">
        <v>2481110</v>
      </c>
      <c r="M20" s="8">
        <v>2792290</v>
      </c>
      <c r="N20" s="8">
        <v>2505300</v>
      </c>
      <c r="O20" s="8"/>
      <c r="P20" s="8"/>
      <c r="Q20" s="8"/>
      <c r="R20" s="8"/>
      <c r="S20" s="8"/>
      <c r="T20" s="8"/>
      <c r="U20" s="8"/>
      <c r="V20" s="8">
        <f t="shared" si="1"/>
        <v>13009974</v>
      </c>
      <c r="W20" s="9">
        <f t="shared" si="2"/>
        <v>2168329</v>
      </c>
    </row>
    <row r="21" spans="1:23" x14ac:dyDescent="0.3">
      <c r="A21" s="4" t="str">
        <f>VLOOKUP(G21,Data!$A:$G,2,0)</f>
        <v>Souvik Maity</v>
      </c>
      <c r="B21" s="4" t="str">
        <f>VLOOKUP(G21,Data!$A:$G,3,0)</f>
        <v>Active</v>
      </c>
      <c r="C21" s="4" t="str">
        <f>VLOOKUP(G21,Data!$A:$G,4,0)</f>
        <v>Hooghly</v>
      </c>
      <c r="D21" s="4" t="str">
        <f>VLOOKUP(G21,Data!$A:$G,5,0)</f>
        <v>Khanakul</v>
      </c>
      <c r="E21" s="4" t="str">
        <f>VLOOKUP(G21,Data!$A:$G,6,0)</f>
        <v>Susobhan Patra</v>
      </c>
      <c r="F21" s="10" t="str">
        <f>VLOOKUP(G21,Data!$A:$G,7,0)</f>
        <v>3390312968</v>
      </c>
      <c r="G21" s="5">
        <v>24153</v>
      </c>
      <c r="H21" s="7">
        <f>VLOOKUP(G21,'FI txn'!$G:$H,2,0)</f>
        <v>6</v>
      </c>
      <c r="I21" s="7">
        <f t="shared" si="0"/>
        <v>1800</v>
      </c>
      <c r="J21" s="8">
        <v>2542500</v>
      </c>
      <c r="K21" s="8">
        <v>2390300</v>
      </c>
      <c r="L21" s="8">
        <v>2361000</v>
      </c>
      <c r="M21" s="8">
        <v>3107900</v>
      </c>
      <c r="N21" s="8">
        <v>4390400</v>
      </c>
      <c r="O21" s="8"/>
      <c r="P21" s="8"/>
      <c r="Q21" s="8"/>
      <c r="R21" s="8"/>
      <c r="S21" s="8"/>
      <c r="T21" s="8"/>
      <c r="U21" s="8"/>
      <c r="V21" s="8">
        <f t="shared" si="1"/>
        <v>14792100</v>
      </c>
      <c r="W21" s="9">
        <f t="shared" si="2"/>
        <v>2465350</v>
      </c>
    </row>
    <row r="22" spans="1:23" x14ac:dyDescent="0.3">
      <c r="A22" s="4" t="str">
        <f>VLOOKUP(G22,Data!$A:$G,2,0)</f>
        <v>Shyamalesh Sarkar</v>
      </c>
      <c r="B22" s="4" t="str">
        <f>VLOOKUP(G22,Data!$A:$G,3,0)</f>
        <v>Active</v>
      </c>
      <c r="C22" s="4" t="str">
        <f>VLOOKUP(G22,Data!$A:$G,4,0)</f>
        <v>Siliguri</v>
      </c>
      <c r="D22" s="4" t="str">
        <f>VLOOKUP(G22,Data!$A:$G,5,0)</f>
        <v>Sagardighi Square</v>
      </c>
      <c r="E22" s="4" t="str">
        <f>VLOOKUP(G22,Data!$A:$G,6,0)</f>
        <v>Ajit Modak</v>
      </c>
      <c r="F22" s="10" t="str">
        <f>VLOOKUP(G22,Data!$A:$G,7,0)</f>
        <v>2200309916</v>
      </c>
      <c r="G22" s="5">
        <v>20322</v>
      </c>
      <c r="H22" s="7">
        <f>VLOOKUP(G22,'FI txn'!$G:$H,2,0)</f>
        <v>6</v>
      </c>
      <c r="I22" s="7">
        <f t="shared" si="0"/>
        <v>1800</v>
      </c>
      <c r="J22" s="8">
        <v>2768389</v>
      </c>
      <c r="K22" s="8">
        <v>2452945</v>
      </c>
      <c r="L22" s="8">
        <v>2501140</v>
      </c>
      <c r="M22" s="8">
        <v>2555040</v>
      </c>
      <c r="N22" s="8">
        <v>3371703</v>
      </c>
      <c r="O22" s="8"/>
      <c r="P22" s="8"/>
      <c r="Q22" s="8"/>
      <c r="R22" s="8"/>
      <c r="S22" s="8"/>
      <c r="T22" s="8"/>
      <c r="U22" s="8"/>
      <c r="V22" s="8">
        <f t="shared" si="1"/>
        <v>13649217</v>
      </c>
      <c r="W22" s="9">
        <f t="shared" si="2"/>
        <v>2274869.5</v>
      </c>
    </row>
    <row r="23" spans="1:23" x14ac:dyDescent="0.3">
      <c r="A23" s="4" t="str">
        <f>VLOOKUP(G23,Data!$A:$G,2,0)</f>
        <v>Under Office (Birbhum)</v>
      </c>
      <c r="B23" s="4" t="str">
        <f>VLOOKUP(G23,Data!$A:$G,3,0)</f>
        <v>Active</v>
      </c>
      <c r="C23" s="4" t="str">
        <f>VLOOKUP(G23,Data!$A:$G,4,0)</f>
        <v>Siliguri</v>
      </c>
      <c r="D23" s="4" t="str">
        <f>VLOOKUP(G23,Data!$A:$G,5,0)</f>
        <v>Dharampur</v>
      </c>
      <c r="E23" s="4" t="str">
        <f>VLOOKUP(G23,Data!$A:$G,6,0)</f>
        <v>Md Zulfikar Ali</v>
      </c>
      <c r="F23" s="10" t="str">
        <f>VLOOKUP(G23,Data!$A:$G,7,0)</f>
        <v>0140315201</v>
      </c>
      <c r="G23" s="5">
        <v>27792</v>
      </c>
      <c r="H23" s="7">
        <f>VLOOKUP(G23,'FI txn'!$G:$H,2,0)</f>
        <v>6</v>
      </c>
      <c r="I23" s="7">
        <f t="shared" si="0"/>
        <v>1800</v>
      </c>
      <c r="J23" s="8">
        <v>2226470</v>
      </c>
      <c r="K23" s="8">
        <v>2013182</v>
      </c>
      <c r="L23" s="8">
        <v>2670500</v>
      </c>
      <c r="M23" s="8">
        <v>3307500</v>
      </c>
      <c r="N23" s="8">
        <v>2824120</v>
      </c>
      <c r="O23" s="8"/>
      <c r="P23" s="8"/>
      <c r="Q23" s="8"/>
      <c r="R23" s="8"/>
      <c r="S23" s="8"/>
      <c r="T23" s="8"/>
      <c r="U23" s="8"/>
      <c r="V23" s="8">
        <f t="shared" si="1"/>
        <v>13041772</v>
      </c>
      <c r="W23" s="9">
        <f t="shared" si="2"/>
        <v>2173628.6666666665</v>
      </c>
    </row>
    <row r="24" spans="1:23" x14ac:dyDescent="0.3">
      <c r="A24" s="4" t="str">
        <f>VLOOKUP(G24,Data!$A:$G,2,0)</f>
        <v>Under Office (W Medinipur)</v>
      </c>
      <c r="B24" s="4" t="str">
        <f>VLOOKUP(G24,Data!$A:$G,3,0)</f>
        <v>Active</v>
      </c>
      <c r="C24" s="4" t="str">
        <f>VLOOKUP(G24,Data!$A:$G,4,0)</f>
        <v>Hooghly</v>
      </c>
      <c r="D24" s="4" t="str">
        <f>VLOOKUP(G24,Data!$A:$G,5,0)</f>
        <v>Jara</v>
      </c>
      <c r="E24" s="4" t="str">
        <f>VLOOKUP(G24,Data!$A:$G,6,0)</f>
        <v>Priyanka Biswas</v>
      </c>
      <c r="F24" s="10" t="str">
        <f>VLOOKUP(G24,Data!$A:$G,7,0)</f>
        <v>2390311424</v>
      </c>
      <c r="G24" s="5">
        <v>22130</v>
      </c>
      <c r="H24" s="7">
        <f>VLOOKUP(G24,'FI txn'!$G:$H,2,0)</f>
        <v>6</v>
      </c>
      <c r="I24" s="7">
        <f t="shared" si="0"/>
        <v>1800</v>
      </c>
      <c r="J24" s="8">
        <v>2572699</v>
      </c>
      <c r="K24" s="8">
        <v>1981800</v>
      </c>
      <c r="L24" s="8">
        <v>2104503</v>
      </c>
      <c r="M24" s="8">
        <v>3374455</v>
      </c>
      <c r="N24" s="8">
        <v>2518443</v>
      </c>
      <c r="O24" s="8"/>
      <c r="P24" s="8"/>
      <c r="Q24" s="8"/>
      <c r="R24" s="8"/>
      <c r="S24" s="8"/>
      <c r="T24" s="8"/>
      <c r="U24" s="8"/>
      <c r="V24" s="8">
        <f t="shared" si="1"/>
        <v>12551900</v>
      </c>
      <c r="W24" s="9">
        <f t="shared" si="2"/>
        <v>2091983.3333333333</v>
      </c>
    </row>
    <row r="25" spans="1:23" x14ac:dyDescent="0.3">
      <c r="A25" s="4" t="str">
        <f>VLOOKUP(G25,Data!$A:$G,2,0)</f>
        <v>Souvik Maity</v>
      </c>
      <c r="B25" s="4" t="str">
        <f>VLOOKUP(G25,Data!$A:$G,3,0)</f>
        <v>Active</v>
      </c>
      <c r="C25" s="4" t="str">
        <f>VLOOKUP(G25,Data!$A:$G,4,0)</f>
        <v>Hooghly</v>
      </c>
      <c r="D25" s="4" t="str">
        <f>VLOOKUP(G25,Data!$A:$G,5,0)</f>
        <v>Haripal</v>
      </c>
      <c r="E25" s="4" t="str">
        <f>VLOOKUP(G25,Data!$A:$G,6,0)</f>
        <v>Sk Nasim Ali</v>
      </c>
      <c r="F25" s="10" t="str">
        <f>VLOOKUP(G25,Data!$A:$G,7,0)</f>
        <v>3390312613</v>
      </c>
      <c r="G25" s="5">
        <v>23669</v>
      </c>
      <c r="H25" s="7">
        <f>VLOOKUP(G25,'FI txn'!$G:$H,2,0)</f>
        <v>6</v>
      </c>
      <c r="I25" s="7">
        <f t="shared" si="0"/>
        <v>1800</v>
      </c>
      <c r="J25" s="8">
        <v>2556650</v>
      </c>
      <c r="K25" s="8">
        <v>2610780</v>
      </c>
      <c r="L25" s="8">
        <v>2182520</v>
      </c>
      <c r="M25" s="8">
        <v>2562010</v>
      </c>
      <c r="N25" s="8">
        <v>3235460</v>
      </c>
      <c r="O25" s="8"/>
      <c r="P25" s="8"/>
      <c r="Q25" s="8"/>
      <c r="R25" s="8"/>
      <c r="S25" s="8"/>
      <c r="T25" s="8"/>
      <c r="U25" s="8"/>
      <c r="V25" s="8">
        <f t="shared" si="1"/>
        <v>13147420</v>
      </c>
      <c r="W25" s="9">
        <f t="shared" si="2"/>
        <v>2191236.6666666665</v>
      </c>
    </row>
    <row r="26" spans="1:23" x14ac:dyDescent="0.3">
      <c r="A26" s="4" t="str">
        <f>VLOOKUP(G26,Data!$A:$G,2,0)</f>
        <v>Sunil Biswas</v>
      </c>
      <c r="B26" s="4" t="str">
        <f>VLOOKUP(G26,Data!$A:$G,3,0)</f>
        <v>Active</v>
      </c>
      <c r="C26" s="4" t="str">
        <f>VLOOKUP(G26,Data!$A:$G,4,0)</f>
        <v>Durgapur</v>
      </c>
      <c r="D26" s="4" t="str">
        <f>VLOOKUP(G26,Data!$A:$G,5,0)</f>
        <v>Hridaypur</v>
      </c>
      <c r="E26" s="4" t="str">
        <f>VLOOKUP(G26,Data!$A:$G,6,0)</f>
        <v xml:space="preserve">Injamul Rahaman </v>
      </c>
      <c r="F26" s="10" t="str">
        <f>VLOOKUP(G26,Data!$A:$G,7,0)</f>
        <v>2430314512</v>
      </c>
      <c r="G26" s="5">
        <v>26588</v>
      </c>
      <c r="H26" s="7">
        <f>VLOOKUP(G26,'FI txn'!$G:$H,2,0)</f>
        <v>6</v>
      </c>
      <c r="I26" s="7">
        <f t="shared" si="0"/>
        <v>1800</v>
      </c>
      <c r="J26" s="8">
        <v>2433726</v>
      </c>
      <c r="K26" s="8">
        <v>2782843</v>
      </c>
      <c r="L26" s="8">
        <v>2377927</v>
      </c>
      <c r="M26" s="8">
        <v>2208299</v>
      </c>
      <c r="N26" s="8">
        <v>2683314</v>
      </c>
      <c r="O26" s="8"/>
      <c r="P26" s="8"/>
      <c r="Q26" s="8"/>
      <c r="R26" s="8"/>
      <c r="S26" s="8"/>
      <c r="T26" s="8"/>
      <c r="U26" s="8"/>
      <c r="V26" s="8">
        <f t="shared" si="1"/>
        <v>12486109</v>
      </c>
      <c r="W26" s="9">
        <f t="shared" si="2"/>
        <v>2081018.1666666667</v>
      </c>
    </row>
    <row r="27" spans="1:23" x14ac:dyDescent="0.3">
      <c r="A27" s="4" t="str">
        <f>VLOOKUP(G27,Data!$A:$G,2,0)</f>
        <v>Sunil Biswas</v>
      </c>
      <c r="B27" s="4" t="str">
        <f>VLOOKUP(G27,Data!$A:$G,3,0)</f>
        <v>Active</v>
      </c>
      <c r="C27" s="4" t="str">
        <f>VLOOKUP(G27,Data!$A:$G,4,0)</f>
        <v>Durgapur</v>
      </c>
      <c r="D27" s="4" t="str">
        <f>VLOOKUP(G27,Data!$A:$G,5,0)</f>
        <v>Ranaghat</v>
      </c>
      <c r="E27" s="4" t="str">
        <f>VLOOKUP(G27,Data!$A:$G,6,0)</f>
        <v>Sagari Ghosh</v>
      </c>
      <c r="F27" s="10" t="str">
        <f>VLOOKUP(G27,Data!$A:$G,7,0)</f>
        <v>2430314519</v>
      </c>
      <c r="G27" s="5">
        <v>26595</v>
      </c>
      <c r="H27" s="7">
        <f>VLOOKUP(G27,'FI txn'!$G:$H,2,0)</f>
        <v>6</v>
      </c>
      <c r="I27" s="7">
        <f t="shared" si="0"/>
        <v>1800</v>
      </c>
      <c r="J27" s="8">
        <v>3484850</v>
      </c>
      <c r="K27" s="8">
        <v>2703200</v>
      </c>
      <c r="L27" s="8">
        <v>2381000</v>
      </c>
      <c r="M27" s="8">
        <v>933900</v>
      </c>
      <c r="N27" s="8">
        <v>557700</v>
      </c>
      <c r="O27" s="8"/>
      <c r="P27" s="8"/>
      <c r="Q27" s="8"/>
      <c r="R27" s="8"/>
      <c r="S27" s="8"/>
      <c r="T27" s="8"/>
      <c r="U27" s="8"/>
      <c r="V27" s="8">
        <f t="shared" si="1"/>
        <v>10060650</v>
      </c>
      <c r="W27" s="9">
        <f t="shared" si="2"/>
        <v>1676775</v>
      </c>
    </row>
    <row r="28" spans="1:23" x14ac:dyDescent="0.3">
      <c r="A28" s="4" t="str">
        <f>VLOOKUP(G28,Data!$A:$G,2,0)</f>
        <v>Souvik Maity</v>
      </c>
      <c r="B28" s="4" t="str">
        <f>VLOOKUP(G28,Data!$A:$G,3,0)</f>
        <v>Active</v>
      </c>
      <c r="C28" s="4" t="str">
        <f>VLOOKUP(G28,Data!$A:$G,4,0)</f>
        <v>Hooghly</v>
      </c>
      <c r="D28" s="4" t="str">
        <f>VLOOKUP(G28,Data!$A:$G,5,0)</f>
        <v>Kamarpara</v>
      </c>
      <c r="E28" s="4" t="str">
        <f>VLOOKUP(G28,Data!$A:$G,6,0)</f>
        <v>Md Mustakim</v>
      </c>
      <c r="F28" s="10" t="str">
        <f>VLOOKUP(G28,Data!$A:$G,7,0)</f>
        <v>3390312441</v>
      </c>
      <c r="G28" s="5">
        <v>23433</v>
      </c>
      <c r="H28" s="7">
        <f>VLOOKUP(G28,'FI txn'!$G:$H,2,0)</f>
        <v>6</v>
      </c>
      <c r="I28" s="7">
        <f t="shared" si="0"/>
        <v>1800</v>
      </c>
      <c r="J28" s="8">
        <v>3362660</v>
      </c>
      <c r="K28" s="8">
        <v>2886970</v>
      </c>
      <c r="L28" s="8">
        <v>1123000</v>
      </c>
      <c r="M28" s="8">
        <v>1371320</v>
      </c>
      <c r="N28" s="8">
        <v>3245800</v>
      </c>
      <c r="O28" s="8"/>
      <c r="P28" s="8"/>
      <c r="Q28" s="8"/>
      <c r="R28" s="8"/>
      <c r="S28" s="8"/>
      <c r="T28" s="8"/>
      <c r="U28" s="8"/>
      <c r="V28" s="8">
        <f t="shared" si="1"/>
        <v>11989750</v>
      </c>
      <c r="W28" s="9">
        <f t="shared" si="2"/>
        <v>1998291.6666666667</v>
      </c>
    </row>
    <row r="29" spans="1:23" x14ac:dyDescent="0.3">
      <c r="A29" s="4" t="str">
        <f>VLOOKUP(G29,Data!$A:$G,2,0)</f>
        <v>Souvik Maity</v>
      </c>
      <c r="B29" s="4" t="str">
        <f>VLOOKUP(G29,Data!$A:$G,3,0)</f>
        <v>Active</v>
      </c>
      <c r="C29" s="4" t="str">
        <f>VLOOKUP(G29,Data!$A:$G,4,0)</f>
        <v>Hooghly</v>
      </c>
      <c r="D29" s="4" t="str">
        <f>VLOOKUP(G29,Data!$A:$G,5,0)</f>
        <v>Rajbalhat</v>
      </c>
      <c r="E29" s="4" t="str">
        <f>VLOOKUP(G29,Data!$A:$G,6,0)</f>
        <v>Dibyendu Bhowmick</v>
      </c>
      <c r="F29" s="10" t="str">
        <f>VLOOKUP(G29,Data!$A:$G,7,0)</f>
        <v>3390314186</v>
      </c>
      <c r="G29" s="5">
        <v>26015</v>
      </c>
      <c r="H29" s="7">
        <f>VLOOKUP(G29,'FI txn'!$G:$H,2,0)</f>
        <v>6</v>
      </c>
      <c r="I29" s="7">
        <f t="shared" si="0"/>
        <v>1800</v>
      </c>
      <c r="J29" s="8">
        <v>2007400</v>
      </c>
      <c r="K29" s="8">
        <v>1874400</v>
      </c>
      <c r="L29" s="8">
        <v>2251600</v>
      </c>
      <c r="M29" s="8">
        <v>2323100</v>
      </c>
      <c r="N29" s="8">
        <v>2227400</v>
      </c>
      <c r="O29" s="8"/>
      <c r="P29" s="8"/>
      <c r="Q29" s="8"/>
      <c r="R29" s="8"/>
      <c r="S29" s="8"/>
      <c r="T29" s="8"/>
      <c r="U29" s="8"/>
      <c r="V29" s="8">
        <f t="shared" si="1"/>
        <v>10683900</v>
      </c>
      <c r="W29" s="9">
        <f t="shared" si="2"/>
        <v>1780650</v>
      </c>
    </row>
    <row r="30" spans="1:23" x14ac:dyDescent="0.3">
      <c r="A30" s="4" t="str">
        <f>VLOOKUP(G30,Data!$A:$G,2,0)</f>
        <v>Souvik Maity</v>
      </c>
      <c r="B30" s="4" t="str">
        <f>VLOOKUP(G30,Data!$A:$G,3,0)</f>
        <v>Active</v>
      </c>
      <c r="C30" s="4" t="str">
        <f>VLOOKUP(G30,Data!$A:$G,4,0)</f>
        <v>Hooghly</v>
      </c>
      <c r="D30" s="4" t="str">
        <f>VLOOKUP(G30,Data!$A:$G,5,0)</f>
        <v>Kalipur</v>
      </c>
      <c r="E30" s="4" t="str">
        <f>VLOOKUP(G30,Data!$A:$G,6,0)</f>
        <v>Satyajit Chattopadhyay</v>
      </c>
      <c r="F30" s="10" t="str">
        <f>VLOOKUP(G30,Data!$A:$G,7,0)</f>
        <v>3390311422</v>
      </c>
      <c r="G30" s="5">
        <v>22128</v>
      </c>
      <c r="H30" s="7">
        <f>VLOOKUP(G30,'FI txn'!$G:$H,2,0)</f>
        <v>6</v>
      </c>
      <c r="I30" s="7">
        <f t="shared" si="0"/>
        <v>1800</v>
      </c>
      <c r="J30" s="8">
        <v>2405880</v>
      </c>
      <c r="K30" s="8">
        <v>2482064</v>
      </c>
      <c r="L30" s="8">
        <v>1714305</v>
      </c>
      <c r="M30" s="8">
        <v>1714420</v>
      </c>
      <c r="N30" s="8">
        <v>1821720</v>
      </c>
      <c r="O30" s="8"/>
      <c r="P30" s="8"/>
      <c r="Q30" s="8"/>
      <c r="R30" s="8"/>
      <c r="S30" s="8"/>
      <c r="T30" s="8"/>
      <c r="U30" s="8"/>
      <c r="V30" s="8">
        <f t="shared" si="1"/>
        <v>10138389</v>
      </c>
      <c r="W30" s="9">
        <f t="shared" si="2"/>
        <v>1689731.5</v>
      </c>
    </row>
    <row r="31" spans="1:23" x14ac:dyDescent="0.3">
      <c r="A31" s="4" t="str">
        <f>VLOOKUP(G31,Data!$A:$G,2,0)</f>
        <v>Under Office (W Medinipur)</v>
      </c>
      <c r="B31" s="4" t="str">
        <f>VLOOKUP(G31,Data!$A:$G,3,0)</f>
        <v>Active</v>
      </c>
      <c r="C31" s="4" t="str">
        <f>VLOOKUP(G31,Data!$A:$G,4,0)</f>
        <v>Hooghly</v>
      </c>
      <c r="D31" s="4" t="str">
        <f>VLOOKUP(G31,Data!$A:$G,5,0)</f>
        <v>Guiadaha</v>
      </c>
      <c r="E31" s="4" t="str">
        <f>VLOOKUP(G31,Data!$A:$G,6,0)</f>
        <v>Munmun Chakraborty</v>
      </c>
      <c r="F31" s="10" t="str">
        <f>VLOOKUP(G31,Data!$A:$G,7,0)</f>
        <v>2390312218</v>
      </c>
      <c r="G31" s="5">
        <v>23142</v>
      </c>
      <c r="H31" s="7">
        <f>VLOOKUP(G31,'FI txn'!$G:$H,2,0)</f>
        <v>6</v>
      </c>
      <c r="I31" s="7">
        <f t="shared" si="0"/>
        <v>1800</v>
      </c>
      <c r="J31" s="8">
        <v>1403070</v>
      </c>
      <c r="K31" s="8">
        <v>1541970</v>
      </c>
      <c r="L31" s="8">
        <v>2098130</v>
      </c>
      <c r="M31" s="8">
        <v>3088020</v>
      </c>
      <c r="N31" s="8">
        <v>3710740</v>
      </c>
      <c r="O31" s="8"/>
      <c r="P31" s="8"/>
      <c r="Q31" s="8"/>
      <c r="R31" s="8"/>
      <c r="S31" s="8"/>
      <c r="T31" s="8"/>
      <c r="U31" s="8"/>
      <c r="V31" s="8">
        <f t="shared" si="1"/>
        <v>11841930</v>
      </c>
      <c r="W31" s="9">
        <f t="shared" si="2"/>
        <v>1973655</v>
      </c>
    </row>
    <row r="32" spans="1:23" x14ac:dyDescent="0.3">
      <c r="A32" s="4" t="str">
        <f>VLOOKUP(G32,Data!$A:$G,2,0)</f>
        <v>Rajendra Kumar Bapari</v>
      </c>
      <c r="B32" s="4" t="str">
        <f>VLOOKUP(G32,Data!$A:$G,3,0)</f>
        <v>Active</v>
      </c>
      <c r="C32" s="4" t="str">
        <f>VLOOKUP(G32,Data!$A:$G,4,0)</f>
        <v>Durgapur</v>
      </c>
      <c r="D32" s="4" t="str">
        <f>VLOOKUP(G32,Data!$A:$G,5,0)</f>
        <v>Patuli</v>
      </c>
      <c r="E32" s="4" t="str">
        <f>VLOOKUP(G32,Data!$A:$G,6,0)</f>
        <v>Satyajit Kar</v>
      </c>
      <c r="F32" s="10" t="str">
        <f>VLOOKUP(G32,Data!$A:$G,7,0)</f>
        <v>3390314928</v>
      </c>
      <c r="G32" s="5">
        <v>27154</v>
      </c>
      <c r="H32" s="7">
        <f>VLOOKUP(G32,'FI txn'!$G:$H,2,0)</f>
        <v>6</v>
      </c>
      <c r="I32" s="7">
        <f t="shared" si="0"/>
        <v>1800</v>
      </c>
      <c r="J32" s="8">
        <v>2051000</v>
      </c>
      <c r="K32" s="8">
        <v>2083180</v>
      </c>
      <c r="L32" s="8">
        <v>1842218</v>
      </c>
      <c r="M32" s="8">
        <v>1861360</v>
      </c>
      <c r="N32" s="8">
        <v>2515003</v>
      </c>
      <c r="O32" s="8"/>
      <c r="P32" s="8"/>
      <c r="Q32" s="8"/>
      <c r="R32" s="8"/>
      <c r="S32" s="8"/>
      <c r="T32" s="8"/>
      <c r="U32" s="8"/>
      <c r="V32" s="8">
        <f t="shared" si="1"/>
        <v>10352761</v>
      </c>
      <c r="W32" s="9">
        <f t="shared" si="2"/>
        <v>1725460.1666666667</v>
      </c>
    </row>
    <row r="33" spans="1:23" x14ac:dyDescent="0.3">
      <c r="A33" s="4" t="str">
        <f>VLOOKUP(G33,Data!$A:$G,2,0)</f>
        <v>Under Office (W Medinipur)</v>
      </c>
      <c r="B33" s="4" t="str">
        <f>VLOOKUP(G33,Data!$A:$G,3,0)</f>
        <v>Active</v>
      </c>
      <c r="C33" s="4" t="str">
        <f>VLOOKUP(G33,Data!$A:$G,4,0)</f>
        <v>Hooghly</v>
      </c>
      <c r="D33" s="4" t="str">
        <f>VLOOKUP(G33,Data!$A:$G,5,0)</f>
        <v>Banka</v>
      </c>
      <c r="E33" s="4" t="str">
        <f>VLOOKUP(G33,Data!$A:$G,6,0)</f>
        <v>Subhajit Chanda</v>
      </c>
      <c r="F33" s="10" t="str">
        <f>VLOOKUP(G33,Data!$A:$G,7,0)</f>
        <v>2390312543</v>
      </c>
      <c r="G33" s="5">
        <v>23560</v>
      </c>
      <c r="H33" s="7">
        <f>VLOOKUP(G33,'FI txn'!$G:$H,2,0)</f>
        <v>6</v>
      </c>
      <c r="I33" s="7">
        <f t="shared" si="0"/>
        <v>1800</v>
      </c>
      <c r="J33" s="8">
        <v>2041000</v>
      </c>
      <c r="K33" s="8">
        <v>2009250</v>
      </c>
      <c r="L33" s="8">
        <v>2049800</v>
      </c>
      <c r="M33" s="8">
        <v>1716209</v>
      </c>
      <c r="N33" s="8">
        <v>2003800</v>
      </c>
      <c r="O33" s="8"/>
      <c r="P33" s="8"/>
      <c r="Q33" s="8"/>
      <c r="R33" s="8"/>
      <c r="S33" s="8"/>
      <c r="T33" s="8"/>
      <c r="U33" s="8"/>
      <c r="V33" s="8">
        <f t="shared" si="1"/>
        <v>9820059</v>
      </c>
      <c r="W33" s="9">
        <f t="shared" si="2"/>
        <v>1636676.5</v>
      </c>
    </row>
    <row r="34" spans="1:23" x14ac:dyDescent="0.3">
      <c r="A34" s="4" t="str">
        <f>VLOOKUP(G34,Data!$A:$G,2,0)</f>
        <v>Under Office (Birbhum)</v>
      </c>
      <c r="B34" s="4" t="str">
        <f>VLOOKUP(G34,Data!$A:$G,3,0)</f>
        <v>Active</v>
      </c>
      <c r="C34" s="4" t="str">
        <f>VLOOKUP(G34,Data!$A:$G,4,0)</f>
        <v>Siliguri</v>
      </c>
      <c r="D34" s="4" t="str">
        <f>VLOOKUP(G34,Data!$A:$G,5,0)</f>
        <v>Mangaldihi</v>
      </c>
      <c r="E34" s="4" t="str">
        <f>VLOOKUP(G34,Data!$A:$G,6,0)</f>
        <v>Ruma Bagdi</v>
      </c>
      <c r="F34" s="10" t="str">
        <f>VLOOKUP(G34,Data!$A:$G,7,0)</f>
        <v>0140311670</v>
      </c>
      <c r="G34" s="5">
        <v>27028</v>
      </c>
      <c r="H34" s="7">
        <f>VLOOKUP(G34,'FI txn'!$G:$H,2,0)</f>
        <v>6</v>
      </c>
      <c r="I34" s="7">
        <f t="shared" ref="I34:I65" si="3">H34*300</f>
        <v>1800</v>
      </c>
      <c r="J34" s="8">
        <v>2000215</v>
      </c>
      <c r="K34" s="8">
        <v>1836530</v>
      </c>
      <c r="L34" s="8">
        <v>1527950</v>
      </c>
      <c r="M34" s="8">
        <v>2427500</v>
      </c>
      <c r="N34" s="8">
        <v>2361300</v>
      </c>
      <c r="O34" s="8"/>
      <c r="P34" s="8"/>
      <c r="Q34" s="8"/>
      <c r="R34" s="8"/>
      <c r="S34" s="8"/>
      <c r="T34" s="8"/>
      <c r="U34" s="8"/>
      <c r="V34" s="8">
        <f t="shared" ref="V34:V65" si="4">SUM(J34:U34)</f>
        <v>10153495</v>
      </c>
      <c r="W34" s="9">
        <f t="shared" ref="W34:W65" si="5">V34/H34</f>
        <v>1692249.1666666667</v>
      </c>
    </row>
    <row r="35" spans="1:23" x14ac:dyDescent="0.3">
      <c r="A35" s="4" t="str">
        <f>VLOOKUP(G35,Data!$A:$G,2,0)</f>
        <v>Souvik Maity</v>
      </c>
      <c r="B35" s="4" t="str">
        <f>VLOOKUP(G35,Data!$A:$G,3,0)</f>
        <v>Active</v>
      </c>
      <c r="C35" s="4" t="str">
        <f>VLOOKUP(G35,Data!$A:$G,4,0)</f>
        <v>Hooghly</v>
      </c>
      <c r="D35" s="4" t="str">
        <f>VLOOKUP(G35,Data!$A:$G,5,0)</f>
        <v>Khanakul</v>
      </c>
      <c r="E35" s="4" t="str">
        <f>VLOOKUP(G35,Data!$A:$G,6,0)</f>
        <v>Sahanaj Parvin</v>
      </c>
      <c r="F35" s="10" t="str">
        <f>VLOOKUP(G35,Data!$A:$G,7,0)</f>
        <v>3390312801</v>
      </c>
      <c r="G35" s="5">
        <v>23969</v>
      </c>
      <c r="H35" s="7">
        <f>VLOOKUP(G35,'FI txn'!$G:$H,2,0)</f>
        <v>6</v>
      </c>
      <c r="I35" s="7">
        <f t="shared" si="3"/>
        <v>1800</v>
      </c>
      <c r="J35" s="8">
        <v>2308700</v>
      </c>
      <c r="K35" s="8">
        <v>1925300</v>
      </c>
      <c r="L35" s="8">
        <v>1334200</v>
      </c>
      <c r="M35" s="8">
        <v>1937450</v>
      </c>
      <c r="N35" s="8">
        <v>2513000</v>
      </c>
      <c r="O35" s="8"/>
      <c r="P35" s="8"/>
      <c r="Q35" s="8"/>
      <c r="R35" s="8"/>
      <c r="S35" s="8"/>
      <c r="T35" s="8"/>
      <c r="U35" s="8"/>
      <c r="V35" s="8">
        <f t="shared" si="4"/>
        <v>10018650</v>
      </c>
      <c r="W35" s="9">
        <f t="shared" si="5"/>
        <v>1669775</v>
      </c>
    </row>
    <row r="36" spans="1:23" x14ac:dyDescent="0.3">
      <c r="A36" s="4" t="str">
        <f>VLOOKUP(G36,Data!$A:$G,2,0)</f>
        <v>Chandi Charan Mahato</v>
      </c>
      <c r="B36" s="4" t="str">
        <f>VLOOKUP(G36,Data!$A:$G,3,0)</f>
        <v>Active</v>
      </c>
      <c r="C36" s="4" t="str">
        <f>VLOOKUP(G36,Data!$A:$G,4,0)</f>
        <v>Durgapur</v>
      </c>
      <c r="D36" s="4" t="str">
        <f>VLOOKUP(G36,Data!$A:$G,5,0)</f>
        <v>Jhantipahari</v>
      </c>
      <c r="E36" s="4" t="str">
        <f>VLOOKUP(G36,Data!$A:$G,6,0)</f>
        <v>Asish Kumar Mandal</v>
      </c>
      <c r="F36" s="10" t="str">
        <f>VLOOKUP(G36,Data!$A:$G,7,0)</f>
        <v>2160314962</v>
      </c>
      <c r="G36" s="5">
        <v>27220</v>
      </c>
      <c r="H36" s="7">
        <f>VLOOKUP(G36,'FI txn'!$G:$H,2,0)</f>
        <v>6</v>
      </c>
      <c r="I36" s="7">
        <f t="shared" si="3"/>
        <v>1800</v>
      </c>
      <c r="J36" s="8">
        <v>1688340</v>
      </c>
      <c r="K36" s="8">
        <v>1898550</v>
      </c>
      <c r="L36" s="8">
        <v>1771270</v>
      </c>
      <c r="M36" s="8">
        <v>1794560</v>
      </c>
      <c r="N36" s="8">
        <v>1531050</v>
      </c>
      <c r="O36" s="8"/>
      <c r="P36" s="8"/>
      <c r="Q36" s="8"/>
      <c r="R36" s="8"/>
      <c r="S36" s="8"/>
      <c r="T36" s="8"/>
      <c r="U36" s="8"/>
      <c r="V36" s="8">
        <f t="shared" si="4"/>
        <v>8683770</v>
      </c>
      <c r="W36" s="9">
        <f t="shared" si="5"/>
        <v>1447295</v>
      </c>
    </row>
    <row r="37" spans="1:23" x14ac:dyDescent="0.3">
      <c r="A37" s="4" t="str">
        <f>VLOOKUP(G37,Data!$A:$G,2,0)</f>
        <v>Under Office (W Medinipur)</v>
      </c>
      <c r="B37" s="4" t="str">
        <f>VLOOKUP(G37,Data!$A:$G,3,0)</f>
        <v>Active</v>
      </c>
      <c r="C37" s="4" t="str">
        <f>VLOOKUP(G37,Data!$A:$G,4,0)</f>
        <v>Hooghly</v>
      </c>
      <c r="D37" s="4" t="str">
        <f>VLOOKUP(G37,Data!$A:$G,5,0)</f>
        <v>Ramjibanpur</v>
      </c>
      <c r="E37" s="4" t="str">
        <f>VLOOKUP(G37,Data!$A:$G,6,0)</f>
        <v xml:space="preserve">Mahadeb Das </v>
      </c>
      <c r="F37" s="10" t="str">
        <f>VLOOKUP(G37,Data!$A:$G,7,0)</f>
        <v>3390315155</v>
      </c>
      <c r="G37" s="5">
        <v>27629</v>
      </c>
      <c r="H37" s="7">
        <f>VLOOKUP(G37,'FI txn'!$G:$H,2,0)</f>
        <v>6</v>
      </c>
      <c r="I37" s="7">
        <f t="shared" si="3"/>
        <v>1800</v>
      </c>
      <c r="J37" s="8">
        <v>1894870</v>
      </c>
      <c r="K37" s="8">
        <v>1829260</v>
      </c>
      <c r="L37" s="8">
        <v>1777650</v>
      </c>
      <c r="M37" s="8">
        <v>1443388</v>
      </c>
      <c r="N37" s="8">
        <v>1722930</v>
      </c>
      <c r="O37" s="8"/>
      <c r="P37" s="8"/>
      <c r="Q37" s="8"/>
      <c r="R37" s="8"/>
      <c r="S37" s="8"/>
      <c r="T37" s="8"/>
      <c r="U37" s="8"/>
      <c r="V37" s="8">
        <f t="shared" si="4"/>
        <v>8668098</v>
      </c>
      <c r="W37" s="9">
        <f t="shared" si="5"/>
        <v>1444683</v>
      </c>
    </row>
    <row r="38" spans="1:23" x14ac:dyDescent="0.3">
      <c r="A38" s="4" t="str">
        <f>VLOOKUP(G38,Data!$A:$G,2,0)</f>
        <v>Souvik Maity</v>
      </c>
      <c r="B38" s="4" t="str">
        <f>VLOOKUP(G38,Data!$A:$G,3,0)</f>
        <v>Active</v>
      </c>
      <c r="C38" s="4" t="str">
        <f>VLOOKUP(G38,Data!$A:$G,4,0)</f>
        <v>Hooghly</v>
      </c>
      <c r="D38" s="4" t="str">
        <f>VLOOKUP(G38,Data!$A:$G,5,0)</f>
        <v>Kamarpara</v>
      </c>
      <c r="E38" s="4" t="str">
        <f>VLOOKUP(G38,Data!$A:$G,6,0)</f>
        <v>Mithu Ghosh</v>
      </c>
      <c r="F38" s="10" t="str">
        <f>VLOOKUP(G38,Data!$A:$G,7,0)</f>
        <v>3390312440</v>
      </c>
      <c r="G38" s="5">
        <v>23432</v>
      </c>
      <c r="H38" s="7">
        <f>VLOOKUP(G38,'FI txn'!$G:$H,2,0)</f>
        <v>6</v>
      </c>
      <c r="I38" s="7">
        <f t="shared" si="3"/>
        <v>1800</v>
      </c>
      <c r="J38" s="8">
        <v>1758150</v>
      </c>
      <c r="K38" s="8">
        <v>1435000</v>
      </c>
      <c r="L38" s="8">
        <v>1839970</v>
      </c>
      <c r="M38" s="8">
        <v>1789200</v>
      </c>
      <c r="N38" s="8">
        <v>2422880</v>
      </c>
      <c r="O38" s="8"/>
      <c r="P38" s="8"/>
      <c r="Q38" s="8"/>
      <c r="R38" s="8"/>
      <c r="S38" s="8"/>
      <c r="T38" s="8"/>
      <c r="U38" s="8"/>
      <c r="V38" s="8">
        <f t="shared" si="4"/>
        <v>9245200</v>
      </c>
      <c r="W38" s="9">
        <f t="shared" si="5"/>
        <v>1540866.6666666667</v>
      </c>
    </row>
    <row r="39" spans="1:23" x14ac:dyDescent="0.3">
      <c r="A39" s="4" t="str">
        <f>VLOOKUP(G39,Data!$A:$G,2,0)</f>
        <v>Souvik Maity</v>
      </c>
      <c r="B39" s="4" t="str">
        <f>VLOOKUP(G39,Data!$A:$G,3,0)</f>
        <v>Active</v>
      </c>
      <c r="C39" s="4" t="str">
        <f>VLOOKUP(G39,Data!$A:$G,4,0)</f>
        <v>Hooghly</v>
      </c>
      <c r="D39" s="4" t="str">
        <f>VLOOKUP(G39,Data!$A:$G,5,0)</f>
        <v>Polba</v>
      </c>
      <c r="E39" s="4" t="str">
        <f>VLOOKUP(G39,Data!$A:$G,6,0)</f>
        <v>Arindam Sadhukhan</v>
      </c>
      <c r="F39" s="10" t="str">
        <f>VLOOKUP(G39,Data!$A:$G,7,0)</f>
        <v>3390315433</v>
      </c>
      <c r="G39" s="5">
        <v>28201</v>
      </c>
      <c r="H39" s="7">
        <f>VLOOKUP(G39,'FI txn'!$G:$H,2,0)</f>
        <v>6</v>
      </c>
      <c r="I39" s="7">
        <f t="shared" si="3"/>
        <v>1800</v>
      </c>
      <c r="J39" s="8">
        <v>2936600</v>
      </c>
      <c r="K39" s="8">
        <v>1860450</v>
      </c>
      <c r="L39" s="8">
        <v>985400</v>
      </c>
      <c r="M39" s="8">
        <v>961300</v>
      </c>
      <c r="N39" s="8">
        <v>1740450</v>
      </c>
      <c r="O39" s="8"/>
      <c r="P39" s="8"/>
      <c r="Q39" s="8"/>
      <c r="R39" s="8"/>
      <c r="S39" s="8"/>
      <c r="T39" s="8"/>
      <c r="U39" s="8"/>
      <c r="V39" s="8">
        <f t="shared" si="4"/>
        <v>8484200</v>
      </c>
      <c r="W39" s="9">
        <f t="shared" si="5"/>
        <v>1414033.3333333333</v>
      </c>
    </row>
    <row r="40" spans="1:23" x14ac:dyDescent="0.3">
      <c r="A40" s="4" t="str">
        <f>VLOOKUP(G40,Data!$A:$G,2,0)</f>
        <v>Under Office (W Medinipur)</v>
      </c>
      <c r="B40" s="4" t="str">
        <f>VLOOKUP(G40,Data!$A:$G,3,0)</f>
        <v>Active</v>
      </c>
      <c r="C40" s="4" t="str">
        <f>VLOOKUP(G40,Data!$A:$G,4,0)</f>
        <v>Hooghly</v>
      </c>
      <c r="D40" s="4" t="str">
        <f>VLOOKUP(G40,Data!$A:$G,5,0)</f>
        <v>Chandrakona</v>
      </c>
      <c r="E40" s="4" t="str">
        <f>VLOOKUP(G40,Data!$A:$G,6,0)</f>
        <v>Ananya Maity Bag</v>
      </c>
      <c r="F40" s="10" t="str">
        <f>VLOOKUP(G40,Data!$A:$G,7,0)</f>
        <v>2390313181</v>
      </c>
      <c r="G40" s="5">
        <v>24495</v>
      </c>
      <c r="H40" s="7">
        <f>VLOOKUP(G40,'FI txn'!$G:$H,2,0)</f>
        <v>6</v>
      </c>
      <c r="I40" s="7">
        <f t="shared" si="3"/>
        <v>1800</v>
      </c>
      <c r="J40" s="8">
        <v>1804400</v>
      </c>
      <c r="K40" s="8">
        <v>1420700</v>
      </c>
      <c r="L40" s="8">
        <v>1668730</v>
      </c>
      <c r="M40" s="8">
        <v>1724250</v>
      </c>
      <c r="N40" s="8">
        <v>2050800</v>
      </c>
      <c r="O40" s="8"/>
      <c r="P40" s="8"/>
      <c r="Q40" s="8"/>
      <c r="R40" s="8"/>
      <c r="S40" s="8"/>
      <c r="T40" s="8"/>
      <c r="U40" s="8"/>
      <c r="V40" s="8">
        <f t="shared" si="4"/>
        <v>8668880</v>
      </c>
      <c r="W40" s="9">
        <f t="shared" si="5"/>
        <v>1444813.3333333333</v>
      </c>
    </row>
    <row r="41" spans="1:23" x14ac:dyDescent="0.3">
      <c r="A41" s="4" t="str">
        <f>VLOOKUP(G41,Data!$A:$G,2,0)</f>
        <v>Under Office (W Medinipur)</v>
      </c>
      <c r="B41" s="4" t="str">
        <f>VLOOKUP(G41,Data!$A:$G,3,0)</f>
        <v>Active</v>
      </c>
      <c r="C41" s="4" t="str">
        <f>VLOOKUP(G41,Data!$A:$G,4,0)</f>
        <v>Hooghly</v>
      </c>
      <c r="D41" s="4" t="str">
        <f>VLOOKUP(G41,Data!$A:$G,5,0)</f>
        <v>Nayabasat</v>
      </c>
      <c r="E41" s="4" t="str">
        <f>VLOOKUP(G41,Data!$A:$G,6,0)</f>
        <v>Soumya Ghosh</v>
      </c>
      <c r="F41" s="10" t="str">
        <f>VLOOKUP(G41,Data!$A:$G,7,0)</f>
        <v>2390314387</v>
      </c>
      <c r="G41" s="5">
        <v>26403</v>
      </c>
      <c r="H41" s="7">
        <f>VLOOKUP(G41,'FI txn'!$G:$H,2,0)</f>
        <v>6</v>
      </c>
      <c r="I41" s="7">
        <f t="shared" si="3"/>
        <v>1800</v>
      </c>
      <c r="J41" s="8">
        <v>1700950</v>
      </c>
      <c r="K41" s="8">
        <v>1755300</v>
      </c>
      <c r="L41" s="8">
        <v>1362240</v>
      </c>
      <c r="M41" s="8">
        <v>1785900</v>
      </c>
      <c r="N41" s="8">
        <v>2019190</v>
      </c>
      <c r="O41" s="8"/>
      <c r="P41" s="8"/>
      <c r="Q41" s="8"/>
      <c r="R41" s="8"/>
      <c r="S41" s="8"/>
      <c r="T41" s="8"/>
      <c r="U41" s="8"/>
      <c r="V41" s="8">
        <f t="shared" si="4"/>
        <v>8623580</v>
      </c>
      <c r="W41" s="9">
        <f t="shared" si="5"/>
        <v>1437263.3333333333</v>
      </c>
    </row>
    <row r="42" spans="1:23" x14ac:dyDescent="0.3">
      <c r="A42" s="4" t="str">
        <f>VLOOKUP(G42,Data!$A:$G,2,0)</f>
        <v>Chandi Charan Mahato</v>
      </c>
      <c r="B42" s="4" t="str">
        <f>VLOOKUP(G42,Data!$A:$G,3,0)</f>
        <v>Active</v>
      </c>
      <c r="C42" s="4" t="str">
        <f>VLOOKUP(G42,Data!$A:$G,4,0)</f>
        <v>Durgapur</v>
      </c>
      <c r="D42" s="4" t="str">
        <f>VLOOKUP(G42,Data!$A:$G,5,0)</f>
        <v>Anara</v>
      </c>
      <c r="E42" s="4" t="str">
        <f>VLOOKUP(G42,Data!$A:$G,6,0)</f>
        <v>Biswajit Majee</v>
      </c>
      <c r="F42" s="10" t="str">
        <f>VLOOKUP(G42,Data!$A:$G,7,0)</f>
        <v>2460314961</v>
      </c>
      <c r="G42" s="5">
        <v>27219</v>
      </c>
      <c r="H42" s="7">
        <f>VLOOKUP(G42,'FI txn'!$G:$H,2,0)</f>
        <v>6</v>
      </c>
      <c r="I42" s="7">
        <f t="shared" si="3"/>
        <v>1800</v>
      </c>
      <c r="J42" s="8">
        <v>1453063</v>
      </c>
      <c r="K42" s="8">
        <v>2282885</v>
      </c>
      <c r="L42" s="8">
        <v>1246990</v>
      </c>
      <c r="M42" s="8">
        <v>1245912</v>
      </c>
      <c r="N42" s="8">
        <v>1668763</v>
      </c>
      <c r="O42" s="8"/>
      <c r="P42" s="8"/>
      <c r="Q42" s="8"/>
      <c r="R42" s="8"/>
      <c r="S42" s="8"/>
      <c r="T42" s="8"/>
      <c r="U42" s="8"/>
      <c r="V42" s="8">
        <f t="shared" si="4"/>
        <v>7897613</v>
      </c>
      <c r="W42" s="9">
        <f t="shared" si="5"/>
        <v>1316268.8333333333</v>
      </c>
    </row>
    <row r="43" spans="1:23" x14ac:dyDescent="0.3">
      <c r="A43" s="4" t="str">
        <f>VLOOKUP(G43,Data!$A:$G,2,0)</f>
        <v>Under Office (W Medinipur)</v>
      </c>
      <c r="B43" s="4" t="str">
        <f>VLOOKUP(G43,Data!$A:$G,3,0)</f>
        <v>Active</v>
      </c>
      <c r="C43" s="4" t="str">
        <f>VLOOKUP(G43,Data!$A:$G,4,0)</f>
        <v>Hooghly</v>
      </c>
      <c r="D43" s="4" t="str">
        <f>VLOOKUP(G43,Data!$A:$G,5,0)</f>
        <v>Nayabasat</v>
      </c>
      <c r="E43" s="4" t="str">
        <f>VLOOKUP(G43,Data!$A:$G,6,0)</f>
        <v>Mousumi Chanda Dey</v>
      </c>
      <c r="F43" s="10" t="str">
        <f>VLOOKUP(G43,Data!$A:$G,7,0)</f>
        <v>2390315855</v>
      </c>
      <c r="G43" s="5">
        <v>29123</v>
      </c>
      <c r="H43" s="7">
        <f>VLOOKUP(G43,'FI txn'!$G:$H,2,0)</f>
        <v>6</v>
      </c>
      <c r="I43" s="7">
        <f t="shared" si="3"/>
        <v>1800</v>
      </c>
      <c r="J43" s="8">
        <v>847380</v>
      </c>
      <c r="K43" s="8">
        <v>2291200</v>
      </c>
      <c r="L43" s="8">
        <v>1090560</v>
      </c>
      <c r="M43" s="8">
        <v>1659160</v>
      </c>
      <c r="N43" s="8">
        <v>2352960</v>
      </c>
      <c r="O43" s="8"/>
      <c r="P43" s="8"/>
      <c r="Q43" s="8"/>
      <c r="R43" s="8"/>
      <c r="S43" s="8"/>
      <c r="T43" s="8"/>
      <c r="U43" s="8"/>
      <c r="V43" s="8">
        <f t="shared" si="4"/>
        <v>8241260</v>
      </c>
      <c r="W43" s="9">
        <f t="shared" si="5"/>
        <v>1373543.3333333333</v>
      </c>
    </row>
    <row r="44" spans="1:23" x14ac:dyDescent="0.3">
      <c r="A44" s="4" t="str">
        <f>VLOOKUP(G44,Data!$A:$G,2,0)</f>
        <v>Avi Sk</v>
      </c>
      <c r="B44" s="4" t="str">
        <f>VLOOKUP(G44,Data!$A:$G,3,0)</f>
        <v>Active</v>
      </c>
      <c r="C44" s="4" t="str">
        <f>VLOOKUP(G44,Data!$A:$G,4,0)</f>
        <v>Siliguri</v>
      </c>
      <c r="D44" s="4" t="str">
        <f>VLOOKUP(G44,Data!$A:$G,5,0)</f>
        <v>Kanupur</v>
      </c>
      <c r="E44" s="4" t="str">
        <f>VLOOKUP(G44,Data!$A:$G,6,0)</f>
        <v>Shobhan Majhi</v>
      </c>
      <c r="F44" s="10" t="str">
        <f>VLOOKUP(G44,Data!$A:$G,7,0)</f>
        <v>2410311257</v>
      </c>
      <c r="G44" s="5">
        <v>21926</v>
      </c>
      <c r="H44" s="7">
        <f>VLOOKUP(G44,'FI txn'!$G:$H,2,0)</f>
        <v>6</v>
      </c>
      <c r="I44" s="7">
        <f t="shared" si="3"/>
        <v>1800</v>
      </c>
      <c r="J44" s="8">
        <v>1580750</v>
      </c>
      <c r="K44" s="8">
        <v>1396700</v>
      </c>
      <c r="L44" s="8">
        <v>1305200</v>
      </c>
      <c r="M44" s="8">
        <v>1268630</v>
      </c>
      <c r="N44" s="8">
        <v>1141050</v>
      </c>
      <c r="O44" s="8"/>
      <c r="P44" s="8"/>
      <c r="Q44" s="8"/>
      <c r="R44" s="8"/>
      <c r="S44" s="8"/>
      <c r="T44" s="8"/>
      <c r="U44" s="8"/>
      <c r="V44" s="8">
        <f t="shared" si="4"/>
        <v>6692330</v>
      </c>
      <c r="W44" s="9">
        <f t="shared" si="5"/>
        <v>1115388.3333333333</v>
      </c>
    </row>
    <row r="45" spans="1:23" x14ac:dyDescent="0.3">
      <c r="A45" s="4" t="str">
        <f>VLOOKUP(G45,Data!$A:$G,2,0)</f>
        <v>Sunil Biswas</v>
      </c>
      <c r="B45" s="4" t="str">
        <f>VLOOKUP(G45,Data!$A:$G,3,0)</f>
        <v>Active</v>
      </c>
      <c r="C45" s="4" t="str">
        <f>VLOOKUP(G45,Data!$A:$G,4,0)</f>
        <v>Durgapur</v>
      </c>
      <c r="D45" s="4" t="str">
        <f>VLOOKUP(G45,Data!$A:$G,5,0)</f>
        <v>Haringhata</v>
      </c>
      <c r="E45" s="4" t="str">
        <f>VLOOKUP(G45,Data!$A:$G,6,0)</f>
        <v>Eyakub Mondal</v>
      </c>
      <c r="F45" s="10" t="str">
        <f>VLOOKUP(G45,Data!$A:$G,7,0)</f>
        <v>2430315345</v>
      </c>
      <c r="G45" s="5">
        <v>28085</v>
      </c>
      <c r="H45" s="7">
        <f>VLOOKUP(G45,'FI txn'!$G:$H,2,0)</f>
        <v>6</v>
      </c>
      <c r="I45" s="7">
        <f t="shared" si="3"/>
        <v>1800</v>
      </c>
      <c r="J45" s="8">
        <v>1317590</v>
      </c>
      <c r="K45" s="8">
        <v>1426400</v>
      </c>
      <c r="L45" s="8">
        <v>1071750</v>
      </c>
      <c r="M45" s="8">
        <v>1624100</v>
      </c>
      <c r="N45" s="8">
        <v>1552810</v>
      </c>
      <c r="O45" s="8"/>
      <c r="P45" s="8"/>
      <c r="Q45" s="8"/>
      <c r="R45" s="8"/>
      <c r="S45" s="8"/>
      <c r="T45" s="8"/>
      <c r="U45" s="8"/>
      <c r="V45" s="8">
        <f t="shared" si="4"/>
        <v>6992650</v>
      </c>
      <c r="W45" s="9">
        <f t="shared" si="5"/>
        <v>1165441.6666666667</v>
      </c>
    </row>
    <row r="46" spans="1:23" x14ac:dyDescent="0.3">
      <c r="A46" s="4" t="str">
        <f>VLOOKUP(G46,Data!$A:$G,2,0)</f>
        <v>Pijush Singha</v>
      </c>
      <c r="B46" s="4" t="str">
        <f>VLOOKUP(G46,Data!$A:$G,3,0)</f>
        <v>Active</v>
      </c>
      <c r="C46" s="4" t="str">
        <f>VLOOKUP(G46,Data!$A:$G,4,0)</f>
        <v>Siliguri</v>
      </c>
      <c r="D46" s="4" t="str">
        <f>VLOOKUP(G46,Data!$A:$G,5,0)</f>
        <v>Nabagram</v>
      </c>
      <c r="E46" s="4" t="str">
        <f>VLOOKUP(G46,Data!$A:$G,6,0)</f>
        <v>Sahabuddin Ahmed</v>
      </c>
      <c r="F46" s="10" t="str">
        <f>VLOOKUP(G46,Data!$A:$G,7,0)</f>
        <v>2410312329</v>
      </c>
      <c r="G46" s="5">
        <v>23270</v>
      </c>
      <c r="H46" s="7">
        <f>VLOOKUP(G46,'FI txn'!$G:$H,2,0)</f>
        <v>6</v>
      </c>
      <c r="I46" s="7">
        <f t="shared" si="3"/>
        <v>1800</v>
      </c>
      <c r="J46" s="8">
        <v>1435250</v>
      </c>
      <c r="K46" s="8">
        <v>1243650</v>
      </c>
      <c r="L46" s="8">
        <v>950500</v>
      </c>
      <c r="M46" s="8">
        <v>1343750</v>
      </c>
      <c r="N46" s="8">
        <v>1316700</v>
      </c>
      <c r="O46" s="8"/>
      <c r="P46" s="8"/>
      <c r="Q46" s="8"/>
      <c r="R46" s="8"/>
      <c r="S46" s="8"/>
      <c r="T46" s="8"/>
      <c r="U46" s="8"/>
      <c r="V46" s="8">
        <f t="shared" si="4"/>
        <v>6289850</v>
      </c>
      <c r="W46" s="9">
        <f t="shared" si="5"/>
        <v>1048308.3333333334</v>
      </c>
    </row>
    <row r="47" spans="1:23" x14ac:dyDescent="0.3">
      <c r="A47" s="4" t="str">
        <f>VLOOKUP(G47,Data!$A:$G,2,0)</f>
        <v>Under Office (W Medinipur)</v>
      </c>
      <c r="B47" s="4" t="str">
        <f>VLOOKUP(G47,Data!$A:$G,3,0)</f>
        <v>Active</v>
      </c>
      <c r="C47" s="4" t="str">
        <f>VLOOKUP(G47,Data!$A:$G,4,0)</f>
        <v>Hooghly</v>
      </c>
      <c r="D47" s="4" t="str">
        <f>VLOOKUP(G47,Data!$A:$G,5,0)</f>
        <v>Kharar</v>
      </c>
      <c r="E47" s="4" t="str">
        <f>VLOOKUP(G47,Data!$A:$G,6,0)</f>
        <v>Pinki Ghosh</v>
      </c>
      <c r="F47" s="10" t="str">
        <f>VLOOKUP(G47,Data!$A:$G,7,0)</f>
        <v>2390311944</v>
      </c>
      <c r="G47" s="5">
        <v>29368</v>
      </c>
      <c r="H47" s="7">
        <f>VLOOKUP(G47,'FI txn'!$G:$H,2,0)</f>
        <v>6</v>
      </c>
      <c r="I47" s="7">
        <f t="shared" si="3"/>
        <v>1800</v>
      </c>
      <c r="J47" s="8">
        <v>347100</v>
      </c>
      <c r="K47" s="8">
        <v>1529405</v>
      </c>
      <c r="L47" s="8">
        <v>1562747</v>
      </c>
      <c r="M47" s="8">
        <v>1533803</v>
      </c>
      <c r="N47" s="8">
        <v>2832704</v>
      </c>
      <c r="O47" s="8"/>
      <c r="P47" s="8"/>
      <c r="Q47" s="8"/>
      <c r="R47" s="8"/>
      <c r="S47" s="8"/>
      <c r="T47" s="8"/>
      <c r="U47" s="8"/>
      <c r="V47" s="8">
        <f t="shared" si="4"/>
        <v>7805759</v>
      </c>
      <c r="W47" s="9">
        <f t="shared" si="5"/>
        <v>1300959.8333333333</v>
      </c>
    </row>
    <row r="48" spans="1:23" x14ac:dyDescent="0.3">
      <c r="A48" s="4" t="str">
        <f>VLOOKUP(G48,Data!$A:$G,2,0)</f>
        <v>Souvik Maity</v>
      </c>
      <c r="B48" s="4" t="str">
        <f>VLOOKUP(G48,Data!$A:$G,3,0)</f>
        <v>Active</v>
      </c>
      <c r="C48" s="4" t="str">
        <f>VLOOKUP(G48,Data!$A:$G,4,0)</f>
        <v>Hooghly</v>
      </c>
      <c r="D48" s="4" t="str">
        <f>VLOOKUP(G48,Data!$A:$G,5,0)</f>
        <v>Sahapur</v>
      </c>
      <c r="E48" s="4" t="str">
        <f>VLOOKUP(G48,Data!$A:$G,6,0)</f>
        <v>Bishal Maity</v>
      </c>
      <c r="F48" s="10" t="str">
        <f>VLOOKUP(G48,Data!$A:$G,7,0)</f>
        <v>3390312548</v>
      </c>
      <c r="G48" s="5">
        <v>23565</v>
      </c>
      <c r="H48" s="7">
        <f>VLOOKUP(G48,'FI txn'!$G:$H,2,0)</f>
        <v>6</v>
      </c>
      <c r="I48" s="7">
        <f t="shared" si="3"/>
        <v>1800</v>
      </c>
      <c r="J48" s="8">
        <v>1691900</v>
      </c>
      <c r="K48" s="8">
        <v>1315400</v>
      </c>
      <c r="L48" s="8">
        <v>922400</v>
      </c>
      <c r="M48" s="8">
        <v>921300</v>
      </c>
      <c r="N48" s="8">
        <v>1059200</v>
      </c>
      <c r="O48" s="8"/>
      <c r="P48" s="8"/>
      <c r="Q48" s="8"/>
      <c r="R48" s="8"/>
      <c r="S48" s="8"/>
      <c r="T48" s="8"/>
      <c r="U48" s="8"/>
      <c r="V48" s="8">
        <f t="shared" si="4"/>
        <v>5910200</v>
      </c>
      <c r="W48" s="9">
        <f t="shared" si="5"/>
        <v>985033.33333333337</v>
      </c>
    </row>
    <row r="49" spans="1:23" x14ac:dyDescent="0.3">
      <c r="A49" s="4" t="str">
        <f>VLOOKUP(G49,Data!$A:$G,2,0)</f>
        <v>Sunil Biswas</v>
      </c>
      <c r="B49" s="4" t="str">
        <f>VLOOKUP(G49,Data!$A:$G,3,0)</f>
        <v>Active</v>
      </c>
      <c r="C49" s="4" t="str">
        <f>VLOOKUP(G49,Data!$A:$G,4,0)</f>
        <v>Durgapur</v>
      </c>
      <c r="D49" s="4" t="str">
        <f>VLOOKUP(G49,Data!$A:$G,5,0)</f>
        <v>Hidaypur</v>
      </c>
      <c r="E49" s="4" t="str">
        <f>VLOOKUP(G49,Data!$A:$G,6,0)</f>
        <v>Akramul Shaikh</v>
      </c>
      <c r="F49" s="10" t="str">
        <f>VLOOKUP(G49,Data!$A:$G,7,0)</f>
        <v>2430315571</v>
      </c>
      <c r="G49" s="5">
        <v>28485</v>
      </c>
      <c r="H49" s="7">
        <f>VLOOKUP(G49,'FI txn'!$G:$H,2,0)</f>
        <v>6</v>
      </c>
      <c r="I49" s="7">
        <f t="shared" si="3"/>
        <v>1800</v>
      </c>
      <c r="J49" s="8">
        <v>1172550</v>
      </c>
      <c r="K49" s="8">
        <v>996740</v>
      </c>
      <c r="L49" s="8">
        <v>1179270</v>
      </c>
      <c r="M49" s="8">
        <v>1331850</v>
      </c>
      <c r="N49" s="8">
        <v>1580020</v>
      </c>
      <c r="O49" s="8"/>
      <c r="P49" s="8"/>
      <c r="Q49" s="8"/>
      <c r="R49" s="8"/>
      <c r="S49" s="8"/>
      <c r="T49" s="8"/>
      <c r="U49" s="8"/>
      <c r="V49" s="8">
        <f t="shared" si="4"/>
        <v>6260430</v>
      </c>
      <c r="W49" s="9">
        <f t="shared" si="5"/>
        <v>1043405</v>
      </c>
    </row>
    <row r="50" spans="1:23" x14ac:dyDescent="0.3">
      <c r="A50" s="4" t="str">
        <f>VLOOKUP(G50,Data!$A:$G,2,0)</f>
        <v>Avi Sk</v>
      </c>
      <c r="B50" s="4" t="str">
        <f>VLOOKUP(G50,Data!$A:$G,3,0)</f>
        <v>Active</v>
      </c>
      <c r="C50" s="4" t="str">
        <f>VLOOKUP(G50,Data!$A:$G,4,0)</f>
        <v>Siliguri</v>
      </c>
      <c r="D50" s="4" t="str">
        <f>VLOOKUP(G50,Data!$A:$G,5,0)</f>
        <v>Sagarpara</v>
      </c>
      <c r="E50" s="4" t="str">
        <f>VLOOKUP(G50,Data!$A:$G,6,0)</f>
        <v>Habibur Rahaman</v>
      </c>
      <c r="F50" s="10" t="str">
        <f>VLOOKUP(G50,Data!$A:$G,7,0)</f>
        <v>2410311259</v>
      </c>
      <c r="G50" s="5">
        <v>28860</v>
      </c>
      <c r="H50" s="7">
        <f>VLOOKUP(G50,'FI txn'!$G:$H,2,0)</f>
        <v>6</v>
      </c>
      <c r="I50" s="7">
        <f t="shared" si="3"/>
        <v>1800</v>
      </c>
      <c r="J50" s="8">
        <v>1312200</v>
      </c>
      <c r="K50" s="8">
        <v>1422300</v>
      </c>
      <c r="L50" s="8">
        <v>910250</v>
      </c>
      <c r="M50" s="8">
        <v>872350</v>
      </c>
      <c r="N50" s="8">
        <v>1250900</v>
      </c>
      <c r="O50" s="8"/>
      <c r="P50" s="8"/>
      <c r="Q50" s="8"/>
      <c r="R50" s="8"/>
      <c r="S50" s="8"/>
      <c r="T50" s="8"/>
      <c r="U50" s="8"/>
      <c r="V50" s="8">
        <f t="shared" si="4"/>
        <v>5768000</v>
      </c>
      <c r="W50" s="9">
        <f t="shared" si="5"/>
        <v>961333.33333333337</v>
      </c>
    </row>
    <row r="51" spans="1:23" x14ac:dyDescent="0.3">
      <c r="A51" s="4" t="str">
        <f>VLOOKUP(G51,Data!$A:$G,2,0)</f>
        <v>Sunil Biswas</v>
      </c>
      <c r="B51" s="4" t="str">
        <f>VLOOKUP(G51,Data!$A:$G,3,0)</f>
        <v>Active</v>
      </c>
      <c r="C51" s="4" t="str">
        <f>VLOOKUP(G51,Data!$A:$G,4,0)</f>
        <v>Durgapur</v>
      </c>
      <c r="D51" s="4" t="str">
        <f>VLOOKUP(G51,Data!$A:$G,5,0)</f>
        <v>Badkulla</v>
      </c>
      <c r="E51" s="4" t="str">
        <f>VLOOKUP(G51,Data!$A:$G,6,0)</f>
        <v>Swapan Kumar Biswas</v>
      </c>
      <c r="F51" s="10" t="str">
        <f>VLOOKUP(G51,Data!$A:$G,7,0)</f>
        <v>2430315186</v>
      </c>
      <c r="G51" s="5">
        <v>27732</v>
      </c>
      <c r="H51" s="7">
        <f>VLOOKUP(G51,'FI txn'!$G:$H,2,0)</f>
        <v>6</v>
      </c>
      <c r="I51" s="7">
        <f t="shared" si="3"/>
        <v>1800</v>
      </c>
      <c r="J51" s="8">
        <v>1163459</v>
      </c>
      <c r="K51" s="8">
        <v>1088370</v>
      </c>
      <c r="L51" s="8">
        <v>1219527</v>
      </c>
      <c r="M51" s="8">
        <v>982779</v>
      </c>
      <c r="N51" s="8">
        <v>1018679</v>
      </c>
      <c r="O51" s="8"/>
      <c r="P51" s="8"/>
      <c r="Q51" s="8"/>
      <c r="R51" s="8"/>
      <c r="S51" s="8"/>
      <c r="T51" s="8"/>
      <c r="U51" s="8"/>
      <c r="V51" s="8">
        <f t="shared" si="4"/>
        <v>5472814</v>
      </c>
      <c r="W51" s="9">
        <f t="shared" si="5"/>
        <v>912135.66666666663</v>
      </c>
    </row>
    <row r="52" spans="1:23" x14ac:dyDescent="0.3">
      <c r="A52" s="4" t="str">
        <f>VLOOKUP(G52,Data!$A:$G,2,0)</f>
        <v>Chandi Charan Mahato</v>
      </c>
      <c r="B52" s="4" t="str">
        <f>VLOOKUP(G52,Data!$A:$G,3,0)</f>
        <v>Active</v>
      </c>
      <c r="C52" s="4" t="str">
        <f>VLOOKUP(G52,Data!$A:$G,4,0)</f>
        <v>Durgapur</v>
      </c>
      <c r="D52" s="4" t="str">
        <f>VLOOKUP(G52,Data!$A:$G,5,0)</f>
        <v>Patrasayer</v>
      </c>
      <c r="E52" s="4" t="str">
        <f>VLOOKUP(G52,Data!$A:$G,6,0)</f>
        <v>Satish Ankure</v>
      </c>
      <c r="F52" s="10" t="str">
        <f>VLOOKUP(G52,Data!$A:$G,7,0)</f>
        <v>2160314679</v>
      </c>
      <c r="G52" s="5">
        <v>26810</v>
      </c>
      <c r="H52" s="7">
        <f>VLOOKUP(G52,'FI txn'!$G:$H,2,0)</f>
        <v>6</v>
      </c>
      <c r="I52" s="7">
        <f t="shared" si="3"/>
        <v>1800</v>
      </c>
      <c r="J52" s="8">
        <v>1427900</v>
      </c>
      <c r="K52" s="8">
        <v>1178150</v>
      </c>
      <c r="L52" s="8">
        <v>798350</v>
      </c>
      <c r="M52" s="8">
        <v>1017700</v>
      </c>
      <c r="N52" s="8">
        <v>1114750</v>
      </c>
      <c r="O52" s="8"/>
      <c r="P52" s="8"/>
      <c r="Q52" s="8"/>
      <c r="R52" s="8"/>
      <c r="S52" s="8"/>
      <c r="T52" s="8"/>
      <c r="U52" s="8"/>
      <c r="V52" s="8">
        <f t="shared" si="4"/>
        <v>5536850</v>
      </c>
      <c r="W52" s="9">
        <f t="shared" si="5"/>
        <v>922808.33333333337</v>
      </c>
    </row>
    <row r="53" spans="1:23" x14ac:dyDescent="0.3">
      <c r="A53" s="4" t="str">
        <f>VLOOKUP(G53,Data!$A:$G,2,0)</f>
        <v>Manindra Nath Barman</v>
      </c>
      <c r="B53" s="4" t="str">
        <f>VLOOKUP(G53,Data!$A:$G,3,0)</f>
        <v>Active</v>
      </c>
      <c r="C53" s="4" t="str">
        <f>VLOOKUP(G53,Data!$A:$G,4,0)</f>
        <v>Siliguri</v>
      </c>
      <c r="D53" s="4" t="str">
        <f>VLOOKUP(G53,Data!$A:$G,5,0)</f>
        <v>Damanpur</v>
      </c>
      <c r="E53" s="4" t="str">
        <f>VLOOKUP(G53,Data!$A:$G,6,0)</f>
        <v>Biplab Barman</v>
      </c>
      <c r="F53" s="10" t="str">
        <f>VLOOKUP(G53,Data!$A:$G,7,0)</f>
        <v>9490310566</v>
      </c>
      <c r="G53" s="5">
        <v>21091</v>
      </c>
      <c r="H53" s="7">
        <f>VLOOKUP(G53,'FI txn'!$G:$H,2,0)</f>
        <v>6</v>
      </c>
      <c r="I53" s="7">
        <f t="shared" si="3"/>
        <v>1800</v>
      </c>
      <c r="J53" s="8">
        <v>1002120</v>
      </c>
      <c r="K53" s="8">
        <v>1384390</v>
      </c>
      <c r="L53" s="8">
        <v>920940</v>
      </c>
      <c r="M53" s="8">
        <v>1040800</v>
      </c>
      <c r="N53" s="8">
        <v>1063700</v>
      </c>
      <c r="O53" s="8"/>
      <c r="P53" s="8"/>
      <c r="Q53" s="8"/>
      <c r="R53" s="8"/>
      <c r="S53" s="8"/>
      <c r="T53" s="8"/>
      <c r="U53" s="8"/>
      <c r="V53" s="8">
        <f t="shared" si="4"/>
        <v>5411950</v>
      </c>
      <c r="W53" s="9">
        <f t="shared" si="5"/>
        <v>901991.66666666663</v>
      </c>
    </row>
    <row r="54" spans="1:23" x14ac:dyDescent="0.3">
      <c r="A54" s="4" t="str">
        <f>VLOOKUP(G54,Data!$A:$G,2,0)</f>
        <v>Rajendra Kumar Bapari</v>
      </c>
      <c r="B54" s="4" t="str">
        <f>VLOOKUP(G54,Data!$A:$G,3,0)</f>
        <v>Active</v>
      </c>
      <c r="C54" s="4" t="str">
        <f>VLOOKUP(G54,Data!$A:$G,4,0)</f>
        <v>Durgapur</v>
      </c>
      <c r="D54" s="4" t="str">
        <f>VLOOKUP(G54,Data!$A:$G,5,0)</f>
        <v>Kushodanga</v>
      </c>
      <c r="E54" s="4" t="str">
        <f>VLOOKUP(G54,Data!$A:$G,6,0)</f>
        <v>Rumpa Pal Mondal</v>
      </c>
      <c r="F54" s="10" t="str">
        <f>VLOOKUP(G54,Data!$A:$G,7,0)</f>
        <v>3390315402</v>
      </c>
      <c r="G54" s="5">
        <v>28170</v>
      </c>
      <c r="H54" s="7">
        <f>VLOOKUP(G54,'FI txn'!$G:$H,2,0)</f>
        <v>6</v>
      </c>
      <c r="I54" s="7">
        <f t="shared" si="3"/>
        <v>1800</v>
      </c>
      <c r="J54" s="8">
        <v>1204600</v>
      </c>
      <c r="K54" s="8">
        <v>975722</v>
      </c>
      <c r="L54" s="8">
        <v>876640</v>
      </c>
      <c r="M54" s="8">
        <v>1029180</v>
      </c>
      <c r="N54" s="8">
        <v>1094700</v>
      </c>
      <c r="O54" s="8"/>
      <c r="P54" s="8"/>
      <c r="Q54" s="8"/>
      <c r="R54" s="8"/>
      <c r="S54" s="8"/>
      <c r="T54" s="8"/>
      <c r="U54" s="8"/>
      <c r="V54" s="8">
        <f t="shared" si="4"/>
        <v>5180842</v>
      </c>
      <c r="W54" s="9">
        <f t="shared" si="5"/>
        <v>863473.66666666663</v>
      </c>
    </row>
    <row r="55" spans="1:23" x14ac:dyDescent="0.3">
      <c r="A55" s="4" t="str">
        <f>VLOOKUP(G55,Data!$A:$G,2,0)</f>
        <v>Under Office (Birbhum)</v>
      </c>
      <c r="B55" s="4" t="str">
        <f>VLOOKUP(G55,Data!$A:$G,3,0)</f>
        <v>Active</v>
      </c>
      <c r="C55" s="4" t="str">
        <f>VLOOKUP(G55,Data!$A:$G,4,0)</f>
        <v>Siliguri</v>
      </c>
      <c r="D55" s="4" t="str">
        <f>VLOOKUP(G55,Data!$A:$G,5,0)</f>
        <v>Kapista</v>
      </c>
      <c r="E55" s="4" t="str">
        <f>VLOOKUP(G55,Data!$A:$G,6,0)</f>
        <v>Swarup Karmakar</v>
      </c>
      <c r="F55" s="10" t="str">
        <f>VLOOKUP(G55,Data!$A:$G,7,0)</f>
        <v>0140311629</v>
      </c>
      <c r="G55" s="5">
        <v>22366</v>
      </c>
      <c r="H55" s="7">
        <f>VLOOKUP(G55,'FI txn'!$G:$H,2,0)</f>
        <v>6</v>
      </c>
      <c r="I55" s="7">
        <f t="shared" si="3"/>
        <v>1800</v>
      </c>
      <c r="J55" s="8">
        <v>993240</v>
      </c>
      <c r="K55" s="8">
        <v>1061144</v>
      </c>
      <c r="L55" s="8">
        <v>899302</v>
      </c>
      <c r="M55" s="8">
        <v>1124016</v>
      </c>
      <c r="N55" s="8">
        <v>1399268</v>
      </c>
      <c r="O55" s="8"/>
      <c r="P55" s="8"/>
      <c r="Q55" s="8"/>
      <c r="R55" s="8"/>
      <c r="S55" s="8"/>
      <c r="T55" s="8"/>
      <c r="U55" s="8"/>
      <c r="V55" s="8">
        <f t="shared" si="4"/>
        <v>5476970</v>
      </c>
      <c r="W55" s="9">
        <f t="shared" si="5"/>
        <v>912828.33333333337</v>
      </c>
    </row>
    <row r="56" spans="1:23" x14ac:dyDescent="0.3">
      <c r="A56" s="4" t="str">
        <f>VLOOKUP(G56,Data!$A:$G,2,0)</f>
        <v>Under Office (W Medinipur)</v>
      </c>
      <c r="B56" s="4" t="str">
        <f>VLOOKUP(G56,Data!$A:$G,3,0)</f>
        <v>Active</v>
      </c>
      <c r="C56" s="4" t="str">
        <f>VLOOKUP(G56,Data!$A:$G,4,0)</f>
        <v>Hooghly</v>
      </c>
      <c r="D56" s="4" t="str">
        <f>VLOOKUP(G56,Data!$A:$G,5,0)</f>
        <v>Chandrakona</v>
      </c>
      <c r="E56" s="4" t="str">
        <f>VLOOKUP(G56,Data!$A:$G,6,0)</f>
        <v>Mani Dhara</v>
      </c>
      <c r="F56" s="10" t="str">
        <f>VLOOKUP(G56,Data!$A:$G,7,0)</f>
        <v>2390313180</v>
      </c>
      <c r="G56" s="5">
        <v>24494</v>
      </c>
      <c r="H56" s="7">
        <f>VLOOKUP(G56,'FI txn'!$G:$H,2,0)</f>
        <v>6</v>
      </c>
      <c r="I56" s="7">
        <f t="shared" si="3"/>
        <v>1800</v>
      </c>
      <c r="J56" s="8">
        <v>1183854</v>
      </c>
      <c r="K56" s="8">
        <v>835681</v>
      </c>
      <c r="L56" s="8">
        <v>983554</v>
      </c>
      <c r="M56" s="8">
        <v>1065150</v>
      </c>
      <c r="N56" s="8">
        <v>1353859</v>
      </c>
      <c r="O56" s="8"/>
      <c r="P56" s="8"/>
      <c r="Q56" s="8"/>
      <c r="R56" s="8"/>
      <c r="S56" s="8"/>
      <c r="T56" s="8"/>
      <c r="U56" s="8"/>
      <c r="V56" s="8">
        <f t="shared" si="4"/>
        <v>5422098</v>
      </c>
      <c r="W56" s="9">
        <f t="shared" si="5"/>
        <v>903683</v>
      </c>
    </row>
    <row r="57" spans="1:23" x14ac:dyDescent="0.3">
      <c r="A57" s="4" t="str">
        <f>VLOOKUP(G57,Data!$A:$G,2,0)</f>
        <v>Manindra Nath Barman</v>
      </c>
      <c r="B57" s="4" t="str">
        <f>VLOOKUP(G57,Data!$A:$G,3,0)</f>
        <v>Active</v>
      </c>
      <c r="C57" s="4" t="str">
        <f>VLOOKUP(G57,Data!$A:$G,4,0)</f>
        <v>Siliguri</v>
      </c>
      <c r="D57" s="4" t="str">
        <f>VLOOKUP(G57,Data!$A:$G,5,0)</f>
        <v>Barobisha</v>
      </c>
      <c r="E57" s="4" t="str">
        <f>VLOOKUP(G57,Data!$A:$G,6,0)</f>
        <v>Md Akimuzzaman</v>
      </c>
      <c r="F57" s="10" t="str">
        <f>VLOOKUP(G57,Data!$A:$G,7,0)</f>
        <v>2310315481</v>
      </c>
      <c r="G57" s="5">
        <v>28270</v>
      </c>
      <c r="H57" s="7">
        <f>VLOOKUP(G57,'FI txn'!$G:$H,2,0)</f>
        <v>6</v>
      </c>
      <c r="I57" s="7">
        <f t="shared" si="3"/>
        <v>1800</v>
      </c>
      <c r="J57" s="8">
        <v>801100</v>
      </c>
      <c r="K57" s="8">
        <v>509750</v>
      </c>
      <c r="L57" s="8">
        <v>1235400</v>
      </c>
      <c r="M57" s="8">
        <v>1360690</v>
      </c>
      <c r="N57" s="8">
        <v>2305890</v>
      </c>
      <c r="O57" s="8"/>
      <c r="P57" s="8"/>
      <c r="Q57" s="8"/>
      <c r="R57" s="8"/>
      <c r="S57" s="8"/>
      <c r="T57" s="8"/>
      <c r="U57" s="8"/>
      <c r="V57" s="8">
        <f t="shared" si="4"/>
        <v>6212830</v>
      </c>
      <c r="W57" s="9">
        <f t="shared" si="5"/>
        <v>1035471.6666666666</v>
      </c>
    </row>
    <row r="58" spans="1:23" x14ac:dyDescent="0.3">
      <c r="A58" s="4" t="str">
        <f>VLOOKUP(G58,Data!$A:$G,2,0)</f>
        <v>Sanjoy Paul</v>
      </c>
      <c r="B58" s="4" t="str">
        <f>VLOOKUP(G58,Data!$A:$G,3,0)</f>
        <v>Active</v>
      </c>
      <c r="C58" s="4" t="str">
        <f>VLOOKUP(G58,Data!$A:$G,4,0)</f>
        <v>Siliguri</v>
      </c>
      <c r="D58" s="4" t="str">
        <f>VLOOKUP(G58,Data!$A:$G,5,0)</f>
        <v>Raiganj</v>
      </c>
      <c r="E58" s="4" t="str">
        <f>VLOOKUP(G58,Data!$A:$G,6,0)</f>
        <v>Joydev Das</v>
      </c>
      <c r="F58" s="10" t="str">
        <f>VLOOKUP(G58,Data!$A:$G,7,0)</f>
        <v>2560315042</v>
      </c>
      <c r="G58" s="5">
        <v>27372</v>
      </c>
      <c r="H58" s="7">
        <f>VLOOKUP(G58,'FI txn'!$G:$H,2,0)</f>
        <v>6</v>
      </c>
      <c r="I58" s="7">
        <f t="shared" si="3"/>
        <v>1800</v>
      </c>
      <c r="J58" s="8">
        <v>1589487</v>
      </c>
      <c r="K58" s="8">
        <v>830900</v>
      </c>
      <c r="L58" s="8">
        <v>647450</v>
      </c>
      <c r="M58" s="8">
        <v>784327</v>
      </c>
      <c r="N58" s="8">
        <v>1001402</v>
      </c>
      <c r="O58" s="8"/>
      <c r="P58" s="8"/>
      <c r="Q58" s="8"/>
      <c r="R58" s="8"/>
      <c r="S58" s="8"/>
      <c r="T58" s="8"/>
      <c r="U58" s="8"/>
      <c r="V58" s="8">
        <f t="shared" si="4"/>
        <v>4853566</v>
      </c>
      <c r="W58" s="9">
        <f t="shared" si="5"/>
        <v>808927.66666666663</v>
      </c>
    </row>
    <row r="59" spans="1:23" x14ac:dyDescent="0.3">
      <c r="A59" s="4" t="str">
        <f>VLOOKUP(G59,Data!$A:$G,2,0)</f>
        <v>Shyamalesh Sarkar</v>
      </c>
      <c r="B59" s="4" t="str">
        <f>VLOOKUP(G59,Data!$A:$G,3,0)</f>
        <v>Active</v>
      </c>
      <c r="C59" s="4" t="str">
        <f>VLOOKUP(G59,Data!$A:$G,4,0)</f>
        <v>Siliguri</v>
      </c>
      <c r="D59" s="4" t="str">
        <f>VLOOKUP(G59,Data!$A:$G,5,0)</f>
        <v>Sagardighi Square</v>
      </c>
      <c r="E59" s="4" t="str">
        <f>VLOOKUP(G59,Data!$A:$G,6,0)</f>
        <v>Rajani Roy</v>
      </c>
      <c r="F59" s="10" t="str">
        <f>VLOOKUP(G59,Data!$A:$G,7,0)</f>
        <v>2200310076</v>
      </c>
      <c r="G59" s="5">
        <v>20502</v>
      </c>
      <c r="H59" s="7">
        <f>VLOOKUP(G59,'FI txn'!$G:$H,2,0)</f>
        <v>6</v>
      </c>
      <c r="I59" s="7">
        <f t="shared" si="3"/>
        <v>1800</v>
      </c>
      <c r="J59" s="8">
        <v>727100</v>
      </c>
      <c r="K59" s="8">
        <v>584710</v>
      </c>
      <c r="L59" s="8">
        <v>851900</v>
      </c>
      <c r="M59" s="8">
        <v>1351370</v>
      </c>
      <c r="N59" s="8">
        <v>1267330</v>
      </c>
      <c r="O59" s="8"/>
      <c r="P59" s="8"/>
      <c r="Q59" s="8"/>
      <c r="R59" s="8"/>
      <c r="S59" s="8"/>
      <c r="T59" s="8"/>
      <c r="U59" s="8"/>
      <c r="V59" s="8">
        <f t="shared" si="4"/>
        <v>4782410</v>
      </c>
      <c r="W59" s="9">
        <f t="shared" si="5"/>
        <v>797068.33333333337</v>
      </c>
    </row>
    <row r="60" spans="1:23" x14ac:dyDescent="0.3">
      <c r="A60" s="4" t="str">
        <f>VLOOKUP(G60,Data!$A:$G,2,0)</f>
        <v>Under Office (W Medinipur)</v>
      </c>
      <c r="B60" s="4" t="str">
        <f>VLOOKUP(G60,Data!$A:$G,3,0)</f>
        <v>Active</v>
      </c>
      <c r="C60" s="4" t="str">
        <f>VLOOKUP(G60,Data!$A:$G,4,0)</f>
        <v>Hooghly</v>
      </c>
      <c r="D60" s="4" t="str">
        <f>VLOOKUP(G60,Data!$A:$G,5,0)</f>
        <v>Jhargram</v>
      </c>
      <c r="E60" s="4" t="str">
        <f>VLOOKUP(G60,Data!$A:$G,6,0)</f>
        <v>Sk Imran</v>
      </c>
      <c r="F60" s="10" t="str">
        <f>VLOOKUP(G60,Data!$A:$G,7,0)</f>
        <v>2390311695</v>
      </c>
      <c r="G60" s="5">
        <v>22452</v>
      </c>
      <c r="H60" s="7">
        <f>VLOOKUP(G60,'FI txn'!$G:$H,2,0)</f>
        <v>6</v>
      </c>
      <c r="I60" s="7">
        <f t="shared" si="3"/>
        <v>1800</v>
      </c>
      <c r="J60" s="8">
        <v>804550</v>
      </c>
      <c r="K60" s="8">
        <v>507850</v>
      </c>
      <c r="L60" s="8">
        <v>651250</v>
      </c>
      <c r="M60" s="8">
        <v>1167900</v>
      </c>
      <c r="N60" s="8">
        <v>1030400</v>
      </c>
      <c r="O60" s="8"/>
      <c r="P60" s="8"/>
      <c r="Q60" s="8"/>
      <c r="R60" s="8"/>
      <c r="S60" s="8"/>
      <c r="T60" s="8"/>
      <c r="U60" s="8"/>
      <c r="V60" s="8">
        <f t="shared" si="4"/>
        <v>4161950</v>
      </c>
      <c r="W60" s="9">
        <f t="shared" si="5"/>
        <v>693658.33333333337</v>
      </c>
    </row>
    <row r="61" spans="1:23" x14ac:dyDescent="0.3">
      <c r="A61" s="4" t="str">
        <f>VLOOKUP(G61,Data!$A:$G,2,0)</f>
        <v>Chandi Charan Mahato</v>
      </c>
      <c r="B61" s="4" t="str">
        <f>VLOOKUP(G61,Data!$A:$G,3,0)</f>
        <v>Inactive</v>
      </c>
      <c r="C61" s="4" t="str">
        <f>VLOOKUP(G61,Data!$A:$G,4,0)</f>
        <v>Durgapur</v>
      </c>
      <c r="D61" s="4" t="str">
        <f>VLOOKUP(G61,Data!$A:$G,5,0)</f>
        <v>Patrasayer</v>
      </c>
      <c r="E61" s="4" t="str">
        <f>VLOOKUP(G61,Data!$A:$G,6,0)</f>
        <v>Bula Karmakar</v>
      </c>
      <c r="F61" s="10" t="str">
        <f>VLOOKUP(G61,Data!$A:$G,7,0)</f>
        <v>2160315824</v>
      </c>
      <c r="G61" s="5">
        <v>29069</v>
      </c>
      <c r="H61" s="7">
        <f>VLOOKUP(G61,'FI txn'!$G:$H,2,0)</f>
        <v>5</v>
      </c>
      <c r="I61" s="7">
        <f t="shared" si="3"/>
        <v>1500</v>
      </c>
      <c r="J61" s="8">
        <v>66800</v>
      </c>
      <c r="K61" s="8">
        <v>522400</v>
      </c>
      <c r="L61" s="8">
        <v>1830208</v>
      </c>
      <c r="M61" s="8">
        <v>408100</v>
      </c>
      <c r="N61" s="8">
        <v>435800</v>
      </c>
      <c r="O61" s="8"/>
      <c r="P61" s="8"/>
      <c r="Q61" s="8"/>
      <c r="R61" s="8"/>
      <c r="S61" s="8"/>
      <c r="T61" s="8"/>
      <c r="U61" s="8"/>
      <c r="V61" s="8">
        <f t="shared" si="4"/>
        <v>3263308</v>
      </c>
      <c r="W61" s="9">
        <f t="shared" si="5"/>
        <v>652661.6</v>
      </c>
    </row>
    <row r="62" spans="1:23" x14ac:dyDescent="0.3">
      <c r="A62" s="4" t="str">
        <f>VLOOKUP(G62,Data!$A:$G,2,0)</f>
        <v>Under Office (W Medinipur)</v>
      </c>
      <c r="B62" s="4" t="str">
        <f>VLOOKUP(G62,Data!$A:$G,3,0)</f>
        <v>Active</v>
      </c>
      <c r="C62" s="4" t="str">
        <f>VLOOKUP(G62,Data!$A:$G,4,0)</f>
        <v>Hooghly</v>
      </c>
      <c r="D62" s="4" t="str">
        <f>VLOOKUP(G62,Data!$A:$G,5,0)</f>
        <v>Banka</v>
      </c>
      <c r="E62" s="4" t="str">
        <f>VLOOKUP(G62,Data!$A:$G,6,0)</f>
        <v>Shampa Mandal</v>
      </c>
      <c r="F62" s="10" t="str">
        <f>VLOOKUP(G62,Data!$A:$G,7,0)</f>
        <v>2390312439</v>
      </c>
      <c r="G62" s="5">
        <v>23431</v>
      </c>
      <c r="H62" s="7">
        <f>VLOOKUP(G62,'FI txn'!$G:$H,2,0)</f>
        <v>6</v>
      </c>
      <c r="I62" s="7">
        <f t="shared" si="3"/>
        <v>1800</v>
      </c>
      <c r="J62" s="8">
        <v>694880</v>
      </c>
      <c r="K62" s="8">
        <v>244799</v>
      </c>
      <c r="L62" s="8">
        <v>669610</v>
      </c>
      <c r="M62" s="8">
        <v>676750</v>
      </c>
      <c r="N62" s="8">
        <v>482550</v>
      </c>
      <c r="O62" s="8"/>
      <c r="P62" s="8"/>
      <c r="Q62" s="8"/>
      <c r="R62" s="8"/>
      <c r="S62" s="8"/>
      <c r="T62" s="8"/>
      <c r="U62" s="8"/>
      <c r="V62" s="8">
        <f t="shared" si="4"/>
        <v>2768589</v>
      </c>
      <c r="W62" s="9">
        <f t="shared" si="5"/>
        <v>461431.5</v>
      </c>
    </row>
    <row r="63" spans="1:23" x14ac:dyDescent="0.3">
      <c r="A63" s="4" t="str">
        <f>VLOOKUP(G63,Data!$A:$G,2,0)</f>
        <v>Santanu Bera</v>
      </c>
      <c r="B63" s="4" t="str">
        <f>VLOOKUP(G63,Data!$A:$G,3,0)</f>
        <v>Active</v>
      </c>
      <c r="C63" s="4" t="str">
        <f>VLOOKUP(G63,Data!$A:$G,4,0)</f>
        <v>Hooghly</v>
      </c>
      <c r="D63" s="4" t="str">
        <f>VLOOKUP(G63,Data!$A:$G,5,0)</f>
        <v>Kolaghat (Ktpps)</v>
      </c>
      <c r="E63" s="4" t="str">
        <f>VLOOKUP(G63,Data!$A:$G,6,0)</f>
        <v>Sudipta Mandal</v>
      </c>
      <c r="F63" s="10" t="str">
        <f>VLOOKUP(G63,Data!$A:$G,7,0)</f>
        <v>2380315163</v>
      </c>
      <c r="G63" s="5">
        <v>27637</v>
      </c>
      <c r="H63" s="7">
        <f>VLOOKUP(G63,'FI txn'!$G:$H,2,0)</f>
        <v>6</v>
      </c>
      <c r="I63" s="7">
        <f t="shared" si="3"/>
        <v>1800</v>
      </c>
      <c r="J63" s="8">
        <v>873200</v>
      </c>
      <c r="K63" s="8">
        <v>570090</v>
      </c>
      <c r="L63" s="8">
        <v>396550</v>
      </c>
      <c r="M63" s="8">
        <v>250400</v>
      </c>
      <c r="N63" s="8">
        <v>1182050</v>
      </c>
      <c r="O63" s="8"/>
      <c r="P63" s="8"/>
      <c r="Q63" s="8"/>
      <c r="R63" s="8"/>
      <c r="S63" s="8"/>
      <c r="T63" s="8"/>
      <c r="U63" s="8"/>
      <c r="V63" s="8">
        <f t="shared" si="4"/>
        <v>3272290</v>
      </c>
      <c r="W63" s="9">
        <f t="shared" si="5"/>
        <v>545381.66666666663</v>
      </c>
    </row>
    <row r="64" spans="1:23" x14ac:dyDescent="0.3">
      <c r="A64" s="4" t="str">
        <f>VLOOKUP(G64,Data!$A:$G,2,0)</f>
        <v>Under Office (W Medinipur)</v>
      </c>
      <c r="B64" s="4" t="str">
        <f>VLOOKUP(G64,Data!$A:$G,3,0)</f>
        <v>Active</v>
      </c>
      <c r="C64" s="4" t="str">
        <f>VLOOKUP(G64,Data!$A:$G,4,0)</f>
        <v>Hooghly</v>
      </c>
      <c r="D64" s="4" t="str">
        <f>VLOOKUP(G64,Data!$A:$G,5,0)</f>
        <v>Kankabati</v>
      </c>
      <c r="E64" s="4" t="str">
        <f>VLOOKUP(G64,Data!$A:$G,6,0)</f>
        <v>Mita Samanta</v>
      </c>
      <c r="F64" s="10" t="str">
        <f>VLOOKUP(G64,Data!$A:$G,7,0)</f>
        <v>2390311663</v>
      </c>
      <c r="G64" s="5">
        <v>22401</v>
      </c>
      <c r="H64" s="7">
        <f>VLOOKUP(G64,'FI txn'!$G:$H,2,0)</f>
        <v>6</v>
      </c>
      <c r="I64" s="7">
        <f t="shared" si="3"/>
        <v>1800</v>
      </c>
      <c r="J64" s="8">
        <v>483150</v>
      </c>
      <c r="K64" s="8">
        <v>556200</v>
      </c>
      <c r="L64" s="8">
        <v>343508</v>
      </c>
      <c r="M64" s="8">
        <v>342150</v>
      </c>
      <c r="N64" s="8">
        <v>285500</v>
      </c>
      <c r="O64" s="8"/>
      <c r="P64" s="8"/>
      <c r="Q64" s="8"/>
      <c r="R64" s="8"/>
      <c r="S64" s="8"/>
      <c r="T64" s="8"/>
      <c r="U64" s="8"/>
      <c r="V64" s="8">
        <f t="shared" si="4"/>
        <v>2010508</v>
      </c>
      <c r="W64" s="9">
        <f t="shared" si="5"/>
        <v>335084.66666666669</v>
      </c>
    </row>
    <row r="65" spans="1:23" x14ac:dyDescent="0.3">
      <c r="A65" s="4" t="str">
        <f>VLOOKUP(G65,Data!$A:$G,2,0)</f>
        <v>Sunil Biswas</v>
      </c>
      <c r="B65" s="4" t="str">
        <f>VLOOKUP(G65,Data!$A:$G,3,0)</f>
        <v>Active</v>
      </c>
      <c r="C65" s="4" t="str">
        <f>VLOOKUP(G65,Data!$A:$G,4,0)</f>
        <v>Durgapur</v>
      </c>
      <c r="D65" s="4" t="str">
        <f>VLOOKUP(G65,Data!$A:$G,5,0)</f>
        <v>Santipur</v>
      </c>
      <c r="E65" s="4" t="str">
        <f>VLOOKUP(G65,Data!$A:$G,6,0)</f>
        <v>Najmira Khatun</v>
      </c>
      <c r="F65" s="10" t="str">
        <f>VLOOKUP(G65,Data!$A:$G,7,0)</f>
        <v>2430315335</v>
      </c>
      <c r="G65" s="5">
        <v>28075</v>
      </c>
      <c r="H65" s="7">
        <f>VLOOKUP(G65,'FI txn'!$G:$H,2,0)</f>
        <v>6</v>
      </c>
      <c r="I65" s="7">
        <f t="shared" si="3"/>
        <v>1800</v>
      </c>
      <c r="J65" s="8">
        <v>456330</v>
      </c>
      <c r="K65" s="8">
        <v>377700</v>
      </c>
      <c r="L65" s="8">
        <v>269500</v>
      </c>
      <c r="M65" s="8">
        <v>586420</v>
      </c>
      <c r="N65" s="8">
        <v>401900</v>
      </c>
      <c r="O65" s="8"/>
      <c r="P65" s="8"/>
      <c r="Q65" s="8"/>
      <c r="R65" s="8"/>
      <c r="S65" s="8"/>
      <c r="T65" s="8"/>
      <c r="U65" s="8"/>
      <c r="V65" s="8">
        <f t="shared" si="4"/>
        <v>2091850</v>
      </c>
      <c r="W65" s="9">
        <f t="shared" si="5"/>
        <v>348641.66666666669</v>
      </c>
    </row>
    <row r="66" spans="1:23" x14ac:dyDescent="0.3">
      <c r="A66" s="4" t="str">
        <f>VLOOKUP(G66,Data!$A:$G,2,0)</f>
        <v>Under Office (W Medinipur)</v>
      </c>
      <c r="B66" s="4" t="str">
        <f>VLOOKUP(G66,Data!$A:$G,3,0)</f>
        <v>Active</v>
      </c>
      <c r="C66" s="4" t="str">
        <f>VLOOKUP(G66,Data!$A:$G,4,0)</f>
        <v>Hooghly</v>
      </c>
      <c r="D66" s="4" t="str">
        <f>VLOOKUP(G66,Data!$A:$G,5,0)</f>
        <v>Ghatal</v>
      </c>
      <c r="E66" s="4" t="str">
        <f>VLOOKUP(G66,Data!$A:$G,6,0)</f>
        <v>Chandan Satik</v>
      </c>
      <c r="F66" s="10" t="str">
        <f>VLOOKUP(G66,Data!$A:$G,7,0)</f>
        <v>2390311662</v>
      </c>
      <c r="G66" s="5">
        <v>22400</v>
      </c>
      <c r="H66" s="7">
        <f>VLOOKUP(G66,'FI txn'!$G:$H,2,0)</f>
        <v>6</v>
      </c>
      <c r="I66" s="7">
        <f t="shared" ref="I66:I97" si="6">H66*300</f>
        <v>1800</v>
      </c>
      <c r="J66" s="8">
        <v>569500</v>
      </c>
      <c r="K66" s="8">
        <v>305700</v>
      </c>
      <c r="L66" s="8">
        <v>128500</v>
      </c>
      <c r="M66" s="8">
        <v>262300</v>
      </c>
      <c r="N66" s="8">
        <v>259000</v>
      </c>
      <c r="O66" s="8"/>
      <c r="P66" s="8"/>
      <c r="Q66" s="8"/>
      <c r="R66" s="8"/>
      <c r="S66" s="8"/>
      <c r="T66" s="8"/>
      <c r="U66" s="8"/>
      <c r="V66" s="8">
        <f t="shared" ref="V66:V89" si="7">SUM(J66:U66)</f>
        <v>1525000</v>
      </c>
      <c r="W66" s="9">
        <f t="shared" ref="W66:W86" si="8">V66/H66</f>
        <v>254166.66666666666</v>
      </c>
    </row>
    <row r="67" spans="1:23" x14ac:dyDescent="0.3">
      <c r="A67" s="4" t="str">
        <f>VLOOKUP(G67,Data!$A:$G,2,0)</f>
        <v>Shyamalesh Sarkar</v>
      </c>
      <c r="B67" s="4" t="str">
        <f>VLOOKUP(G67,Data!$A:$G,3,0)</f>
        <v>Active</v>
      </c>
      <c r="C67" s="4" t="str">
        <f>VLOOKUP(G67,Data!$A:$G,4,0)</f>
        <v>Siliguri</v>
      </c>
      <c r="D67" s="4" t="str">
        <f>VLOOKUP(G67,Data!$A:$G,5,0)</f>
        <v>Sagardighi Square</v>
      </c>
      <c r="E67" s="4" t="str">
        <f>VLOOKUP(G67,Data!$A:$G,6,0)</f>
        <v xml:space="preserve">Khurshid Alom </v>
      </c>
      <c r="F67" s="10" t="str">
        <f>VLOOKUP(G67,Data!$A:$G,7,0)</f>
        <v>2200311941</v>
      </c>
      <c r="G67" s="5">
        <v>22768</v>
      </c>
      <c r="H67" s="7">
        <f>VLOOKUP(G67,'FI txn'!$G:$H,2,0)</f>
        <v>6</v>
      </c>
      <c r="I67" s="7">
        <f t="shared" si="6"/>
        <v>1800</v>
      </c>
      <c r="J67" s="8">
        <v>422160</v>
      </c>
      <c r="K67" s="8">
        <v>263840</v>
      </c>
      <c r="L67" s="8">
        <v>207300</v>
      </c>
      <c r="M67" s="8">
        <v>161050</v>
      </c>
      <c r="N67" s="8">
        <v>219470</v>
      </c>
      <c r="O67" s="8"/>
      <c r="P67" s="8"/>
      <c r="Q67" s="8"/>
      <c r="R67" s="8"/>
      <c r="S67" s="8"/>
      <c r="T67" s="8"/>
      <c r="U67" s="8"/>
      <c r="V67" s="8">
        <f t="shared" si="7"/>
        <v>1273820</v>
      </c>
      <c r="W67" s="9">
        <f t="shared" si="8"/>
        <v>212303.33333333334</v>
      </c>
    </row>
    <row r="68" spans="1:23" x14ac:dyDescent="0.3">
      <c r="A68" s="4" t="str">
        <f>VLOOKUP(G68,Data!$A:$G,2,0)</f>
        <v>Pijush Singha</v>
      </c>
      <c r="B68" s="4" t="str">
        <f>VLOOKUP(G68,Data!$A:$G,3,0)</f>
        <v>Active</v>
      </c>
      <c r="C68" s="4" t="str">
        <f>VLOOKUP(G68,Data!$A:$G,4,0)</f>
        <v>Siliguri</v>
      </c>
      <c r="D68" s="4" t="str">
        <f>VLOOKUP(G68,Data!$A:$G,5,0)</f>
        <v>Dhuliyan</v>
      </c>
      <c r="E68" s="4" t="str">
        <f>VLOOKUP(G68,Data!$A:$G,6,0)</f>
        <v>Md Asraful Hoque</v>
      </c>
      <c r="F68" s="10" t="str">
        <f>VLOOKUP(G68,Data!$A:$G,7,0)</f>
        <v>2410313985</v>
      </c>
      <c r="G68" s="5">
        <v>25557</v>
      </c>
      <c r="H68" s="7">
        <f>VLOOKUP(G68,'FI txn'!$G:$H,2,0)</f>
        <v>6</v>
      </c>
      <c r="I68" s="7">
        <f t="shared" si="6"/>
        <v>1800</v>
      </c>
      <c r="J68" s="8">
        <v>44048</v>
      </c>
      <c r="K68" s="8">
        <v>83980</v>
      </c>
      <c r="L68" s="8">
        <v>131800</v>
      </c>
      <c r="M68" s="8">
        <v>507470</v>
      </c>
      <c r="N68" s="8">
        <v>86418</v>
      </c>
      <c r="O68" s="8"/>
      <c r="P68" s="8"/>
      <c r="Q68" s="8"/>
      <c r="R68" s="8"/>
      <c r="S68" s="8"/>
      <c r="T68" s="8"/>
      <c r="U68" s="8"/>
      <c r="V68" s="8">
        <f t="shared" si="7"/>
        <v>853716</v>
      </c>
      <c r="W68" s="9">
        <f t="shared" si="8"/>
        <v>142286</v>
      </c>
    </row>
    <row r="69" spans="1:23" x14ac:dyDescent="0.3">
      <c r="A69" s="4" t="str">
        <f>VLOOKUP(G69,Data!$A:$G,2,0)</f>
        <v>Santanu Bera</v>
      </c>
      <c r="B69" s="4" t="str">
        <f>VLOOKUP(G69,Data!$A:$G,3,0)</f>
        <v>Active</v>
      </c>
      <c r="C69" s="4" t="str">
        <f>VLOOKUP(G69,Data!$A:$G,4,0)</f>
        <v>Hooghly</v>
      </c>
      <c r="D69" s="4" t="str">
        <f>VLOOKUP(G69,Data!$A:$G,5,0)</f>
        <v>Keshapat</v>
      </c>
      <c r="E69" s="4" t="str">
        <f>VLOOKUP(G69,Data!$A:$G,6,0)</f>
        <v>Subhankar Samanta</v>
      </c>
      <c r="F69" s="10" t="str">
        <f>VLOOKUP(G69,Data!$A:$G,7,0)</f>
        <v>2380311664</v>
      </c>
      <c r="G69" s="5">
        <v>22402</v>
      </c>
      <c r="H69" s="7">
        <f>VLOOKUP(G69,'FI txn'!$G:$H,2,0)</f>
        <v>6</v>
      </c>
      <c r="I69" s="7">
        <f t="shared" si="6"/>
        <v>1800</v>
      </c>
      <c r="J69" s="8">
        <v>181600</v>
      </c>
      <c r="K69" s="8">
        <v>148100</v>
      </c>
      <c r="L69" s="8">
        <v>166900</v>
      </c>
      <c r="M69" s="8">
        <v>264300</v>
      </c>
      <c r="N69" s="8">
        <v>111500</v>
      </c>
      <c r="O69" s="8"/>
      <c r="P69" s="8"/>
      <c r="Q69" s="8"/>
      <c r="R69" s="8"/>
      <c r="S69" s="8"/>
      <c r="T69" s="8"/>
      <c r="U69" s="8"/>
      <c r="V69" s="8">
        <f t="shared" si="7"/>
        <v>872400</v>
      </c>
      <c r="W69" s="9">
        <f t="shared" si="8"/>
        <v>145400</v>
      </c>
    </row>
    <row r="70" spans="1:23" x14ac:dyDescent="0.3">
      <c r="A70" s="4" t="str">
        <f>VLOOKUP(G70,Data!$A:$G,2,0)</f>
        <v>Manindra Nath Barman</v>
      </c>
      <c r="B70" s="4" t="str">
        <f>VLOOKUP(G70,Data!$A:$G,3,0)</f>
        <v>Active</v>
      </c>
      <c r="C70" s="4" t="str">
        <f>VLOOKUP(G70,Data!$A:$G,4,0)</f>
        <v>Siliguri</v>
      </c>
      <c r="D70" s="4" t="str">
        <f>VLOOKUP(G70,Data!$A:$G,5,0)</f>
        <v>Barobisha</v>
      </c>
      <c r="E70" s="4" t="str">
        <f>VLOOKUP(G70,Data!$A:$G,6,0)</f>
        <v>Sankar Arya</v>
      </c>
      <c r="F70" s="10" t="str">
        <f>VLOOKUP(G70,Data!$A:$G,7,0)</f>
        <v>2200315639</v>
      </c>
      <c r="G70" s="5">
        <v>28692</v>
      </c>
      <c r="H70" s="7">
        <f>VLOOKUP(G70,'FI txn'!$G:$H,2,0)</f>
        <v>6</v>
      </c>
      <c r="I70" s="7">
        <f t="shared" si="6"/>
        <v>1800</v>
      </c>
      <c r="J70" s="8">
        <v>280920</v>
      </c>
      <c r="K70" s="8">
        <v>164950</v>
      </c>
      <c r="L70" s="8">
        <v>156600</v>
      </c>
      <c r="M70" s="8">
        <v>101100</v>
      </c>
      <c r="N70" s="8">
        <v>324300</v>
      </c>
      <c r="O70" s="8"/>
      <c r="P70" s="8"/>
      <c r="Q70" s="8"/>
      <c r="R70" s="8"/>
      <c r="S70" s="8"/>
      <c r="T70" s="8"/>
      <c r="U70" s="8"/>
      <c r="V70" s="8">
        <f t="shared" si="7"/>
        <v>1027870</v>
      </c>
      <c r="W70" s="9">
        <f t="shared" si="8"/>
        <v>171311.66666666666</v>
      </c>
    </row>
    <row r="71" spans="1:23" x14ac:dyDescent="0.3">
      <c r="A71" s="4" t="str">
        <f>VLOOKUP(G71,Data!$A:$G,2,0)</f>
        <v>Sunil Biswas</v>
      </c>
      <c r="B71" s="4" t="str">
        <f>VLOOKUP(G71,Data!$A:$G,3,0)</f>
        <v>Inactive</v>
      </c>
      <c r="C71" s="4" t="str">
        <f>VLOOKUP(G71,Data!$A:$G,4,0)</f>
        <v>Durgapur</v>
      </c>
      <c r="D71" s="4" t="str">
        <f>VLOOKUP(G71,Data!$A:$G,5,0)</f>
        <v>Chakdaha</v>
      </c>
      <c r="E71" s="4" t="str">
        <f>VLOOKUP(G71,Data!$A:$G,6,0)</f>
        <v>Kiran Biswas</v>
      </c>
      <c r="F71" s="10" t="str">
        <f>VLOOKUP(G71,Data!$A:$G,7,0)</f>
        <v>2430315343</v>
      </c>
      <c r="G71" s="5">
        <v>28083</v>
      </c>
      <c r="H71" s="7">
        <f>VLOOKUP(G71,'FI txn'!$G:$H,2,0)</f>
        <v>5</v>
      </c>
      <c r="I71" s="7">
        <f t="shared" si="6"/>
        <v>1500</v>
      </c>
      <c r="J71" s="8">
        <v>257400</v>
      </c>
      <c r="K71" s="8">
        <v>130400</v>
      </c>
      <c r="L71" s="8">
        <v>113380</v>
      </c>
      <c r="M71" s="8">
        <v>181900</v>
      </c>
      <c r="N71" s="8">
        <v>76300</v>
      </c>
      <c r="O71" s="8"/>
      <c r="P71" s="8"/>
      <c r="Q71" s="8"/>
      <c r="R71" s="8"/>
      <c r="S71" s="8"/>
      <c r="T71" s="8"/>
      <c r="U71" s="8"/>
      <c r="V71" s="8">
        <f t="shared" si="7"/>
        <v>759380</v>
      </c>
      <c r="W71" s="9">
        <f t="shared" si="8"/>
        <v>151876</v>
      </c>
    </row>
    <row r="72" spans="1:23" x14ac:dyDescent="0.3">
      <c r="A72" s="4" t="str">
        <f>VLOOKUP(G72,Data!$A:$G,2,0)</f>
        <v>Souvik Maity</v>
      </c>
      <c r="B72" s="4" t="str">
        <f>VLOOKUP(G72,Data!$A:$G,3,0)</f>
        <v>Active</v>
      </c>
      <c r="C72" s="4" t="str">
        <f>VLOOKUP(G72,Data!$A:$G,4,0)</f>
        <v>Hooghly</v>
      </c>
      <c r="D72" s="4" t="str">
        <f>VLOOKUP(G72,Data!$A:$G,5,0)</f>
        <v>Saidpur</v>
      </c>
      <c r="E72" s="4" t="str">
        <f>VLOOKUP(G72,Data!$A:$G,6,0)</f>
        <v>Puja Manna</v>
      </c>
      <c r="F72" s="10" t="str">
        <f>VLOOKUP(G72,Data!$A:$G,7,0)</f>
        <v>3390311696</v>
      </c>
      <c r="G72" s="5">
        <v>22453</v>
      </c>
      <c r="H72" s="7">
        <f>VLOOKUP(G72,'FI txn'!$G:$H,2,0)</f>
        <v>6</v>
      </c>
      <c r="I72" s="7">
        <f t="shared" si="6"/>
        <v>1800</v>
      </c>
      <c r="J72" s="8">
        <v>58000</v>
      </c>
      <c r="K72" s="8">
        <v>109700</v>
      </c>
      <c r="L72" s="8">
        <v>89600</v>
      </c>
      <c r="M72" s="8">
        <v>190600</v>
      </c>
      <c r="N72" s="8">
        <v>207200</v>
      </c>
      <c r="O72" s="8"/>
      <c r="P72" s="8"/>
      <c r="Q72" s="8"/>
      <c r="R72" s="8"/>
      <c r="S72" s="8"/>
      <c r="T72" s="8"/>
      <c r="U72" s="8"/>
      <c r="V72" s="8">
        <f t="shared" si="7"/>
        <v>655100</v>
      </c>
      <c r="W72" s="9">
        <f t="shared" si="8"/>
        <v>109183.33333333333</v>
      </c>
    </row>
    <row r="73" spans="1:23" x14ac:dyDescent="0.3">
      <c r="A73" s="4" t="str">
        <f>VLOOKUP(G73,Data!$A:$G,2,0)</f>
        <v>Sunil Biswas</v>
      </c>
      <c r="B73" s="4" t="str">
        <f>VLOOKUP(G73,Data!$A:$G,3,0)</f>
        <v>Active</v>
      </c>
      <c r="C73" s="4" t="str">
        <f>VLOOKUP(G73,Data!$A:$G,4,0)</f>
        <v>Durgapur</v>
      </c>
      <c r="D73" s="4" t="str">
        <f>VLOOKUP(G73,Data!$A:$G,5,0)</f>
        <v>Hridaypur</v>
      </c>
      <c r="E73" s="4" t="str">
        <f>VLOOKUP(G73,Data!$A:$G,6,0)</f>
        <v>Suman Ghosh</v>
      </c>
      <c r="F73" s="10" t="str">
        <f>VLOOKUP(G73,Data!$A:$G,7,0)</f>
        <v>8116659114</v>
      </c>
      <c r="G73" s="5">
        <v>29525</v>
      </c>
      <c r="H73" s="7">
        <f>VLOOKUP(G73,'FI txn'!$G:$H,2,0)</f>
        <v>4</v>
      </c>
      <c r="I73" s="7">
        <f t="shared" si="6"/>
        <v>1200</v>
      </c>
      <c r="J73" s="8"/>
      <c r="K73" s="8"/>
      <c r="L73" s="8">
        <v>114100</v>
      </c>
      <c r="M73" s="8">
        <v>304900</v>
      </c>
      <c r="N73" s="8">
        <v>232800</v>
      </c>
      <c r="O73" s="8"/>
      <c r="P73" s="8"/>
      <c r="Q73" s="8"/>
      <c r="R73" s="8"/>
      <c r="S73" s="8"/>
      <c r="T73" s="8"/>
      <c r="U73" s="8"/>
      <c r="V73" s="8">
        <f t="shared" si="7"/>
        <v>651800</v>
      </c>
      <c r="W73" s="9">
        <f t="shared" si="8"/>
        <v>162950</v>
      </c>
    </row>
    <row r="74" spans="1:23" x14ac:dyDescent="0.3">
      <c r="A74" s="4" t="str">
        <f>VLOOKUP(G74,Data!$A:$G,2,0)</f>
        <v>Santanu Bera</v>
      </c>
      <c r="B74" s="4" t="str">
        <f>VLOOKUP(G74,Data!$A:$G,3,0)</f>
        <v>Active</v>
      </c>
      <c r="C74" s="4" t="str">
        <f>VLOOKUP(G74,Data!$A:$G,4,0)</f>
        <v>Hooghly</v>
      </c>
      <c r="D74" s="4" t="str">
        <f>VLOOKUP(G74,Data!$A:$G,5,0)</f>
        <v>Tamluk</v>
      </c>
      <c r="E74" s="4" t="str">
        <f>VLOOKUP(G74,Data!$A:$G,6,0)</f>
        <v>Soumen Baichar</v>
      </c>
      <c r="F74" s="10" t="str">
        <f>VLOOKUP(G74,Data!$A:$G,7,0)</f>
        <v>2390314474</v>
      </c>
      <c r="G74" s="5">
        <v>26530</v>
      </c>
      <c r="H74" s="7">
        <f>VLOOKUP(G74,'FI txn'!$G:$H,2,0)</f>
        <v>6</v>
      </c>
      <c r="I74" s="7">
        <f t="shared" si="6"/>
        <v>1800</v>
      </c>
      <c r="J74" s="8">
        <v>83030</v>
      </c>
      <c r="K74" s="8">
        <v>116288</v>
      </c>
      <c r="L74" s="8">
        <v>40460</v>
      </c>
      <c r="M74" s="8">
        <v>154000</v>
      </c>
      <c r="N74" s="8">
        <v>82020</v>
      </c>
      <c r="O74" s="8"/>
      <c r="P74" s="8"/>
      <c r="Q74" s="8"/>
      <c r="R74" s="8"/>
      <c r="S74" s="8"/>
      <c r="T74" s="8"/>
      <c r="U74" s="8"/>
      <c r="V74" s="8">
        <f t="shared" si="7"/>
        <v>475798</v>
      </c>
      <c r="W74" s="9">
        <f t="shared" si="8"/>
        <v>79299.666666666672</v>
      </c>
    </row>
    <row r="75" spans="1:23" x14ac:dyDescent="0.3">
      <c r="A75" s="4" t="str">
        <f>VLOOKUP(G75,Data!$A:$G,2,0)</f>
        <v>Sunil Biswas</v>
      </c>
      <c r="B75" s="4" t="str">
        <f>VLOOKUP(G75,Data!$A:$G,3,0)</f>
        <v>Inactive</v>
      </c>
      <c r="C75" s="4" t="str">
        <f>VLOOKUP(G75,Data!$A:$G,4,0)</f>
        <v>Durgapur</v>
      </c>
      <c r="D75" s="4" t="str">
        <f>VLOOKUP(G75,Data!$A:$G,5,0)</f>
        <v>Badkulla</v>
      </c>
      <c r="E75" s="4" t="str">
        <f>VLOOKUP(G75,Data!$A:$G,6,0)</f>
        <v>Amit Sikder</v>
      </c>
      <c r="F75" s="10" t="str">
        <f>VLOOKUP(G75,Data!$A:$G,7,0)</f>
        <v>2430315185</v>
      </c>
      <c r="G75" s="5">
        <v>27731</v>
      </c>
      <c r="H75" s="7">
        <f>VLOOKUP(G75,'FI txn'!$G:$H,2,0)</f>
        <v>2</v>
      </c>
      <c r="I75" s="7">
        <f t="shared" si="6"/>
        <v>600</v>
      </c>
      <c r="J75" s="8">
        <v>183300</v>
      </c>
      <c r="K75" s="8">
        <v>198450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>
        <f t="shared" si="7"/>
        <v>381750</v>
      </c>
      <c r="W75" s="9">
        <f t="shared" si="8"/>
        <v>190875</v>
      </c>
    </row>
    <row r="76" spans="1:23" x14ac:dyDescent="0.3">
      <c r="A76" s="4" t="str">
        <f>VLOOKUP(G76,Data!$A:$G,2,0)</f>
        <v>Sunil Biswas</v>
      </c>
      <c r="B76" s="4" t="str">
        <f>VLOOKUP(G76,Data!$A:$G,3,0)</f>
        <v>Active</v>
      </c>
      <c r="C76" s="4" t="str">
        <f>VLOOKUP(G76,Data!$A:$G,4,0)</f>
        <v>Durgapur</v>
      </c>
      <c r="D76" s="4" t="str">
        <f>VLOOKUP(G76,Data!$A:$G,5,0)</f>
        <v>Ranaghat</v>
      </c>
      <c r="E76" s="4" t="str">
        <f>VLOOKUP(G76,Data!$A:$G,6,0)</f>
        <v>Kishore Bhakta</v>
      </c>
      <c r="F76" s="10" t="str">
        <f>VLOOKUP(G76,Data!$A:$G,7,0)</f>
        <v>2430315568</v>
      </c>
      <c r="G76" s="5">
        <v>28482</v>
      </c>
      <c r="H76" s="7">
        <f>VLOOKUP(G76,'FI txn'!$G:$H,2,0)</f>
        <v>6</v>
      </c>
      <c r="I76" s="7">
        <f t="shared" si="6"/>
        <v>1800</v>
      </c>
      <c r="J76" s="8">
        <v>90140</v>
      </c>
      <c r="K76" s="8">
        <v>100170</v>
      </c>
      <c r="L76" s="8">
        <v>55110</v>
      </c>
      <c r="M76" s="8">
        <v>106010</v>
      </c>
      <c r="N76" s="8">
        <v>93076</v>
      </c>
      <c r="O76" s="8"/>
      <c r="P76" s="8"/>
      <c r="Q76" s="8"/>
      <c r="R76" s="8"/>
      <c r="S76" s="8"/>
      <c r="T76" s="8"/>
      <c r="U76" s="8"/>
      <c r="V76" s="8">
        <f t="shared" si="7"/>
        <v>444506</v>
      </c>
      <c r="W76" s="9">
        <f t="shared" si="8"/>
        <v>74084.333333333328</v>
      </c>
    </row>
    <row r="77" spans="1:23" x14ac:dyDescent="0.3">
      <c r="A77" s="4" t="str">
        <f>VLOOKUP(G77,Data!$A:$G,2,0)</f>
        <v>Santanu Bera</v>
      </c>
      <c r="B77" s="4" t="str">
        <f>VLOOKUP(G77,Data!$A:$G,3,0)</f>
        <v>Active</v>
      </c>
      <c r="C77" s="4" t="str">
        <f>VLOOKUP(G77,Data!$A:$G,4,0)</f>
        <v>Hooghly</v>
      </c>
      <c r="D77" s="4" t="str">
        <f>VLOOKUP(G77,Data!$A:$G,5,0)</f>
        <v>Contai</v>
      </c>
      <c r="E77" s="4" t="str">
        <f>VLOOKUP(G77,Data!$A:$G,6,0)</f>
        <v>Subhankar Sahoo</v>
      </c>
      <c r="F77" s="10" t="str">
        <f>VLOOKUP(G77,Data!$A:$G,7,0)</f>
        <v>2380314983</v>
      </c>
      <c r="G77" s="5">
        <v>27249</v>
      </c>
      <c r="H77" s="7">
        <f>VLOOKUP(G77,'FI txn'!$G:$H,2,0)</f>
        <v>6</v>
      </c>
      <c r="I77" s="7">
        <f t="shared" si="6"/>
        <v>1800</v>
      </c>
      <c r="J77" s="8">
        <v>123700</v>
      </c>
      <c r="K77" s="8">
        <v>65800</v>
      </c>
      <c r="L77" s="8">
        <v>16700</v>
      </c>
      <c r="M77" s="8">
        <v>47000</v>
      </c>
      <c r="N77" s="8">
        <v>96800</v>
      </c>
      <c r="O77" s="8"/>
      <c r="P77" s="8"/>
      <c r="Q77" s="8"/>
      <c r="R77" s="8"/>
      <c r="S77" s="8"/>
      <c r="T77" s="8"/>
      <c r="U77" s="8"/>
      <c r="V77" s="8">
        <f t="shared" si="7"/>
        <v>350000</v>
      </c>
      <c r="W77" s="9">
        <f t="shared" si="8"/>
        <v>58333.333333333336</v>
      </c>
    </row>
    <row r="78" spans="1:23" x14ac:dyDescent="0.3">
      <c r="A78" s="4" t="str">
        <f>VLOOKUP(G78,Data!$A:$G,2,0)</f>
        <v>Souvik Maity</v>
      </c>
      <c r="B78" s="4" t="str">
        <f>VLOOKUP(G78,Data!$A:$G,3,0)</f>
        <v>Active</v>
      </c>
      <c r="C78" s="4" t="str">
        <f>VLOOKUP(G78,Data!$A:$G,4,0)</f>
        <v>Hooghly</v>
      </c>
      <c r="D78" s="4" t="str">
        <f>VLOOKUP(G78,Data!$A:$G,5,0)</f>
        <v>Dasghara</v>
      </c>
      <c r="E78" s="4" t="str">
        <f>VLOOKUP(G78,Data!$A:$G,6,0)</f>
        <v>Sabir Amed</v>
      </c>
      <c r="F78" s="10" t="str">
        <f>VLOOKUP(G78,Data!$A:$G,7,0)</f>
        <v>3390312282</v>
      </c>
      <c r="G78" s="5">
        <v>23214</v>
      </c>
      <c r="H78" s="7">
        <f>VLOOKUP(G78,'FI txn'!$G:$H,2,0)</f>
        <v>6</v>
      </c>
      <c r="I78" s="7">
        <f t="shared" si="6"/>
        <v>1800</v>
      </c>
      <c r="J78" s="8">
        <v>89500</v>
      </c>
      <c r="K78" s="8">
        <v>59130</v>
      </c>
      <c r="L78" s="8">
        <v>33550</v>
      </c>
      <c r="M78" s="8">
        <v>52400</v>
      </c>
      <c r="N78" s="8">
        <v>100000</v>
      </c>
      <c r="O78" s="8"/>
      <c r="P78" s="8"/>
      <c r="Q78" s="8"/>
      <c r="R78" s="8"/>
      <c r="S78" s="8"/>
      <c r="T78" s="8"/>
      <c r="U78" s="8"/>
      <c r="V78" s="8">
        <f t="shared" si="7"/>
        <v>334580</v>
      </c>
      <c r="W78" s="9">
        <f t="shared" si="8"/>
        <v>55763.333333333336</v>
      </c>
    </row>
    <row r="79" spans="1:23" x14ac:dyDescent="0.3">
      <c r="A79" s="4" t="str">
        <f>VLOOKUP(G79,Data!$A:$G,2,0)</f>
        <v>Sunil Biswas</v>
      </c>
      <c r="B79" s="4" t="str">
        <f>VLOOKUP(G79,Data!$A:$G,3,0)</f>
        <v>Active</v>
      </c>
      <c r="C79" s="4" t="str">
        <f>VLOOKUP(G79,Data!$A:$G,4,0)</f>
        <v>Durgapur</v>
      </c>
      <c r="D79" s="4" t="str">
        <f>VLOOKUP(G79,Data!$A:$G,5,0)</f>
        <v>Santipur</v>
      </c>
      <c r="E79" s="4" t="str">
        <f>VLOOKUP(G79,Data!$A:$G,6,0)</f>
        <v>Partha Dey</v>
      </c>
      <c r="F79" s="10" t="str">
        <f>VLOOKUP(G79,Data!$A:$G,7,0)</f>
        <v>2430315570</v>
      </c>
      <c r="G79" s="5">
        <v>29089</v>
      </c>
      <c r="H79" s="7">
        <f>VLOOKUP(G79,'FI txn'!$G:$H,2,0)</f>
        <v>6</v>
      </c>
      <c r="I79" s="7">
        <f t="shared" si="6"/>
        <v>1800</v>
      </c>
      <c r="J79" s="8">
        <v>3700</v>
      </c>
      <c r="K79" s="8">
        <v>10050</v>
      </c>
      <c r="L79" s="8">
        <v>66750</v>
      </c>
      <c r="M79" s="8">
        <v>137503</v>
      </c>
      <c r="N79" s="8">
        <v>127701</v>
      </c>
      <c r="O79" s="8"/>
      <c r="P79" s="8"/>
      <c r="Q79" s="8"/>
      <c r="R79" s="8"/>
      <c r="S79" s="8"/>
      <c r="T79" s="8"/>
      <c r="U79" s="8"/>
      <c r="V79" s="8">
        <f t="shared" si="7"/>
        <v>345704</v>
      </c>
      <c r="W79" s="9">
        <f t="shared" si="8"/>
        <v>57617.333333333336</v>
      </c>
    </row>
    <row r="80" spans="1:23" x14ac:dyDescent="0.3">
      <c r="A80" s="4" t="str">
        <f>VLOOKUP(G80,Data!$A:$G,2,0)</f>
        <v>Manindra Nath Barman</v>
      </c>
      <c r="B80" s="4" t="str">
        <f>VLOOKUP(G80,Data!$A:$G,3,0)</f>
        <v>Inactive</v>
      </c>
      <c r="C80" s="4" t="str">
        <f>VLOOKUP(G80,Data!$A:$G,4,0)</f>
        <v>Siliguri</v>
      </c>
      <c r="D80" s="4" t="str">
        <f>VLOOKUP(G80,Data!$A:$G,5,0)</f>
        <v>Buxa Forest Craja</v>
      </c>
      <c r="E80" s="4" t="str">
        <f>VLOOKUP(G80,Data!$A:$G,6,0)</f>
        <v xml:space="preserve">Md Khalique Ansari </v>
      </c>
      <c r="F80" s="10" t="str">
        <f>VLOOKUP(G80,Data!$A:$G,7,0)</f>
        <v>9490315684</v>
      </c>
      <c r="G80" s="5">
        <v>28825</v>
      </c>
      <c r="H80" s="7">
        <f>VLOOKUP(G80,'FI txn'!$G:$H,2,0)</f>
        <v>5</v>
      </c>
      <c r="I80" s="7">
        <f t="shared" si="6"/>
        <v>1500</v>
      </c>
      <c r="J80" s="8">
        <v>91000</v>
      </c>
      <c r="K80" s="8">
        <v>33000</v>
      </c>
      <c r="L80" s="8">
        <v>2100</v>
      </c>
      <c r="M80" s="8">
        <v>6550</v>
      </c>
      <c r="N80" s="8">
        <v>135050</v>
      </c>
      <c r="O80" s="8"/>
      <c r="P80" s="8"/>
      <c r="Q80" s="8"/>
      <c r="R80" s="8"/>
      <c r="S80" s="8"/>
      <c r="T80" s="8"/>
      <c r="U80" s="8"/>
      <c r="V80" s="8">
        <f t="shared" si="7"/>
        <v>267700</v>
      </c>
      <c r="W80" s="9">
        <f t="shared" si="8"/>
        <v>53540</v>
      </c>
    </row>
    <row r="81" spans="1:23" x14ac:dyDescent="0.3">
      <c r="A81" s="4" t="str">
        <f>VLOOKUP(G81,Data!$A:$G,2,0)</f>
        <v>Chandi Charan Mahato</v>
      </c>
      <c r="B81" s="4" t="s">
        <v>274</v>
      </c>
      <c r="C81" s="4" t="str">
        <f>VLOOKUP(G81,Data!$A:$G,4,0)</f>
        <v>Durgapur</v>
      </c>
      <c r="D81" s="4" t="str">
        <f>VLOOKUP(G81,Data!$A:$G,5,0)</f>
        <v>Patrasayer</v>
      </c>
      <c r="E81" s="4" t="str">
        <f>VLOOKUP(G81,Data!$A:$G,6,0)</f>
        <v xml:space="preserve">Manorama Chakraborty Roy </v>
      </c>
      <c r="F81" s="10" t="str">
        <f>VLOOKUP(G81,Data!$A:$G,7,0)</f>
        <v>2160315496</v>
      </c>
      <c r="G81" s="5">
        <v>28305</v>
      </c>
      <c r="H81" s="7">
        <f>VLOOKUP(G81,'FI txn'!$G:$H,2,0)</f>
        <v>4</v>
      </c>
      <c r="I81" s="7">
        <f t="shared" si="6"/>
        <v>1200</v>
      </c>
      <c r="J81" s="8">
        <v>52700</v>
      </c>
      <c r="K81" s="8">
        <v>4500</v>
      </c>
      <c r="L81" s="8"/>
      <c r="M81" s="8">
        <v>44200</v>
      </c>
      <c r="N81" s="8">
        <v>30000</v>
      </c>
      <c r="O81" s="8"/>
      <c r="P81" s="8"/>
      <c r="Q81" s="8"/>
      <c r="R81" s="8"/>
      <c r="S81" s="8"/>
      <c r="T81" s="8"/>
      <c r="U81" s="8"/>
      <c r="V81" s="8">
        <f t="shared" si="7"/>
        <v>131400</v>
      </c>
      <c r="W81" s="9">
        <f t="shared" si="8"/>
        <v>32850</v>
      </c>
    </row>
    <row r="82" spans="1:23" x14ac:dyDescent="0.3">
      <c r="A82" s="4" t="str">
        <f>VLOOKUP(G82,Data!$A:$G,2,0)</f>
        <v>Sunil Biswas</v>
      </c>
      <c r="B82" s="4" t="str">
        <f>VLOOKUP(G82,Data!$A:$G,3,0)</f>
        <v>Inactive</v>
      </c>
      <c r="C82" s="4" t="str">
        <f>VLOOKUP(G82,Data!$A:$G,4,0)</f>
        <v>Durgapur</v>
      </c>
      <c r="D82" s="4" t="str">
        <f>VLOOKUP(G82,Data!$A:$G,5,0)</f>
        <v>Santipur</v>
      </c>
      <c r="E82" s="4" t="str">
        <f>VLOOKUP(G82,Data!$A:$G,6,0)</f>
        <v>Dipanwita Das</v>
      </c>
      <c r="F82" s="10" t="str">
        <f>VLOOKUP(G82,Data!$A:$G,7,0)</f>
        <v>2430315569</v>
      </c>
      <c r="G82" s="5">
        <v>28483</v>
      </c>
      <c r="H82" s="7">
        <f>VLOOKUP(G82,'FI txn'!$G:$H,2,0)</f>
        <v>5</v>
      </c>
      <c r="I82" s="7">
        <f t="shared" si="6"/>
        <v>1500</v>
      </c>
      <c r="J82" s="8">
        <v>14000</v>
      </c>
      <c r="K82" s="8">
        <v>5800</v>
      </c>
      <c r="L82" s="8">
        <v>28900</v>
      </c>
      <c r="M82" s="8">
        <v>27120</v>
      </c>
      <c r="N82" s="8">
        <v>29300</v>
      </c>
      <c r="O82" s="8"/>
      <c r="P82" s="8"/>
      <c r="Q82" s="8"/>
      <c r="R82" s="8"/>
      <c r="S82" s="8"/>
      <c r="T82" s="8"/>
      <c r="U82" s="8"/>
      <c r="V82" s="8">
        <f t="shared" si="7"/>
        <v>105120</v>
      </c>
      <c r="W82" s="9">
        <f t="shared" si="8"/>
        <v>21024</v>
      </c>
    </row>
    <row r="83" spans="1:23" x14ac:dyDescent="0.3">
      <c r="A83" s="4" t="str">
        <f>VLOOKUP(G83,Data!$A:$G,2,0)</f>
        <v>Under Office (Birbhum)</v>
      </c>
      <c r="B83" s="4" t="s">
        <v>274</v>
      </c>
      <c r="C83" s="4" t="str">
        <f>VLOOKUP(G83,Data!$A:$G,4,0)</f>
        <v>Siliguri</v>
      </c>
      <c r="D83" s="4" t="str">
        <f>VLOOKUP(G83,Data!$A:$G,5,0)</f>
        <v>Lohapur</v>
      </c>
      <c r="E83" s="4" t="str">
        <f>VLOOKUP(G83,Data!$A:$G,6,0)</f>
        <v>Suraj Fulmali</v>
      </c>
      <c r="F83" s="10" t="str">
        <f>VLOOKUP(G83,Data!$A:$G,7,0)</f>
        <v>0140311327</v>
      </c>
      <c r="G83" s="5">
        <v>27437</v>
      </c>
      <c r="H83" s="7">
        <f>VLOOKUP(G83,'FI txn'!$G:$H,2,0)</f>
        <v>2</v>
      </c>
      <c r="I83" s="7">
        <f t="shared" si="6"/>
        <v>600</v>
      </c>
      <c r="J83" s="8">
        <v>72800</v>
      </c>
      <c r="K83" s="8"/>
      <c r="L83" s="8"/>
      <c r="M83" s="8"/>
      <c r="N83" s="8">
        <v>7800</v>
      </c>
      <c r="O83" s="8"/>
      <c r="P83" s="8"/>
      <c r="Q83" s="8"/>
      <c r="R83" s="8"/>
      <c r="S83" s="8"/>
      <c r="T83" s="8"/>
      <c r="U83" s="8"/>
      <c r="V83" s="8">
        <f t="shared" si="7"/>
        <v>80600</v>
      </c>
      <c r="W83" s="9">
        <f t="shared" si="8"/>
        <v>40300</v>
      </c>
    </row>
    <row r="84" spans="1:23" x14ac:dyDescent="0.3">
      <c r="A84" s="4" t="str">
        <f>VLOOKUP(G84,Data!$A:$G,2,0)</f>
        <v>Manindra Nath Barman</v>
      </c>
      <c r="B84" s="4" t="str">
        <f>VLOOKUP(G84,Data!$A:$G,3,0)</f>
        <v>Inactive</v>
      </c>
      <c r="C84" s="4" t="str">
        <f>VLOOKUP(G84,Data!$A:$G,4,0)</f>
        <v>Siliguri</v>
      </c>
      <c r="D84" s="4" t="str">
        <f>VLOOKUP(G84,Data!$A:$G,5,0)</f>
        <v>Buxa Forest Craja</v>
      </c>
      <c r="E84" s="4" t="str">
        <f>VLOOKUP(G84,Data!$A:$G,6,0)</f>
        <v>Pankaj Tiwari</v>
      </c>
      <c r="F84" s="10" t="str">
        <f>VLOOKUP(G84,Data!$A:$G,7,0)</f>
        <v>9490310077</v>
      </c>
      <c r="G84" s="12">
        <v>20503</v>
      </c>
      <c r="H84" s="7">
        <f>VLOOKUP(G84,'FI txn'!$G:$H,2,0)</f>
        <v>4</v>
      </c>
      <c r="I84" s="7">
        <f t="shared" si="6"/>
        <v>1200</v>
      </c>
      <c r="J84" s="8"/>
      <c r="K84" s="8">
        <v>11500</v>
      </c>
      <c r="L84" s="8">
        <v>37100</v>
      </c>
      <c r="M84" s="8">
        <v>14596</v>
      </c>
      <c r="N84" s="8">
        <v>36448</v>
      </c>
      <c r="O84" s="8"/>
      <c r="P84" s="8"/>
      <c r="Q84" s="8"/>
      <c r="R84" s="8"/>
      <c r="S84" s="8"/>
      <c r="T84" s="8"/>
      <c r="U84" s="8"/>
      <c r="V84" s="8">
        <f t="shared" si="7"/>
        <v>99644</v>
      </c>
      <c r="W84" s="9">
        <f t="shared" si="8"/>
        <v>24911</v>
      </c>
    </row>
    <row r="85" spans="1:23" x14ac:dyDescent="0.3">
      <c r="A85" s="4" t="str">
        <f>VLOOKUP(G85,Data!$A:$G,2,0)</f>
        <v>Santanu Bera</v>
      </c>
      <c r="B85" s="4" t="str">
        <f>VLOOKUP(G85,Data!$A:$G,3,0)</f>
        <v>Active</v>
      </c>
      <c r="C85" s="4" t="str">
        <f>VLOOKUP(G85,Data!$A:$G,4,0)</f>
        <v>Hooghly</v>
      </c>
      <c r="D85" s="4" t="str">
        <f>VLOOKUP(G85,Data!$A:$G,5,0)</f>
        <v>Panskura</v>
      </c>
      <c r="E85" s="4" t="str">
        <f>VLOOKUP(G85,Data!$A:$G,6,0)</f>
        <v>Prasanta Ghorai</v>
      </c>
      <c r="F85" s="10" t="str">
        <f>VLOOKUP(G85,Data!$A:$G,7,0)</f>
        <v>9635383167</v>
      </c>
      <c r="G85" s="5">
        <v>29527</v>
      </c>
      <c r="H85" s="7">
        <f>VLOOKUP(G85,'FI txn'!$G:$H,2,0)</f>
        <v>4</v>
      </c>
      <c r="I85" s="7">
        <f t="shared" si="6"/>
        <v>1200</v>
      </c>
      <c r="J85" s="8"/>
      <c r="K85" s="8"/>
      <c r="L85" s="8">
        <v>22600</v>
      </c>
      <c r="M85" s="8">
        <v>39500</v>
      </c>
      <c r="N85" s="8">
        <v>23000</v>
      </c>
      <c r="O85" s="8"/>
      <c r="P85" s="8"/>
      <c r="Q85" s="8"/>
      <c r="R85" s="8"/>
      <c r="S85" s="8"/>
      <c r="T85" s="8"/>
      <c r="U85" s="8"/>
      <c r="V85" s="8">
        <f t="shared" si="7"/>
        <v>85100</v>
      </c>
      <c r="W85" s="9">
        <f t="shared" si="8"/>
        <v>21275</v>
      </c>
    </row>
    <row r="86" spans="1:23" x14ac:dyDescent="0.3">
      <c r="A86" s="4" t="str">
        <f>VLOOKUP(G86,Data!$A:$G,2,0)</f>
        <v>Sunil Biswas</v>
      </c>
      <c r="B86" s="4" t="str">
        <f>VLOOKUP(G86,Data!$A:$G,3,0)</f>
        <v>Inactive</v>
      </c>
      <c r="C86" s="4" t="str">
        <f>VLOOKUP(G86,Data!$A:$G,4,0)</f>
        <v>Durgapur</v>
      </c>
      <c r="D86" s="4" t="str">
        <f>VLOOKUP(G86,Data!$A:$G,5,0)</f>
        <v>Hridaypur</v>
      </c>
      <c r="E86" s="4" t="str">
        <f>VLOOKUP(G86,Data!$A:$G,6,0)</f>
        <v>Asim Halder</v>
      </c>
      <c r="F86" s="10" t="str">
        <f>VLOOKUP(G86,Data!$A:$G,7,0)</f>
        <v>2430315807</v>
      </c>
      <c r="G86" s="5">
        <v>29052</v>
      </c>
      <c r="H86" s="7">
        <f>VLOOKUP(G86,'FI txn'!$G:$H,2,0)</f>
        <v>3</v>
      </c>
      <c r="I86" s="7">
        <f t="shared" si="6"/>
        <v>900</v>
      </c>
      <c r="J86" s="8">
        <v>7600</v>
      </c>
      <c r="K86" s="8">
        <v>3500</v>
      </c>
      <c r="L86" s="8">
        <v>4000</v>
      </c>
      <c r="M86" s="8"/>
      <c r="N86" s="8"/>
      <c r="O86" s="8"/>
      <c r="P86" s="8"/>
      <c r="Q86" s="8"/>
      <c r="R86" s="8"/>
      <c r="S86" s="8"/>
      <c r="T86" s="8"/>
      <c r="U86" s="8"/>
      <c r="V86" s="8">
        <f t="shared" si="7"/>
        <v>15100</v>
      </c>
      <c r="W86" s="9">
        <f t="shared" si="8"/>
        <v>5033.333333333333</v>
      </c>
    </row>
    <row r="87" spans="1:23" x14ac:dyDescent="0.3">
      <c r="A87" s="4" t="str">
        <f>VLOOKUP(G87,Data!$A:$G,2,0)</f>
        <v>Manindra Nath Barman</v>
      </c>
      <c r="B87" s="4" t="str">
        <f>VLOOKUP(G87,Data!$A:$G,3,0)</f>
        <v>Inactive</v>
      </c>
      <c r="C87" s="4" t="str">
        <f>VLOOKUP(G87,Data!$A:$G,4,0)</f>
        <v>Siliguri</v>
      </c>
      <c r="D87" s="4" t="str">
        <f>VLOOKUP(G87,Data!$A:$G,5,0)</f>
        <v>Barobisha</v>
      </c>
      <c r="E87" s="4" t="str">
        <f>VLOOKUP(G87,Data!$A:$G,6,0)</f>
        <v>Virendra Narayan Nag</v>
      </c>
      <c r="F87" s="10" t="str">
        <f>VLOOKUP(G87,Data!$A:$G,7,0)</f>
        <v>8967601707</v>
      </c>
      <c r="G87" s="5">
        <v>29526</v>
      </c>
      <c r="H87" s="7">
        <f>VLOOKUP(G87,'FI txn'!$G:$H,2,0)</f>
        <v>3</v>
      </c>
      <c r="I87" s="7">
        <f t="shared" si="6"/>
        <v>900</v>
      </c>
      <c r="J87" s="8"/>
      <c r="K87" s="8"/>
      <c r="L87" s="8">
        <v>700</v>
      </c>
      <c r="M87" s="8">
        <v>4550</v>
      </c>
      <c r="N87" s="8">
        <v>95500</v>
      </c>
      <c r="O87" s="8"/>
      <c r="P87" s="8"/>
      <c r="Q87" s="8"/>
      <c r="R87" s="8"/>
      <c r="S87" s="8"/>
      <c r="T87" s="8"/>
      <c r="U87" s="8"/>
      <c r="V87" s="8">
        <f t="shared" si="7"/>
        <v>100750</v>
      </c>
      <c r="W87" s="9"/>
    </row>
    <row r="88" spans="1:23" x14ac:dyDescent="0.3">
      <c r="A88" s="4" t="str">
        <f>VLOOKUP(G88,Data!$A:$G,2,0)</f>
        <v>Souvik Maity</v>
      </c>
      <c r="B88" s="4" t="s">
        <v>274</v>
      </c>
      <c r="C88" s="4" t="str">
        <f>VLOOKUP(G88,Data!$A:$G,4,0)</f>
        <v>Hooghly</v>
      </c>
      <c r="D88" s="4" t="str">
        <f>VLOOKUP(G88,Data!$A:$G,5,0)</f>
        <v>Batanal</v>
      </c>
      <c r="E88" s="4" t="str">
        <f>VLOOKUP(G88,Data!$A:$G,6,0)</f>
        <v>Chaitali Shit Malik</v>
      </c>
      <c r="F88" s="10" t="str">
        <f>VLOOKUP(G88,Data!$A:$G,7,0)</f>
        <v>3390311948</v>
      </c>
      <c r="G88" s="12">
        <v>22775</v>
      </c>
      <c r="H88" s="7">
        <f>VLOOKUP(G88,'FI txn'!$G:$H,2,0)</f>
        <v>1</v>
      </c>
      <c r="I88" s="7">
        <f t="shared" si="6"/>
        <v>300</v>
      </c>
      <c r="J88" s="8"/>
      <c r="K88" s="8"/>
      <c r="L88" s="8">
        <v>200</v>
      </c>
      <c r="M88" s="8"/>
      <c r="N88" s="8"/>
      <c r="O88" s="8"/>
      <c r="P88" s="8"/>
      <c r="Q88" s="8"/>
      <c r="R88" s="8"/>
      <c r="S88" s="8"/>
      <c r="T88" s="8"/>
      <c r="U88" s="8"/>
      <c r="V88" s="8">
        <f t="shared" si="7"/>
        <v>200</v>
      </c>
      <c r="W88" s="9">
        <f t="shared" ref="W88:W104" si="9">V88/H88</f>
        <v>200</v>
      </c>
    </row>
    <row r="89" spans="1:23" x14ac:dyDescent="0.3">
      <c r="A89" s="4" t="str">
        <f>VLOOKUP(G89,Data!$A:$G,2,0)</f>
        <v>Chandi Charan Mahato</v>
      </c>
      <c r="B89" s="4" t="str">
        <f>VLOOKUP(G89,Data!$A:$G,3,0)</f>
        <v>Inactive</v>
      </c>
      <c r="C89" s="4" t="str">
        <f>VLOOKUP(G89,Data!$A:$G,4,0)</f>
        <v>Durgapur</v>
      </c>
      <c r="D89" s="4" t="str">
        <f>VLOOKUP(G89,Data!$A:$G,5,0)</f>
        <v>Kotulpur</v>
      </c>
      <c r="E89" s="4" t="str">
        <f>VLOOKUP(G89,Data!$A:$G,6,0)</f>
        <v>Sayan Dutta</v>
      </c>
      <c r="F89" s="10" t="str">
        <f>VLOOKUP(G89,Data!$A:$G,7,0)</f>
        <v>2160315608</v>
      </c>
      <c r="G89" s="12">
        <v>28601</v>
      </c>
      <c r="H89" s="7">
        <f>VLOOKUP(G89,'FI txn'!$G:$H,2,0)</f>
        <v>1</v>
      </c>
      <c r="I89" s="7">
        <f t="shared" si="6"/>
        <v>300</v>
      </c>
      <c r="J89" s="8"/>
      <c r="K89" s="8">
        <v>36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>
        <f t="shared" si="7"/>
        <v>36</v>
      </c>
      <c r="W89" s="9">
        <f t="shared" si="9"/>
        <v>36</v>
      </c>
    </row>
    <row r="90" spans="1:23" x14ac:dyDescent="0.3">
      <c r="A90" s="4" t="str">
        <f>VLOOKUP(G90,Data!$A:$G,2,0)</f>
        <v>Souvik Maity</v>
      </c>
      <c r="B90" s="4" t="str">
        <f>VLOOKUP(G90,Data!$A:$G,3,0)</f>
        <v>Active</v>
      </c>
      <c r="C90" s="4" t="str">
        <f>VLOOKUP(G90,Data!$A:$G,4,0)</f>
        <v>Hooghly</v>
      </c>
      <c r="D90" s="4" t="str">
        <f>VLOOKUP(G90,Data!$A:$G,5,0)</f>
        <v>Mayapur</v>
      </c>
      <c r="E90" s="4" t="str">
        <f>VLOOKUP(G90,Data!$A:$G,6,0)</f>
        <v>Ruma Rana</v>
      </c>
      <c r="F90" s="10" t="str">
        <f>VLOOKUP(G90,Data!$A:$G,7,0)</f>
        <v>8410316172</v>
      </c>
      <c r="G90" s="5">
        <v>29749</v>
      </c>
      <c r="H90" s="7">
        <f>VLOOKUP(G90,'FI txn'!$G:$H,2,0)</f>
        <v>1</v>
      </c>
      <c r="I90" s="7">
        <f t="shared" si="6"/>
        <v>300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9">
        <f t="shared" si="9"/>
        <v>0</v>
      </c>
    </row>
    <row r="91" spans="1:23" x14ac:dyDescent="0.3">
      <c r="A91" s="4" t="str">
        <f>VLOOKUP(G91,Data!$A:$G,2,0)</f>
        <v>Mousumi Sarkar</v>
      </c>
      <c r="B91" s="4" t="str">
        <f>VLOOKUP(G91,Data!$A:$G,3,0)</f>
        <v>Active</v>
      </c>
      <c r="C91" s="4" t="str">
        <f>VLOOKUP(G91,Data!$A:$G,4,0)</f>
        <v>Saltlake</v>
      </c>
      <c r="D91" s="4" t="str">
        <f>VLOOKUP(G91,Data!$A:$G,5,0)</f>
        <v>Hingalganj</v>
      </c>
      <c r="E91" s="4" t="str">
        <f>VLOOKUP(G91,Data!$A:$G,6,0)</f>
        <v>Khairulla Mistri</v>
      </c>
      <c r="F91" s="10" t="str">
        <f>VLOOKUP(G91,Data!$A:$G,7,0)</f>
        <v>8410316210</v>
      </c>
      <c r="G91" s="5">
        <v>29799</v>
      </c>
      <c r="H91" s="7">
        <f>VLOOKUP(G91,'FI txn'!$G:$H,2,0)</f>
        <v>2</v>
      </c>
      <c r="I91" s="7">
        <f t="shared" si="6"/>
        <v>600</v>
      </c>
      <c r="J91" s="8"/>
      <c r="K91" s="8"/>
      <c r="L91" s="8"/>
      <c r="M91" s="8"/>
      <c r="N91" s="8">
        <v>433500</v>
      </c>
      <c r="O91" s="8"/>
      <c r="P91" s="8"/>
      <c r="Q91" s="8"/>
      <c r="R91" s="8"/>
      <c r="S91" s="8"/>
      <c r="T91" s="8"/>
      <c r="U91" s="8"/>
      <c r="V91" s="8"/>
      <c r="W91" s="9">
        <f t="shared" si="9"/>
        <v>0</v>
      </c>
    </row>
    <row r="92" spans="1:23" x14ac:dyDescent="0.3">
      <c r="A92" s="4" t="str">
        <f>VLOOKUP(G92,Data!$A:$G,2,0)</f>
        <v>Manindra Nath Barman</v>
      </c>
      <c r="B92" s="4" t="str">
        <f>VLOOKUP(G92,Data!$A:$G,3,0)</f>
        <v>Active</v>
      </c>
      <c r="C92" s="4" t="str">
        <f>VLOOKUP(G92,Data!$A:$G,4,0)</f>
        <v>Siliguri</v>
      </c>
      <c r="D92" s="4" t="str">
        <f>VLOOKUP(G92,Data!$A:$G,5,0)</f>
        <v>Ethelbari</v>
      </c>
      <c r="E92" s="4" t="str">
        <f>VLOOKUP(G92,Data!$A:$G,6,0)</f>
        <v>Tarif Baxla</v>
      </c>
      <c r="F92" s="10" t="str">
        <f>VLOOKUP(G92,Data!$A:$G,7,0)</f>
        <v>8410316211</v>
      </c>
      <c r="G92" s="5">
        <v>29798</v>
      </c>
      <c r="H92" s="7">
        <f>VLOOKUP(G92,'FI txn'!$G:$H,2,0)</f>
        <v>2</v>
      </c>
      <c r="I92" s="7">
        <f t="shared" si="6"/>
        <v>600</v>
      </c>
      <c r="J92" s="8"/>
      <c r="K92" s="8"/>
      <c r="L92" s="8"/>
      <c r="M92" s="8"/>
      <c r="N92" s="8">
        <v>29700</v>
      </c>
      <c r="O92" s="8"/>
      <c r="P92" s="8"/>
      <c r="Q92" s="8"/>
      <c r="R92" s="8"/>
      <c r="S92" s="8"/>
      <c r="T92" s="8"/>
      <c r="U92" s="8"/>
      <c r="V92" s="8"/>
      <c r="W92" s="9">
        <f t="shared" si="9"/>
        <v>0</v>
      </c>
    </row>
    <row r="93" spans="1:23" x14ac:dyDescent="0.3">
      <c r="A93" s="4" t="str">
        <f>VLOOKUP(G93,Data!$A:$G,2,0)</f>
        <v>Sunil Biswas</v>
      </c>
      <c r="B93" s="4" t="str">
        <f>VLOOKUP(G93,Data!$A:$G,3,0)</f>
        <v>Inactive</v>
      </c>
      <c r="C93" s="4" t="str">
        <f>VLOOKUP(G93,Data!$A:$G,4,0)</f>
        <v>Durgapur</v>
      </c>
      <c r="D93" s="4" t="str">
        <f>VLOOKUP(G93,Data!$A:$G,5,0)</f>
        <v>Hridaypur</v>
      </c>
      <c r="E93" s="4" t="str">
        <f>VLOOKUP(G93,Data!$A:$G,6,0)</f>
        <v>Nitish Mondal</v>
      </c>
      <c r="F93" s="10" t="str">
        <f>VLOOKUP(G93,Data!$A:$G,7,0)</f>
        <v>8942919438</v>
      </c>
      <c r="G93" s="5">
        <v>29524</v>
      </c>
      <c r="H93" s="7">
        <f>VLOOKUP(G93,'FI txn'!$G:$H,2,0)</f>
        <v>1</v>
      </c>
      <c r="I93" s="7">
        <f t="shared" si="6"/>
        <v>300</v>
      </c>
      <c r="J93" s="8"/>
      <c r="K93" s="8"/>
      <c r="L93" s="8"/>
      <c r="M93" s="8">
        <v>2600</v>
      </c>
      <c r="N93" s="8"/>
      <c r="O93" s="8"/>
      <c r="P93" s="8"/>
      <c r="Q93" s="8"/>
      <c r="R93" s="8"/>
      <c r="S93" s="8"/>
      <c r="T93" s="8"/>
      <c r="U93" s="8"/>
      <c r="V93" s="8">
        <f t="shared" ref="V93" si="10">SUM(J93:U93)</f>
        <v>2600</v>
      </c>
      <c r="W93" s="9">
        <f t="shared" si="9"/>
        <v>2600</v>
      </c>
    </row>
    <row r="94" spans="1:23" x14ac:dyDescent="0.3">
      <c r="A94" s="4" t="str">
        <f>VLOOKUP(G94,Data!$A:$G,2,0)</f>
        <v>Under Office (Birbhum)</v>
      </c>
      <c r="B94" s="4" t="s">
        <v>274</v>
      </c>
      <c r="C94" s="4" t="str">
        <f>VLOOKUP(G94,Data!$A:$G,4,0)</f>
        <v>Siliguri</v>
      </c>
      <c r="D94" s="4" t="str">
        <f>VLOOKUP(G94,Data!$A:$G,5,0)</f>
        <v>Mangaldihi</v>
      </c>
      <c r="E94" s="4" t="str">
        <f>VLOOKUP(G94,Data!$A:$G,6,0)</f>
        <v>Sk Khairul Hossain</v>
      </c>
      <c r="F94" s="10" t="str">
        <f>VLOOKUP(G94,Data!$A:$G,7,0)</f>
        <v>0140310490</v>
      </c>
      <c r="G94" s="12">
        <v>20983</v>
      </c>
      <c r="H94" s="7">
        <f>VLOOKUP(G94,'FI txn'!$G:$H,2,0)</f>
        <v>0</v>
      </c>
      <c r="I94" s="7">
        <f t="shared" si="6"/>
        <v>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 t="e">
        <f t="shared" si="9"/>
        <v>#DIV/0!</v>
      </c>
    </row>
    <row r="95" spans="1:23" x14ac:dyDescent="0.3">
      <c r="A95" s="4" t="str">
        <f>VLOOKUP(G95,Data!$A:$G,2,0)</f>
        <v>Souvik Maity</v>
      </c>
      <c r="B95" s="4" t="s">
        <v>274</v>
      </c>
      <c r="C95" s="4" t="str">
        <f>VLOOKUP(G95,Data!$A:$G,4,0)</f>
        <v>Hooghly</v>
      </c>
      <c r="D95" s="4" t="str">
        <f>VLOOKUP(G95,Data!$A:$G,5,0)</f>
        <v>Mayapur</v>
      </c>
      <c r="E95" s="4" t="str">
        <f>VLOOKUP(G95,Data!$A:$G,6,0)</f>
        <v>Falguni Samanta</v>
      </c>
      <c r="F95" s="10" t="str">
        <f>VLOOKUP(G95,Data!$A:$G,7,0)</f>
        <v>3390311256</v>
      </c>
      <c r="G95" s="12">
        <v>21925</v>
      </c>
      <c r="H95" s="7">
        <f>VLOOKUP(G95,'FI txn'!$G:$H,2,0)</f>
        <v>0</v>
      </c>
      <c r="I95" s="7">
        <f t="shared" si="6"/>
        <v>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 t="e">
        <f t="shared" si="9"/>
        <v>#DIV/0!</v>
      </c>
    </row>
    <row r="96" spans="1:23" x14ac:dyDescent="0.3">
      <c r="A96" s="4" t="str">
        <f>VLOOKUP(G96,Data!$A:$G,2,0)</f>
        <v>Manindra Nath Barman</v>
      </c>
      <c r="B96" s="4" t="s">
        <v>274</v>
      </c>
      <c r="C96" s="4" t="str">
        <f>VLOOKUP(G96,Data!$A:$G,4,0)</f>
        <v>Siliguri</v>
      </c>
      <c r="D96" s="4" t="str">
        <f>VLOOKUP(G96,Data!$A:$G,5,0)</f>
        <v>Maynaguri</v>
      </c>
      <c r="E96" s="4" t="str">
        <f>VLOOKUP(G96,Data!$A:$G,6,0)</f>
        <v>Biswajit Roy</v>
      </c>
      <c r="F96" s="10" t="str">
        <f>VLOOKUP(G96,Data!$A:$G,7,0)</f>
        <v>2310311260</v>
      </c>
      <c r="G96" s="12">
        <v>21929</v>
      </c>
      <c r="H96" s="7">
        <f>VLOOKUP(G96,'FI txn'!$G:$H,2,0)</f>
        <v>0</v>
      </c>
      <c r="I96" s="7">
        <f t="shared" si="6"/>
        <v>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 t="e">
        <f t="shared" si="9"/>
        <v>#DIV/0!</v>
      </c>
    </row>
    <row r="97" spans="1:23" x14ac:dyDescent="0.3">
      <c r="A97" s="4" t="str">
        <f>VLOOKUP(G97,Data!$A:$G,2,0)</f>
        <v>Under Office (Birbhum)</v>
      </c>
      <c r="B97" s="4" t="s">
        <v>274</v>
      </c>
      <c r="C97" s="4" t="str">
        <f>VLOOKUP(G97,Data!$A:$G,4,0)</f>
        <v>Siliguri</v>
      </c>
      <c r="D97" s="4" t="str">
        <f>VLOOKUP(G97,Data!$A:$G,5,0)</f>
        <v>Koytha</v>
      </c>
      <c r="E97" s="4" t="str">
        <f>VLOOKUP(G97,Data!$A:$G,6,0)</f>
        <v>Tamarul Sk</v>
      </c>
      <c r="F97" s="10" t="str">
        <f>VLOOKUP(G97,Data!$A:$G,7,0)</f>
        <v>0140311624</v>
      </c>
      <c r="G97" s="12">
        <v>22361</v>
      </c>
      <c r="H97" s="7">
        <f>VLOOKUP(G97,'FI txn'!$G:$H,2,0)</f>
        <v>0</v>
      </c>
      <c r="I97" s="7">
        <f t="shared" si="6"/>
        <v>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 t="e">
        <f t="shared" si="9"/>
        <v>#DIV/0!</v>
      </c>
    </row>
    <row r="98" spans="1:23" x14ac:dyDescent="0.3">
      <c r="A98" s="4" t="str">
        <f>VLOOKUP(G98,Data!$A:$G,2,0)</f>
        <v>Under Office (Birbhum)</v>
      </c>
      <c r="B98" s="4" t="str">
        <f>VLOOKUP(G98,Data!$A:$G,3,0)</f>
        <v>Inactive</v>
      </c>
      <c r="C98" s="4" t="str">
        <f>VLOOKUP(G98,Data!$A:$G,4,0)</f>
        <v>Siliguri</v>
      </c>
      <c r="D98" s="4" t="str">
        <f>VLOOKUP(G98,Data!$A:$G,5,0)</f>
        <v>Mangaldihi</v>
      </c>
      <c r="E98" s="4" t="str">
        <f>VLOOKUP(G98,Data!$A:$G,6,0)</f>
        <v>Swarup Sadhu</v>
      </c>
      <c r="F98" s="10" t="str">
        <f>VLOOKUP(G98,Data!$A:$G,7,0)</f>
        <v>0140311670</v>
      </c>
      <c r="G98" s="5">
        <v>22424</v>
      </c>
      <c r="H98" s="7">
        <f>VLOOKUP(G98,'FI txn'!$G:$H,2,0)</f>
        <v>0</v>
      </c>
      <c r="I98" s="7">
        <f t="shared" ref="I98:I104" si="11">H98*300</f>
        <v>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 t="e">
        <f t="shared" si="9"/>
        <v>#DIV/0!</v>
      </c>
    </row>
    <row r="99" spans="1:23" x14ac:dyDescent="0.3">
      <c r="A99" s="4" t="str">
        <f>VLOOKUP(G99,Data!$A:$G,2,0)</f>
        <v>Souvik Maity</v>
      </c>
      <c r="B99" s="4" t="str">
        <f>VLOOKUP(G99,Data!$A:$G,3,0)</f>
        <v>Inactive</v>
      </c>
      <c r="C99" s="4" t="str">
        <f>VLOOKUP(G99,Data!$A:$G,4,0)</f>
        <v>Hooghly</v>
      </c>
      <c r="D99" s="4" t="str">
        <f>VLOOKUP(G99,Data!$A:$G,5,0)</f>
        <v>Mangrul</v>
      </c>
      <c r="E99" s="4" t="str">
        <f>VLOOKUP(G99,Data!$A:$G,6,0)</f>
        <v>Prasenjit Ghosh</v>
      </c>
      <c r="F99" s="10" t="str">
        <f>VLOOKUP(G99,Data!$A:$G,7,0)</f>
        <v>2390311944</v>
      </c>
      <c r="G99" s="5">
        <v>22771</v>
      </c>
      <c r="H99" s="7">
        <f>VLOOKUP(G99,'FI txn'!$G:$H,2,0)</f>
        <v>0</v>
      </c>
      <c r="I99" s="7">
        <f t="shared" si="11"/>
        <v>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 t="e">
        <f t="shared" si="9"/>
        <v>#DIV/0!</v>
      </c>
    </row>
    <row r="100" spans="1:23" x14ac:dyDescent="0.3">
      <c r="A100" s="4" t="str">
        <f>VLOOKUP(G100,Data!$A:$G,2,0)</f>
        <v>Souvik Maity</v>
      </c>
      <c r="B100" s="4" t="s">
        <v>274</v>
      </c>
      <c r="C100" s="4" t="str">
        <f>VLOOKUP(G100,Data!$A:$G,4,0)</f>
        <v>Hooghly</v>
      </c>
      <c r="D100" s="4" t="str">
        <f>VLOOKUP(G100,Data!$A:$G,5,0)</f>
        <v>Arambagh</v>
      </c>
      <c r="E100" s="4" t="str">
        <f>VLOOKUP(G100,Data!$A:$G,6,0)</f>
        <v>Sk Momin Uddin</v>
      </c>
      <c r="F100" s="10" t="str">
        <f>VLOOKUP(G100,Data!$A:$G,7,0)</f>
        <v>3390313207</v>
      </c>
      <c r="G100" s="12">
        <v>24527</v>
      </c>
      <c r="H100" s="7">
        <f>VLOOKUP(G100,'FI txn'!$G:$H,2,0)</f>
        <v>0</v>
      </c>
      <c r="I100" s="7">
        <f t="shared" si="11"/>
        <v>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 t="e">
        <f t="shared" si="9"/>
        <v>#DIV/0!</v>
      </c>
    </row>
    <row r="101" spans="1:23" x14ac:dyDescent="0.3">
      <c r="A101" s="4" t="str">
        <f>VLOOKUP(G101,Data!$A:$G,2,0)</f>
        <v>Santanu Bera</v>
      </c>
      <c r="B101" s="4" t="s">
        <v>274</v>
      </c>
      <c r="C101" s="4" t="str">
        <f>VLOOKUP(G101,Data!$A:$G,4,0)</f>
        <v>Hooghly</v>
      </c>
      <c r="D101" s="4" t="str">
        <f>VLOOKUP(G101,Data!$A:$G,5,0)</f>
        <v>Contai</v>
      </c>
      <c r="E101" s="4" t="str">
        <f>VLOOKUP(G101,Data!$A:$G,6,0)</f>
        <v>Narayan Ojha</v>
      </c>
      <c r="F101" s="10" t="str">
        <f>VLOOKUP(G101,Data!$A:$G,7,0)</f>
        <v>2380314459</v>
      </c>
      <c r="G101" s="12">
        <v>26507</v>
      </c>
      <c r="H101" s="7">
        <f>VLOOKUP(G101,'FI txn'!$G:$H,2,0)</f>
        <v>0</v>
      </c>
      <c r="I101" s="7">
        <f t="shared" si="11"/>
        <v>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 t="e">
        <f t="shared" si="9"/>
        <v>#DIV/0!</v>
      </c>
    </row>
    <row r="102" spans="1:23" x14ac:dyDescent="0.3">
      <c r="A102" s="4" t="str">
        <f>VLOOKUP(G102,Data!$A:$G,2,0)</f>
        <v>Sunil Biswas</v>
      </c>
      <c r="B102" s="4" t="s">
        <v>274</v>
      </c>
      <c r="C102" s="4" t="str">
        <f>VLOOKUP(G102,Data!$A:$G,4,0)</f>
        <v>Durgapur</v>
      </c>
      <c r="D102" s="4" t="str">
        <f>VLOOKUP(G102,Data!$A:$G,5,0)</f>
        <v>Hridaypur</v>
      </c>
      <c r="E102" s="4" t="str">
        <f>VLOOKUP(G102,Data!$A:$G,6,0)</f>
        <v>Saiful Sekh</v>
      </c>
      <c r="F102" s="10" t="str">
        <f>VLOOKUP(G102,Data!$A:$G,7,0)</f>
        <v>2430314735</v>
      </c>
      <c r="G102" s="12">
        <v>26881</v>
      </c>
      <c r="H102" s="7">
        <f>VLOOKUP(G102,'FI txn'!$G:$H,2,0)</f>
        <v>0</v>
      </c>
      <c r="I102" s="7">
        <f t="shared" si="11"/>
        <v>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 t="e">
        <f t="shared" si="9"/>
        <v>#DIV/0!</v>
      </c>
    </row>
    <row r="103" spans="1:23" x14ac:dyDescent="0.3">
      <c r="A103" s="4" t="str">
        <f>VLOOKUP(G103,Data!$A:$G,2,0)</f>
        <v>Santanu Bera</v>
      </c>
      <c r="B103" s="4" t="s">
        <v>274</v>
      </c>
      <c r="C103" s="4" t="str">
        <f>VLOOKUP(G103,Data!$A:$G,4,0)</f>
        <v>Hooghly</v>
      </c>
      <c r="D103" s="4" t="str">
        <f>VLOOKUP(G103,Data!$A:$G,5,0)</f>
        <v>Contai</v>
      </c>
      <c r="E103" s="4" t="str">
        <f>VLOOKUP(G103,Data!$A:$G,6,0)</f>
        <v>Sulekha Das</v>
      </c>
      <c r="F103" s="10" t="str">
        <f>VLOOKUP(G103,Data!$A:$G,7,0)</f>
        <v>2380314986</v>
      </c>
      <c r="G103" s="12">
        <v>27252</v>
      </c>
      <c r="H103" s="7">
        <f>VLOOKUP(G103,'FI txn'!$G:$H,2,0)</f>
        <v>0</v>
      </c>
      <c r="I103" s="7">
        <f t="shared" si="11"/>
        <v>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 t="e">
        <f t="shared" si="9"/>
        <v>#DIV/0!</v>
      </c>
    </row>
    <row r="104" spans="1:23" x14ac:dyDescent="0.3">
      <c r="A104" s="4" t="str">
        <f>VLOOKUP(G104,Data!$A:$G,2,0)</f>
        <v>Chandi Charan Mahato</v>
      </c>
      <c r="B104" s="4" t="s">
        <v>274</v>
      </c>
      <c r="C104" s="4" t="str">
        <f>VLOOKUP(G104,Data!$A:$G,4,0)</f>
        <v>Durgapur</v>
      </c>
      <c r="D104" s="4" t="str">
        <f>VLOOKUP(G104,Data!$A:$G,5,0)</f>
        <v>Layekbandh</v>
      </c>
      <c r="E104" s="4" t="str">
        <f>VLOOKUP(G104,Data!$A:$G,6,0)</f>
        <v>Debasis Dey</v>
      </c>
      <c r="F104" s="10" t="str">
        <f>VLOOKUP(G104,Data!$A:$G,7,0)</f>
        <v>2160315158</v>
      </c>
      <c r="G104" s="12">
        <v>27632</v>
      </c>
      <c r="H104" s="7">
        <f>VLOOKUP(G104,'FI txn'!$G:$H,2,0)</f>
        <v>0</v>
      </c>
      <c r="I104" s="7">
        <f t="shared" si="11"/>
        <v>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 t="e">
        <f t="shared" si="9"/>
        <v>#DIV/0!</v>
      </c>
    </row>
    <row r="105" spans="1:23" x14ac:dyDescent="0.3">
      <c r="H105" s="33"/>
      <c r="I105" s="33"/>
      <c r="J105" s="33"/>
      <c r="K105" s="33"/>
    </row>
  </sheetData>
  <conditionalFormatting sqref="E1">
    <cfRule type="duplicateValues" dxfId="74" priority="24"/>
    <cfRule type="duplicateValues" dxfId="73" priority="25"/>
    <cfRule type="duplicateValues" dxfId="72" priority="26"/>
    <cfRule type="duplicateValues" dxfId="71" priority="27"/>
    <cfRule type="duplicateValues" dxfId="70" priority="28"/>
    <cfRule type="duplicateValues" dxfId="69" priority="29"/>
    <cfRule type="duplicateValues" dxfId="68" priority="30"/>
  </conditionalFormatting>
  <conditionalFormatting sqref="E105:E1048576">
    <cfRule type="duplicateValues" dxfId="67" priority="44"/>
    <cfRule type="duplicateValues" dxfId="66" priority="45"/>
  </conditionalFormatting>
  <conditionalFormatting sqref="F105:F1048576">
    <cfRule type="duplicateValues" dxfId="65" priority="31"/>
  </conditionalFormatting>
  <conditionalFormatting sqref="G1:G105 G191:G1048576">
    <cfRule type="duplicateValues" dxfId="64" priority="20"/>
  </conditionalFormatting>
  <conditionalFormatting sqref="G105 G191:G1048576">
    <cfRule type="duplicateValues" dxfId="63" priority="32"/>
    <cfRule type="duplicateValues" dxfId="62" priority="33"/>
  </conditionalFormatting>
  <conditionalFormatting sqref="G105">
    <cfRule type="duplicateValues" dxfId="61" priority="34"/>
    <cfRule type="duplicateValues" dxfId="60" priority="41"/>
  </conditionalFormatting>
  <conditionalFormatting sqref="G191:G1048576">
    <cfRule type="duplicateValues" dxfId="59" priority="35"/>
    <cfRule type="duplicateValues" dxfId="58" priority="36"/>
    <cfRule type="duplicateValues" dxfId="57" priority="37"/>
    <cfRule type="duplicateValues" dxfId="56" priority="38"/>
    <cfRule type="duplicateValues" dxfId="55" priority="39"/>
    <cfRule type="duplicateValues" dxfId="54" priority="40"/>
    <cfRule type="duplicateValues" dxfId="53" priority="42"/>
    <cfRule type="duplicateValues" dxfId="52" priority="43"/>
  </conditionalFormatting>
  <conditionalFormatting sqref="J2:U104">
    <cfRule type="top10" dxfId="51" priority="266" rank="1"/>
    <cfRule type="cellIs" dxfId="50" priority="267" operator="greaterThan">
      <formula>0</formula>
    </cfRule>
  </conditionalFormatting>
  <conditionalFormatting sqref="V2:V104">
    <cfRule type="top10" dxfId="49" priority="270" rank="3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900E-A57D-4800-B844-2EA10FF775C2}">
  <dimension ref="A1:W104"/>
  <sheetViews>
    <sheetView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20.21875" style="2" bestFit="1" customWidth="1"/>
    <col min="2" max="2" width="7.44140625" style="2" bestFit="1" customWidth="1"/>
    <col min="3" max="3" width="8.77734375" style="2" bestFit="1" customWidth="1"/>
    <col min="4" max="4" width="15.33203125" style="2" bestFit="1" customWidth="1"/>
    <col min="5" max="5" width="24.77734375" style="2" bestFit="1" customWidth="1"/>
    <col min="6" max="6" width="11" style="11" bestFit="1" customWidth="1"/>
    <col min="7" max="7" width="8.21875" style="6" bestFit="1" customWidth="1"/>
    <col min="8" max="8" width="6.77734375" bestFit="1" customWidth="1"/>
    <col min="9" max="9" width="6.33203125" bestFit="1" customWidth="1"/>
    <col min="10" max="10" width="6.6640625" bestFit="1" customWidth="1"/>
    <col min="11" max="11" width="7.44140625" bestFit="1" customWidth="1"/>
    <col min="12" max="12" width="6.5546875" bestFit="1" customWidth="1"/>
    <col min="13" max="13" width="5.88671875" bestFit="1" customWidth="1"/>
    <col min="14" max="14" width="7" bestFit="1" customWidth="1"/>
    <col min="15" max="15" width="6.77734375" bestFit="1" customWidth="1"/>
    <col min="16" max="16" width="6.5546875" bestFit="1" customWidth="1"/>
    <col min="17" max="17" width="7.109375" bestFit="1" customWidth="1"/>
    <col min="18" max="18" width="6.77734375" bestFit="1" customWidth="1"/>
    <col min="19" max="19" width="6.44140625" bestFit="1" customWidth="1"/>
    <col min="20" max="20" width="6.6640625" bestFit="1" customWidth="1"/>
    <col min="21" max="21" width="7.109375" bestFit="1" customWidth="1"/>
    <col min="22" max="22" width="11.21875" bestFit="1" customWidth="1"/>
    <col min="23" max="23" width="7.88671875" bestFit="1" customWidth="1"/>
  </cols>
  <sheetData>
    <row r="1" spans="1:23" x14ac:dyDescent="0.3">
      <c r="A1" s="13" t="s">
        <v>264</v>
      </c>
      <c r="B1" s="13" t="s">
        <v>271</v>
      </c>
      <c r="C1" s="13" t="s">
        <v>272</v>
      </c>
      <c r="D1" s="13" t="s">
        <v>263</v>
      </c>
      <c r="E1" s="13" t="s">
        <v>265</v>
      </c>
      <c r="F1" s="14" t="s">
        <v>266</v>
      </c>
      <c r="G1" s="1" t="s">
        <v>267</v>
      </c>
      <c r="H1" s="15" t="s">
        <v>268</v>
      </c>
      <c r="I1" s="15" t="s">
        <v>280</v>
      </c>
      <c r="J1" s="15">
        <v>46113</v>
      </c>
      <c r="K1" s="15">
        <v>46143</v>
      </c>
      <c r="L1" s="15">
        <v>46174</v>
      </c>
      <c r="M1" s="15">
        <v>46204</v>
      </c>
      <c r="N1" s="15">
        <v>46235</v>
      </c>
      <c r="O1" s="15">
        <v>46266</v>
      </c>
      <c r="P1" s="15">
        <v>46296</v>
      </c>
      <c r="Q1" s="15">
        <v>46327</v>
      </c>
      <c r="R1" s="15">
        <v>46357</v>
      </c>
      <c r="S1" s="15">
        <v>46388</v>
      </c>
      <c r="T1" s="15">
        <v>46419</v>
      </c>
      <c r="U1" s="15">
        <v>46447</v>
      </c>
      <c r="V1" s="13" t="s">
        <v>273</v>
      </c>
      <c r="W1" s="15" t="s">
        <v>270</v>
      </c>
    </row>
    <row r="2" spans="1:23" x14ac:dyDescent="0.3">
      <c r="A2" s="4" t="str">
        <f>VLOOKUP(G2,Data!$A:$G,2,0)</f>
        <v>Under Office (W Medinipur)</v>
      </c>
      <c r="B2" s="4" t="str">
        <f>VLOOKUP(G2,Data!$A:$G,3,0)</f>
        <v>Active</v>
      </c>
      <c r="C2" s="4" t="str">
        <f>VLOOKUP(G2,Data!$A:$G,4,0)</f>
        <v>Hooghly</v>
      </c>
      <c r="D2" s="4" t="str">
        <f>VLOOKUP(G2,Data!$A:$G,5,0)</f>
        <v>Guiadaha</v>
      </c>
      <c r="E2" s="4" t="str">
        <f>VLOOKUP(G2,Data!$A:$G,6,0)</f>
        <v>Munmun Chakraborty</v>
      </c>
      <c r="F2" s="10" t="str">
        <f>VLOOKUP(G2,Data!$A:$G,7,0)</f>
        <v>2390312218</v>
      </c>
      <c r="G2" s="5">
        <v>23142</v>
      </c>
      <c r="H2" s="7">
        <f>VLOOKUP(G2,'FI txn'!$G:$H,2,0)</f>
        <v>6</v>
      </c>
      <c r="I2" s="7">
        <f t="shared" ref="I2:I33" si="0">H2*300</f>
        <v>1800</v>
      </c>
      <c r="J2" s="8">
        <v>30</v>
      </c>
      <c r="K2" s="8">
        <v>31</v>
      </c>
      <c r="L2" s="8">
        <v>30</v>
      </c>
      <c r="M2" s="8">
        <v>31</v>
      </c>
      <c r="N2" s="8">
        <v>31</v>
      </c>
      <c r="O2" s="8"/>
      <c r="P2" s="8"/>
      <c r="Q2" s="8"/>
      <c r="R2" s="8"/>
      <c r="S2" s="8"/>
      <c r="T2" s="8"/>
      <c r="U2" s="8"/>
      <c r="V2" s="8">
        <f t="shared" ref="V2:V33" si="1">SUM(J2:U2)</f>
        <v>153</v>
      </c>
      <c r="W2" s="9">
        <f t="shared" ref="W2:W33" si="2">V2/H2</f>
        <v>25.5</v>
      </c>
    </row>
    <row r="3" spans="1:23" x14ac:dyDescent="0.3">
      <c r="A3" s="4" t="str">
        <f>VLOOKUP(G3,Data!$A:$G,2,0)</f>
        <v>Chandi Charan Mahato</v>
      </c>
      <c r="B3" s="4" t="str">
        <f>VLOOKUP(G3,Data!$A:$G,3,0)</f>
        <v>Active</v>
      </c>
      <c r="C3" s="4" t="str">
        <f>VLOOKUP(G3,Data!$A:$G,4,0)</f>
        <v>Durgapur</v>
      </c>
      <c r="D3" s="4" t="str">
        <f>VLOOKUP(G3,Data!$A:$G,5,0)</f>
        <v>Jhantipahari</v>
      </c>
      <c r="E3" s="4" t="str">
        <f>VLOOKUP(G3,Data!$A:$G,6,0)</f>
        <v>Asish Kumar Mandal</v>
      </c>
      <c r="F3" s="10" t="str">
        <f>VLOOKUP(G3,Data!$A:$G,7,0)</f>
        <v>2160314962</v>
      </c>
      <c r="G3" s="5">
        <v>27220</v>
      </c>
      <c r="H3" s="7">
        <f>VLOOKUP(G3,'FI txn'!$G:$H,2,0)</f>
        <v>6</v>
      </c>
      <c r="I3" s="7">
        <f t="shared" si="0"/>
        <v>1800</v>
      </c>
      <c r="J3" s="8">
        <v>30</v>
      </c>
      <c r="K3" s="8">
        <v>31</v>
      </c>
      <c r="L3" s="8">
        <v>30</v>
      </c>
      <c r="M3" s="8">
        <v>31</v>
      </c>
      <c r="N3" s="8">
        <v>31</v>
      </c>
      <c r="O3" s="8"/>
      <c r="P3" s="8"/>
      <c r="Q3" s="8"/>
      <c r="R3" s="8"/>
      <c r="S3" s="8"/>
      <c r="T3" s="8"/>
      <c r="U3" s="8"/>
      <c r="V3" s="8">
        <f t="shared" si="1"/>
        <v>153</v>
      </c>
      <c r="W3" s="9">
        <f t="shared" si="2"/>
        <v>25.5</v>
      </c>
    </row>
    <row r="4" spans="1:23" x14ac:dyDescent="0.3">
      <c r="A4" s="4" t="str">
        <f>VLOOKUP(G4,Data!$A:$G,2,0)</f>
        <v>Sunil Biswas</v>
      </c>
      <c r="B4" s="4" t="str">
        <f>VLOOKUP(G4,Data!$A:$G,3,0)</f>
        <v>Active</v>
      </c>
      <c r="C4" s="4" t="str">
        <f>VLOOKUP(G4,Data!$A:$G,4,0)</f>
        <v>Durgapur</v>
      </c>
      <c r="D4" s="4" t="str">
        <f>VLOOKUP(G4,Data!$A:$G,5,0)</f>
        <v>Badkulla</v>
      </c>
      <c r="E4" s="4" t="str">
        <f>VLOOKUP(G4,Data!$A:$G,6,0)</f>
        <v>Swapan Kumar Biswas</v>
      </c>
      <c r="F4" s="10" t="str">
        <f>VLOOKUP(G4,Data!$A:$G,7,0)</f>
        <v>2430315186</v>
      </c>
      <c r="G4" s="5">
        <v>27732</v>
      </c>
      <c r="H4" s="7">
        <f>VLOOKUP(G4,'FI txn'!$G:$H,2,0)</f>
        <v>6</v>
      </c>
      <c r="I4" s="7">
        <f t="shared" si="0"/>
        <v>1800</v>
      </c>
      <c r="J4" s="8">
        <v>30</v>
      </c>
      <c r="K4" s="8">
        <v>31</v>
      </c>
      <c r="L4" s="8">
        <v>30</v>
      </c>
      <c r="M4" s="8">
        <v>31</v>
      </c>
      <c r="N4" s="8">
        <v>31</v>
      </c>
      <c r="O4" s="8"/>
      <c r="P4" s="8"/>
      <c r="Q4" s="8"/>
      <c r="R4" s="8"/>
      <c r="S4" s="8"/>
      <c r="T4" s="8"/>
      <c r="U4" s="8"/>
      <c r="V4" s="8">
        <f t="shared" si="1"/>
        <v>153</v>
      </c>
      <c r="W4" s="9">
        <f t="shared" si="2"/>
        <v>25.5</v>
      </c>
    </row>
    <row r="5" spans="1:23" x14ac:dyDescent="0.3">
      <c r="A5" s="4" t="str">
        <f>VLOOKUP(G5,Data!$A:$G,2,0)</f>
        <v>Avi Sk</v>
      </c>
      <c r="B5" s="4" t="str">
        <f>VLOOKUP(G5,Data!$A:$G,3,0)</f>
        <v>Active</v>
      </c>
      <c r="C5" s="4" t="str">
        <f>VLOOKUP(G5,Data!$A:$G,4,0)</f>
        <v>Siliguri</v>
      </c>
      <c r="D5" s="4" t="str">
        <f>VLOOKUP(G5,Data!$A:$G,5,0)</f>
        <v>Sagarpara</v>
      </c>
      <c r="E5" s="4" t="str">
        <f>VLOOKUP(G5,Data!$A:$G,6,0)</f>
        <v>Habibur Rahaman</v>
      </c>
      <c r="F5" s="10" t="str">
        <f>VLOOKUP(G5,Data!$A:$G,7,0)</f>
        <v>2410311259</v>
      </c>
      <c r="G5" s="5">
        <v>28860</v>
      </c>
      <c r="H5" s="7">
        <f>VLOOKUP(G5,'FI txn'!$G:$H,2,0)</f>
        <v>6</v>
      </c>
      <c r="I5" s="7">
        <f t="shared" si="0"/>
        <v>1800</v>
      </c>
      <c r="J5" s="8">
        <v>30</v>
      </c>
      <c r="K5" s="8">
        <v>30</v>
      </c>
      <c r="L5" s="8">
        <v>30</v>
      </c>
      <c r="M5" s="8">
        <v>31</v>
      </c>
      <c r="N5" s="8">
        <v>30</v>
      </c>
      <c r="O5" s="8"/>
      <c r="P5" s="8"/>
      <c r="Q5" s="8"/>
      <c r="R5" s="8"/>
      <c r="S5" s="8"/>
      <c r="T5" s="8"/>
      <c r="U5" s="8"/>
      <c r="V5" s="8">
        <f t="shared" si="1"/>
        <v>151</v>
      </c>
      <c r="W5" s="9">
        <f t="shared" si="2"/>
        <v>25.166666666666668</v>
      </c>
    </row>
    <row r="6" spans="1:23" x14ac:dyDescent="0.3">
      <c r="A6" s="4" t="str">
        <f>VLOOKUP(G6,Data!$A:$G,2,0)</f>
        <v>Under Office (W Medinipur)</v>
      </c>
      <c r="B6" s="4" t="str">
        <f>VLOOKUP(G6,Data!$A:$G,3,0)</f>
        <v>Active</v>
      </c>
      <c r="C6" s="4" t="str">
        <f>VLOOKUP(G6,Data!$A:$G,4,0)</f>
        <v>Hooghly</v>
      </c>
      <c r="D6" s="4" t="str">
        <f>VLOOKUP(G6,Data!$A:$G,5,0)</f>
        <v>Binpur</v>
      </c>
      <c r="E6" s="4" t="str">
        <f>VLOOKUP(G6,Data!$A:$G,6,0)</f>
        <v>Debika Singha Patra</v>
      </c>
      <c r="F6" s="10" t="str">
        <f>VLOOKUP(G6,Data!$A:$G,7,0)</f>
        <v>2390311962</v>
      </c>
      <c r="G6" s="5">
        <v>22789</v>
      </c>
      <c r="H6" s="7">
        <f>VLOOKUP(G6,'FI txn'!$G:$H,2,0)</f>
        <v>6</v>
      </c>
      <c r="I6" s="7">
        <f t="shared" si="0"/>
        <v>1800</v>
      </c>
      <c r="J6" s="8">
        <v>29</v>
      </c>
      <c r="K6" s="8">
        <v>31</v>
      </c>
      <c r="L6" s="8">
        <v>30</v>
      </c>
      <c r="M6" s="8">
        <v>31</v>
      </c>
      <c r="N6" s="8">
        <v>31</v>
      </c>
      <c r="O6" s="8"/>
      <c r="P6" s="8"/>
      <c r="Q6" s="8"/>
      <c r="R6" s="8"/>
      <c r="S6" s="8"/>
      <c r="T6" s="8"/>
      <c r="U6" s="8"/>
      <c r="V6" s="8">
        <f t="shared" si="1"/>
        <v>152</v>
      </c>
      <c r="W6" s="9">
        <f t="shared" si="2"/>
        <v>25.333333333333332</v>
      </c>
    </row>
    <row r="7" spans="1:23" x14ac:dyDescent="0.3">
      <c r="A7" s="4" t="str">
        <f>VLOOKUP(G7,Data!$A:$G,2,0)</f>
        <v>Rajendra Kumar Bapari</v>
      </c>
      <c r="B7" s="4" t="str">
        <f>VLOOKUP(G7,Data!$A:$G,3,0)</f>
        <v>Active</v>
      </c>
      <c r="C7" s="4" t="str">
        <f>VLOOKUP(G7,Data!$A:$G,4,0)</f>
        <v>Durgapur</v>
      </c>
      <c r="D7" s="4" t="str">
        <f>VLOOKUP(G7,Data!$A:$G,5,0)</f>
        <v>Kushodanga</v>
      </c>
      <c r="E7" s="4" t="str">
        <f>VLOOKUP(G7,Data!$A:$G,6,0)</f>
        <v>Priti Das</v>
      </c>
      <c r="F7" s="10" t="str">
        <f>VLOOKUP(G7,Data!$A:$G,7,0)</f>
        <v>3390315408</v>
      </c>
      <c r="G7" s="5">
        <v>28176</v>
      </c>
      <c r="H7" s="7">
        <f>VLOOKUP(G7,'FI txn'!$G:$H,2,0)</f>
        <v>6</v>
      </c>
      <c r="I7" s="7">
        <f t="shared" si="0"/>
        <v>1800</v>
      </c>
      <c r="J7" s="8">
        <v>29</v>
      </c>
      <c r="K7" s="8">
        <v>31</v>
      </c>
      <c r="L7" s="8">
        <v>30</v>
      </c>
      <c r="M7" s="8">
        <v>31</v>
      </c>
      <c r="N7" s="8">
        <v>31</v>
      </c>
      <c r="O7" s="8"/>
      <c r="P7" s="8"/>
      <c r="Q7" s="8"/>
      <c r="R7" s="8"/>
      <c r="S7" s="8"/>
      <c r="T7" s="8"/>
      <c r="U7" s="8"/>
      <c r="V7" s="8">
        <f t="shared" si="1"/>
        <v>152</v>
      </c>
      <c r="W7" s="9">
        <f t="shared" si="2"/>
        <v>25.333333333333332</v>
      </c>
    </row>
    <row r="8" spans="1:23" x14ac:dyDescent="0.3">
      <c r="A8" s="4" t="str">
        <f>VLOOKUP(G8,Data!$A:$G,2,0)</f>
        <v>Sunil Biswas</v>
      </c>
      <c r="B8" s="4" t="str">
        <f>VLOOKUP(G8,Data!$A:$G,3,0)</f>
        <v>Active</v>
      </c>
      <c r="C8" s="4" t="str">
        <f>VLOOKUP(G8,Data!$A:$G,4,0)</f>
        <v>Durgapur</v>
      </c>
      <c r="D8" s="4" t="str">
        <f>VLOOKUP(G8,Data!$A:$G,5,0)</f>
        <v>Hidaypur</v>
      </c>
      <c r="E8" s="4" t="str">
        <f>VLOOKUP(G8,Data!$A:$G,6,0)</f>
        <v>Akramul Shaikh</v>
      </c>
      <c r="F8" s="10" t="str">
        <f>VLOOKUP(G8,Data!$A:$G,7,0)</f>
        <v>2430315571</v>
      </c>
      <c r="G8" s="5">
        <v>28485</v>
      </c>
      <c r="H8" s="7">
        <f>VLOOKUP(G8,'FI txn'!$G:$H,2,0)</f>
        <v>6</v>
      </c>
      <c r="I8" s="7">
        <f t="shared" si="0"/>
        <v>1800</v>
      </c>
      <c r="J8" s="8">
        <v>29</v>
      </c>
      <c r="K8" s="8">
        <v>31</v>
      </c>
      <c r="L8" s="8">
        <v>30</v>
      </c>
      <c r="M8" s="8">
        <v>31</v>
      </c>
      <c r="N8" s="8">
        <v>31</v>
      </c>
      <c r="O8" s="8"/>
      <c r="P8" s="8"/>
      <c r="Q8" s="8"/>
      <c r="R8" s="8"/>
      <c r="S8" s="8"/>
      <c r="T8" s="8"/>
      <c r="U8" s="8"/>
      <c r="V8" s="8">
        <f t="shared" si="1"/>
        <v>152</v>
      </c>
      <c r="W8" s="9">
        <f t="shared" si="2"/>
        <v>25.333333333333332</v>
      </c>
    </row>
    <row r="9" spans="1:23" x14ac:dyDescent="0.3">
      <c r="A9" s="4" t="str">
        <f>VLOOKUP(G9,Data!$A:$G,2,0)</f>
        <v>Sunil Biswas</v>
      </c>
      <c r="B9" s="4" t="str">
        <f>VLOOKUP(G9,Data!$A:$G,3,0)</f>
        <v>Active</v>
      </c>
      <c r="C9" s="4" t="str">
        <f>VLOOKUP(G9,Data!$A:$G,4,0)</f>
        <v>Durgapur</v>
      </c>
      <c r="D9" s="4" t="str">
        <f>VLOOKUP(G9,Data!$A:$G,5,0)</f>
        <v>Santipur</v>
      </c>
      <c r="E9" s="4" t="str">
        <f>VLOOKUP(G9,Data!$A:$G,6,0)</f>
        <v>Sahabul Mandal</v>
      </c>
      <c r="F9" s="10" t="str">
        <f>VLOOKUP(G9,Data!$A:$G,7,0)</f>
        <v>2430315156</v>
      </c>
      <c r="G9" s="5">
        <v>27630</v>
      </c>
      <c r="H9" s="7">
        <f>VLOOKUP(G9,'FI txn'!$G:$H,2,0)</f>
        <v>6</v>
      </c>
      <c r="I9" s="7">
        <f t="shared" si="0"/>
        <v>1800</v>
      </c>
      <c r="J9" s="8">
        <v>30</v>
      </c>
      <c r="K9" s="8">
        <v>31</v>
      </c>
      <c r="L9" s="8">
        <v>30</v>
      </c>
      <c r="M9" s="8">
        <v>30</v>
      </c>
      <c r="N9" s="8">
        <v>31</v>
      </c>
      <c r="O9" s="8"/>
      <c r="P9" s="8"/>
      <c r="Q9" s="8"/>
      <c r="R9" s="8"/>
      <c r="S9" s="8"/>
      <c r="T9" s="8"/>
      <c r="U9" s="8"/>
      <c r="V9" s="8">
        <f t="shared" si="1"/>
        <v>152</v>
      </c>
      <c r="W9" s="9">
        <f t="shared" si="2"/>
        <v>25.333333333333332</v>
      </c>
    </row>
    <row r="10" spans="1:23" x14ac:dyDescent="0.3">
      <c r="A10" s="4" t="str">
        <f>VLOOKUP(G10,Data!$A:$G,2,0)</f>
        <v>Under Office (W Medinipur)</v>
      </c>
      <c r="B10" s="4" t="str">
        <f>VLOOKUP(G10,Data!$A:$G,3,0)</f>
        <v>Active</v>
      </c>
      <c r="C10" s="4" t="str">
        <f>VLOOKUP(G10,Data!$A:$G,4,0)</f>
        <v>Hooghly</v>
      </c>
      <c r="D10" s="4" t="str">
        <f>VLOOKUP(G10,Data!$A:$G,5,0)</f>
        <v>Banka</v>
      </c>
      <c r="E10" s="4" t="str">
        <f>VLOOKUP(G10,Data!$A:$G,6,0)</f>
        <v>Subhajit Chanda</v>
      </c>
      <c r="F10" s="10" t="str">
        <f>VLOOKUP(G10,Data!$A:$G,7,0)</f>
        <v>2390312543</v>
      </c>
      <c r="G10" s="5">
        <v>23560</v>
      </c>
      <c r="H10" s="7">
        <f>VLOOKUP(G10,'FI txn'!$G:$H,2,0)</f>
        <v>6</v>
      </c>
      <c r="I10" s="7">
        <f t="shared" si="0"/>
        <v>1800</v>
      </c>
      <c r="J10" s="8">
        <v>29</v>
      </c>
      <c r="K10" s="8">
        <v>30</v>
      </c>
      <c r="L10" s="8">
        <v>30</v>
      </c>
      <c r="M10" s="8">
        <v>31</v>
      </c>
      <c r="N10" s="8">
        <v>29</v>
      </c>
      <c r="O10" s="8"/>
      <c r="P10" s="8"/>
      <c r="Q10" s="8"/>
      <c r="R10" s="8"/>
      <c r="S10" s="8"/>
      <c r="T10" s="8"/>
      <c r="U10" s="8"/>
      <c r="V10" s="8">
        <f t="shared" si="1"/>
        <v>149</v>
      </c>
      <c r="W10" s="9">
        <f t="shared" si="2"/>
        <v>24.833333333333332</v>
      </c>
    </row>
    <row r="11" spans="1:23" x14ac:dyDescent="0.3">
      <c r="A11" s="4" t="str">
        <f>VLOOKUP(G11,Data!$A:$G,2,0)</f>
        <v>Avi Sk</v>
      </c>
      <c r="B11" s="4" t="str">
        <f>VLOOKUP(G11,Data!$A:$G,3,0)</f>
        <v>Active</v>
      </c>
      <c r="C11" s="4" t="str">
        <f>VLOOKUP(G11,Data!$A:$G,4,0)</f>
        <v>Siliguri</v>
      </c>
      <c r="D11" s="4" t="str">
        <f>VLOOKUP(G11,Data!$A:$G,5,0)</f>
        <v>Talgachi</v>
      </c>
      <c r="E11" s="4" t="str">
        <f>VLOOKUP(G11,Data!$A:$G,6,0)</f>
        <v>Giridhari Sarkar</v>
      </c>
      <c r="F11" s="10" t="str">
        <f>VLOOKUP(G11,Data!$A:$G,7,0)</f>
        <v>2410310083</v>
      </c>
      <c r="G11" s="5">
        <v>20509</v>
      </c>
      <c r="H11" s="7">
        <f>VLOOKUP(G11,'FI txn'!$G:$H,2,0)</f>
        <v>6</v>
      </c>
      <c r="I11" s="7">
        <f t="shared" si="0"/>
        <v>1800</v>
      </c>
      <c r="J11" s="8">
        <v>30</v>
      </c>
      <c r="K11" s="8">
        <v>31</v>
      </c>
      <c r="L11" s="8">
        <v>28</v>
      </c>
      <c r="M11" s="8">
        <v>31</v>
      </c>
      <c r="N11" s="8">
        <v>31</v>
      </c>
      <c r="O11" s="8"/>
      <c r="P11" s="8"/>
      <c r="Q11" s="8"/>
      <c r="R11" s="8"/>
      <c r="S11" s="8"/>
      <c r="T11" s="8"/>
      <c r="U11" s="8"/>
      <c r="V11" s="8">
        <f t="shared" si="1"/>
        <v>151</v>
      </c>
      <c r="W11" s="9">
        <f t="shared" si="2"/>
        <v>25.166666666666668</v>
      </c>
    </row>
    <row r="12" spans="1:23" x14ac:dyDescent="0.3">
      <c r="A12" s="4" t="str">
        <f>VLOOKUP(G12,Data!$A:$G,2,0)</f>
        <v>Under Office (Birbhum)</v>
      </c>
      <c r="B12" s="4" t="str">
        <f>VLOOKUP(G12,Data!$A:$G,3,0)</f>
        <v>Active</v>
      </c>
      <c r="C12" s="4" t="str">
        <f>VLOOKUP(G12,Data!$A:$G,4,0)</f>
        <v>Siliguri</v>
      </c>
      <c r="D12" s="4" t="str">
        <f>VLOOKUP(G12,Data!$A:$G,5,0)</f>
        <v>Mangaldihi</v>
      </c>
      <c r="E12" s="4" t="str">
        <f>VLOOKUP(G12,Data!$A:$G,6,0)</f>
        <v>Ruma Bagdi</v>
      </c>
      <c r="F12" s="10" t="str">
        <f>VLOOKUP(G12,Data!$A:$G,7,0)</f>
        <v>0140311670</v>
      </c>
      <c r="G12" s="5">
        <v>27028</v>
      </c>
      <c r="H12" s="7">
        <f>VLOOKUP(G12,'FI txn'!$G:$H,2,0)</f>
        <v>6</v>
      </c>
      <c r="I12" s="7">
        <f t="shared" si="0"/>
        <v>1800</v>
      </c>
      <c r="J12" s="8">
        <v>30</v>
      </c>
      <c r="K12" s="8">
        <v>31</v>
      </c>
      <c r="L12" s="8">
        <v>28</v>
      </c>
      <c r="M12" s="8">
        <v>31</v>
      </c>
      <c r="N12" s="8">
        <v>30</v>
      </c>
      <c r="O12" s="8"/>
      <c r="P12" s="8"/>
      <c r="Q12" s="8"/>
      <c r="R12" s="8"/>
      <c r="S12" s="8"/>
      <c r="T12" s="8"/>
      <c r="U12" s="8"/>
      <c r="V12" s="8">
        <f t="shared" si="1"/>
        <v>150</v>
      </c>
      <c r="W12" s="9">
        <f t="shared" si="2"/>
        <v>25</v>
      </c>
    </row>
    <row r="13" spans="1:23" x14ac:dyDescent="0.3">
      <c r="A13" s="4" t="str">
        <f>VLOOKUP(G13,Data!$A:$G,2,0)</f>
        <v>Souvik Maity</v>
      </c>
      <c r="B13" s="4" t="str">
        <f>VLOOKUP(G13,Data!$A:$G,3,0)</f>
        <v>Active</v>
      </c>
      <c r="C13" s="4" t="str">
        <f>VLOOKUP(G13,Data!$A:$G,4,0)</f>
        <v>Hooghly</v>
      </c>
      <c r="D13" s="4" t="str">
        <f>VLOOKUP(G13,Data!$A:$G,5,0)</f>
        <v>Haripal</v>
      </c>
      <c r="E13" s="4" t="str">
        <f>VLOOKUP(G13,Data!$A:$G,6,0)</f>
        <v>Sk Nasim Ali</v>
      </c>
      <c r="F13" s="10" t="str">
        <f>VLOOKUP(G13,Data!$A:$G,7,0)</f>
        <v>3390312613</v>
      </c>
      <c r="G13" s="5">
        <v>23669</v>
      </c>
      <c r="H13" s="7">
        <f>VLOOKUP(G13,'FI txn'!$G:$H,2,0)</f>
        <v>6</v>
      </c>
      <c r="I13" s="7">
        <f t="shared" si="0"/>
        <v>1800</v>
      </c>
      <c r="J13" s="8">
        <v>29</v>
      </c>
      <c r="K13" s="8">
        <v>29</v>
      </c>
      <c r="L13" s="8">
        <v>30</v>
      </c>
      <c r="M13" s="8">
        <v>31</v>
      </c>
      <c r="N13" s="8">
        <v>31</v>
      </c>
      <c r="O13" s="8"/>
      <c r="P13" s="8"/>
      <c r="Q13" s="8"/>
      <c r="R13" s="8"/>
      <c r="S13" s="8"/>
      <c r="T13" s="8"/>
      <c r="U13" s="8"/>
      <c r="V13" s="8">
        <f t="shared" si="1"/>
        <v>150</v>
      </c>
      <c r="W13" s="9">
        <f t="shared" si="2"/>
        <v>25</v>
      </c>
    </row>
    <row r="14" spans="1:23" x14ac:dyDescent="0.3">
      <c r="A14" s="4" t="str">
        <f>VLOOKUP(G14,Data!$A:$G,2,0)</f>
        <v>Under Office (W Medinipur)</v>
      </c>
      <c r="B14" s="4" t="str">
        <f>VLOOKUP(G14,Data!$A:$G,3,0)</f>
        <v>Active</v>
      </c>
      <c r="C14" s="4" t="str">
        <f>VLOOKUP(G14,Data!$A:$G,4,0)</f>
        <v>Hooghly</v>
      </c>
      <c r="D14" s="4" t="str">
        <f>VLOOKUP(G14,Data!$A:$G,5,0)</f>
        <v>Khirpai</v>
      </c>
      <c r="E14" s="4" t="str">
        <f>VLOOKUP(G14,Data!$A:$G,6,0)</f>
        <v>Sk Abbas Ali</v>
      </c>
      <c r="F14" s="10" t="str">
        <f>VLOOKUP(G14,Data!$A:$G,7,0)</f>
        <v>2390311378</v>
      </c>
      <c r="G14" s="5">
        <v>22073</v>
      </c>
      <c r="H14" s="7">
        <f>VLOOKUP(G14,'FI txn'!$G:$H,2,0)</f>
        <v>6</v>
      </c>
      <c r="I14" s="7">
        <f t="shared" si="0"/>
        <v>1800</v>
      </c>
      <c r="J14" s="8">
        <v>29</v>
      </c>
      <c r="K14" s="8">
        <v>30</v>
      </c>
      <c r="L14" s="8">
        <v>29</v>
      </c>
      <c r="M14" s="8">
        <v>31</v>
      </c>
      <c r="N14" s="8">
        <v>30</v>
      </c>
      <c r="O14" s="8"/>
      <c r="P14" s="8"/>
      <c r="Q14" s="8"/>
      <c r="R14" s="8"/>
      <c r="S14" s="8"/>
      <c r="T14" s="8"/>
      <c r="U14" s="8"/>
      <c r="V14" s="8">
        <f t="shared" si="1"/>
        <v>149</v>
      </c>
      <c r="W14" s="9">
        <f t="shared" si="2"/>
        <v>24.833333333333332</v>
      </c>
    </row>
    <row r="15" spans="1:23" x14ac:dyDescent="0.3">
      <c r="A15" s="4" t="str">
        <f>VLOOKUP(G15,Data!$A:$G,2,0)</f>
        <v>Under Office (Birbhum)</v>
      </c>
      <c r="B15" s="4" t="str">
        <f>VLOOKUP(G15,Data!$A:$G,3,0)</f>
        <v>Active</v>
      </c>
      <c r="C15" s="4" t="str">
        <f>VLOOKUP(G15,Data!$A:$G,4,0)</f>
        <v>Siliguri</v>
      </c>
      <c r="D15" s="4" t="str">
        <f>VLOOKUP(G15,Data!$A:$G,5,0)</f>
        <v>Kapista</v>
      </c>
      <c r="E15" s="4" t="str">
        <f>VLOOKUP(G15,Data!$A:$G,6,0)</f>
        <v>Swarup Karmakar</v>
      </c>
      <c r="F15" s="10" t="str">
        <f>VLOOKUP(G15,Data!$A:$G,7,0)</f>
        <v>0140311629</v>
      </c>
      <c r="G15" s="5">
        <v>22366</v>
      </c>
      <c r="H15" s="7">
        <f>VLOOKUP(G15,'FI txn'!$G:$H,2,0)</f>
        <v>6</v>
      </c>
      <c r="I15" s="7">
        <f t="shared" si="0"/>
        <v>1800</v>
      </c>
      <c r="J15" s="8">
        <v>29</v>
      </c>
      <c r="K15" s="8">
        <v>30</v>
      </c>
      <c r="L15" s="8">
        <v>30</v>
      </c>
      <c r="M15" s="8">
        <v>30</v>
      </c>
      <c r="N15" s="8">
        <v>31</v>
      </c>
      <c r="O15" s="8"/>
      <c r="P15" s="8"/>
      <c r="Q15" s="8"/>
      <c r="R15" s="8"/>
      <c r="S15" s="8"/>
      <c r="T15" s="8"/>
      <c r="U15" s="8"/>
      <c r="V15" s="8">
        <f t="shared" si="1"/>
        <v>150</v>
      </c>
      <c r="W15" s="9">
        <f t="shared" si="2"/>
        <v>25</v>
      </c>
    </row>
    <row r="16" spans="1:23" x14ac:dyDescent="0.3">
      <c r="A16" s="4" t="str">
        <f>VLOOKUP(G16,Data!$A:$G,2,0)</f>
        <v>Under Office (W Medinipur)</v>
      </c>
      <c r="B16" s="4" t="str">
        <f>VLOOKUP(G16,Data!$A:$G,3,0)</f>
        <v>Active</v>
      </c>
      <c r="C16" s="4" t="str">
        <f>VLOOKUP(G16,Data!$A:$G,4,0)</f>
        <v>Hooghly</v>
      </c>
      <c r="D16" s="4" t="str">
        <f>VLOOKUP(G16,Data!$A:$G,5,0)</f>
        <v>Palaschabrighat</v>
      </c>
      <c r="E16" s="4" t="str">
        <f>VLOOKUP(G16,Data!$A:$G,6,0)</f>
        <v>Asima Bhunia</v>
      </c>
      <c r="F16" s="10" t="str">
        <f>VLOOKUP(G16,Data!$A:$G,7,0)</f>
        <v>2390311420</v>
      </c>
      <c r="G16" s="5">
        <v>22126</v>
      </c>
      <c r="H16" s="7">
        <f>VLOOKUP(G16,'FI txn'!$G:$H,2,0)</f>
        <v>6</v>
      </c>
      <c r="I16" s="7">
        <f t="shared" si="0"/>
        <v>1800</v>
      </c>
      <c r="J16" s="8">
        <v>30</v>
      </c>
      <c r="K16" s="8">
        <v>30</v>
      </c>
      <c r="L16" s="8">
        <v>29</v>
      </c>
      <c r="M16" s="8">
        <v>30</v>
      </c>
      <c r="N16" s="8">
        <v>30</v>
      </c>
      <c r="O16" s="8"/>
      <c r="P16" s="8"/>
      <c r="Q16" s="8"/>
      <c r="R16" s="8"/>
      <c r="S16" s="8"/>
      <c r="T16" s="8"/>
      <c r="U16" s="8"/>
      <c r="V16" s="8">
        <f t="shared" si="1"/>
        <v>149</v>
      </c>
      <c r="W16" s="9">
        <f t="shared" si="2"/>
        <v>24.833333333333332</v>
      </c>
    </row>
    <row r="17" spans="1:23" x14ac:dyDescent="0.3">
      <c r="A17" s="4" t="str">
        <f>VLOOKUP(G17,Data!$A:$G,2,0)</f>
        <v>Under Office (W Medinipur)</v>
      </c>
      <c r="B17" s="4" t="str">
        <f>VLOOKUP(G17,Data!$A:$G,3,0)</f>
        <v>Active</v>
      </c>
      <c r="C17" s="4" t="str">
        <f>VLOOKUP(G17,Data!$A:$G,4,0)</f>
        <v>Hooghly</v>
      </c>
      <c r="D17" s="4" t="str">
        <f>VLOOKUP(G17,Data!$A:$G,5,0)</f>
        <v>Nayabasat</v>
      </c>
      <c r="E17" s="4" t="str">
        <f>VLOOKUP(G17,Data!$A:$G,6,0)</f>
        <v>Soumya Ghosh</v>
      </c>
      <c r="F17" s="10" t="str">
        <f>VLOOKUP(G17,Data!$A:$G,7,0)</f>
        <v>2390314387</v>
      </c>
      <c r="G17" s="5">
        <v>26403</v>
      </c>
      <c r="H17" s="7">
        <f>VLOOKUP(G17,'FI txn'!$G:$H,2,0)</f>
        <v>6</v>
      </c>
      <c r="I17" s="7">
        <f t="shared" si="0"/>
        <v>1800</v>
      </c>
      <c r="J17" s="8">
        <v>30</v>
      </c>
      <c r="K17" s="8">
        <v>29</v>
      </c>
      <c r="L17" s="8">
        <v>30</v>
      </c>
      <c r="M17" s="8">
        <v>29</v>
      </c>
      <c r="N17" s="8">
        <v>31</v>
      </c>
      <c r="O17" s="8"/>
      <c r="P17" s="8"/>
      <c r="Q17" s="8"/>
      <c r="R17" s="8"/>
      <c r="S17" s="8"/>
      <c r="T17" s="8"/>
      <c r="U17" s="8"/>
      <c r="V17" s="8">
        <f t="shared" si="1"/>
        <v>149</v>
      </c>
      <c r="W17" s="9">
        <f t="shared" si="2"/>
        <v>24.833333333333332</v>
      </c>
    </row>
    <row r="18" spans="1:23" x14ac:dyDescent="0.3">
      <c r="A18" s="4" t="str">
        <f>VLOOKUP(G18,Data!$A:$G,2,0)</f>
        <v>Shyamalesh Sarkar</v>
      </c>
      <c r="B18" s="4" t="str">
        <f>VLOOKUP(G18,Data!$A:$G,3,0)</f>
        <v>Active</v>
      </c>
      <c r="C18" s="4" t="str">
        <f>VLOOKUP(G18,Data!$A:$G,4,0)</f>
        <v>Siliguri</v>
      </c>
      <c r="D18" s="4" t="str">
        <f>VLOOKUP(G18,Data!$A:$G,5,0)</f>
        <v>Sagardighi Square</v>
      </c>
      <c r="E18" s="4" t="str">
        <f>VLOOKUP(G18,Data!$A:$G,6,0)</f>
        <v>Ajit Modak</v>
      </c>
      <c r="F18" s="10" t="str">
        <f>VLOOKUP(G18,Data!$A:$G,7,0)</f>
        <v>2200309916</v>
      </c>
      <c r="G18" s="5">
        <v>20322</v>
      </c>
      <c r="H18" s="7">
        <f>VLOOKUP(G18,'FI txn'!$G:$H,2,0)</f>
        <v>6</v>
      </c>
      <c r="I18" s="7">
        <f t="shared" si="0"/>
        <v>1800</v>
      </c>
      <c r="J18" s="8">
        <v>28</v>
      </c>
      <c r="K18" s="8">
        <v>30</v>
      </c>
      <c r="L18" s="8">
        <v>30</v>
      </c>
      <c r="M18" s="8">
        <v>30</v>
      </c>
      <c r="N18" s="8">
        <v>31</v>
      </c>
      <c r="O18" s="8"/>
      <c r="P18" s="8"/>
      <c r="Q18" s="8"/>
      <c r="R18" s="8"/>
      <c r="S18" s="8"/>
      <c r="T18" s="8"/>
      <c r="U18" s="8"/>
      <c r="V18" s="8">
        <f t="shared" si="1"/>
        <v>149</v>
      </c>
      <c r="W18" s="9">
        <f t="shared" si="2"/>
        <v>24.833333333333332</v>
      </c>
    </row>
    <row r="19" spans="1:23" x14ac:dyDescent="0.3">
      <c r="A19" s="4" t="str">
        <f>VLOOKUP(G19,Data!$A:$G,2,0)</f>
        <v>Under Office (Birbhum)</v>
      </c>
      <c r="B19" s="4" t="str">
        <f>VLOOKUP(G19,Data!$A:$G,3,0)</f>
        <v>Active</v>
      </c>
      <c r="C19" s="4" t="str">
        <f>VLOOKUP(G19,Data!$A:$G,4,0)</f>
        <v>Siliguri</v>
      </c>
      <c r="D19" s="4" t="str">
        <f>VLOOKUP(G19,Data!$A:$G,5,0)</f>
        <v>Parsundi</v>
      </c>
      <c r="E19" s="4" t="str">
        <f>VLOOKUP(G19,Data!$A:$G,6,0)</f>
        <v>Parimal Das</v>
      </c>
      <c r="F19" s="10" t="str">
        <f>VLOOKUP(G19,Data!$A:$G,7,0)</f>
        <v>0140311628</v>
      </c>
      <c r="G19" s="5">
        <v>22365</v>
      </c>
      <c r="H19" s="7">
        <f>VLOOKUP(G19,'FI txn'!$G:$H,2,0)</f>
        <v>6</v>
      </c>
      <c r="I19" s="7">
        <f t="shared" si="0"/>
        <v>1800</v>
      </c>
      <c r="J19" s="8">
        <v>28</v>
      </c>
      <c r="K19" s="8">
        <v>29</v>
      </c>
      <c r="L19" s="8">
        <v>30</v>
      </c>
      <c r="M19" s="8">
        <v>31</v>
      </c>
      <c r="N19" s="8">
        <v>31</v>
      </c>
      <c r="O19" s="8"/>
      <c r="P19" s="8"/>
      <c r="Q19" s="8"/>
      <c r="R19" s="8"/>
      <c r="S19" s="8"/>
      <c r="T19" s="8"/>
      <c r="U19" s="8"/>
      <c r="V19" s="8">
        <f t="shared" si="1"/>
        <v>149</v>
      </c>
      <c r="W19" s="9">
        <f t="shared" si="2"/>
        <v>24.833333333333332</v>
      </c>
    </row>
    <row r="20" spans="1:23" x14ac:dyDescent="0.3">
      <c r="A20" s="4" t="str">
        <f>VLOOKUP(G20,Data!$A:$G,2,0)</f>
        <v>Souvik Maity</v>
      </c>
      <c r="B20" s="4" t="str">
        <f>VLOOKUP(G20,Data!$A:$G,3,0)</f>
        <v>Active</v>
      </c>
      <c r="C20" s="4" t="str">
        <f>VLOOKUP(G20,Data!$A:$G,4,0)</f>
        <v>Hooghly</v>
      </c>
      <c r="D20" s="4" t="str">
        <f>VLOOKUP(G20,Data!$A:$G,5,0)</f>
        <v>Kamarpara</v>
      </c>
      <c r="E20" s="4" t="str">
        <f>VLOOKUP(G20,Data!$A:$G,6,0)</f>
        <v>Mithu Ghosh</v>
      </c>
      <c r="F20" s="10" t="str">
        <f>VLOOKUP(G20,Data!$A:$G,7,0)</f>
        <v>3390312440</v>
      </c>
      <c r="G20" s="5">
        <v>23432</v>
      </c>
      <c r="H20" s="7">
        <f>VLOOKUP(G20,'FI txn'!$G:$H,2,0)</f>
        <v>6</v>
      </c>
      <c r="I20" s="7">
        <f t="shared" si="0"/>
        <v>1800</v>
      </c>
      <c r="J20" s="8">
        <v>28</v>
      </c>
      <c r="K20" s="8">
        <v>29</v>
      </c>
      <c r="L20" s="8">
        <v>30</v>
      </c>
      <c r="M20" s="8">
        <v>31</v>
      </c>
      <c r="N20" s="8">
        <v>28</v>
      </c>
      <c r="O20" s="8"/>
      <c r="P20" s="8"/>
      <c r="Q20" s="8"/>
      <c r="R20" s="8"/>
      <c r="S20" s="8"/>
      <c r="T20" s="8"/>
      <c r="U20" s="8"/>
      <c r="V20" s="8">
        <f t="shared" si="1"/>
        <v>146</v>
      </c>
      <c r="W20" s="9">
        <f t="shared" si="2"/>
        <v>24.333333333333332</v>
      </c>
    </row>
    <row r="21" spans="1:23" x14ac:dyDescent="0.3">
      <c r="A21" s="4" t="str">
        <f>VLOOKUP(G21,Data!$A:$G,2,0)</f>
        <v>Souvik Maity</v>
      </c>
      <c r="B21" s="4" t="str">
        <f>VLOOKUP(G21,Data!$A:$G,3,0)</f>
        <v>Active</v>
      </c>
      <c r="C21" s="4" t="str">
        <f>VLOOKUP(G21,Data!$A:$G,4,0)</f>
        <v>Hooghly</v>
      </c>
      <c r="D21" s="4" t="str">
        <f>VLOOKUP(G21,Data!$A:$G,5,0)</f>
        <v>Khanakul</v>
      </c>
      <c r="E21" s="4" t="str">
        <f>VLOOKUP(G21,Data!$A:$G,6,0)</f>
        <v>Sahanaj Parvin</v>
      </c>
      <c r="F21" s="10" t="str">
        <f>VLOOKUP(G21,Data!$A:$G,7,0)</f>
        <v>3390312801</v>
      </c>
      <c r="G21" s="5">
        <v>23969</v>
      </c>
      <c r="H21" s="7">
        <f>VLOOKUP(G21,'FI txn'!$G:$H,2,0)</f>
        <v>6</v>
      </c>
      <c r="I21" s="7">
        <f t="shared" si="0"/>
        <v>1800</v>
      </c>
      <c r="J21" s="8">
        <v>27</v>
      </c>
      <c r="K21" s="8">
        <v>29</v>
      </c>
      <c r="L21" s="8">
        <v>30</v>
      </c>
      <c r="M21" s="8">
        <v>31</v>
      </c>
      <c r="N21" s="8">
        <v>30</v>
      </c>
      <c r="O21" s="8"/>
      <c r="P21" s="8"/>
      <c r="Q21" s="8"/>
      <c r="R21" s="8"/>
      <c r="S21" s="8"/>
      <c r="T21" s="8"/>
      <c r="U21" s="8"/>
      <c r="V21" s="8">
        <f t="shared" si="1"/>
        <v>147</v>
      </c>
      <c r="W21" s="9">
        <f t="shared" si="2"/>
        <v>24.5</v>
      </c>
    </row>
    <row r="22" spans="1:23" x14ac:dyDescent="0.3">
      <c r="A22" s="4" t="str">
        <f>VLOOKUP(G22,Data!$A:$G,2,0)</f>
        <v>Pijush Singha</v>
      </c>
      <c r="B22" s="4" t="str">
        <f>VLOOKUP(G22,Data!$A:$G,3,0)</f>
        <v>Active</v>
      </c>
      <c r="C22" s="4" t="str">
        <f>VLOOKUP(G22,Data!$A:$G,4,0)</f>
        <v>Siliguri</v>
      </c>
      <c r="D22" s="4" t="str">
        <f>VLOOKUP(G22,Data!$A:$G,5,0)</f>
        <v>Nabagram</v>
      </c>
      <c r="E22" s="4" t="str">
        <f>VLOOKUP(G22,Data!$A:$G,6,0)</f>
        <v>Sahabuddin Ahmed</v>
      </c>
      <c r="F22" s="10" t="str">
        <f>VLOOKUP(G22,Data!$A:$G,7,0)</f>
        <v>2410312329</v>
      </c>
      <c r="G22" s="5">
        <v>23270</v>
      </c>
      <c r="H22" s="7">
        <f>VLOOKUP(G22,'FI txn'!$G:$H,2,0)</f>
        <v>6</v>
      </c>
      <c r="I22" s="7">
        <f t="shared" si="0"/>
        <v>1800</v>
      </c>
      <c r="J22" s="8">
        <v>29</v>
      </c>
      <c r="K22" s="8">
        <v>26</v>
      </c>
      <c r="L22" s="8">
        <v>30</v>
      </c>
      <c r="M22" s="8">
        <v>29</v>
      </c>
      <c r="N22" s="8">
        <v>31</v>
      </c>
      <c r="O22" s="8"/>
      <c r="P22" s="8"/>
      <c r="Q22" s="8"/>
      <c r="R22" s="8"/>
      <c r="S22" s="8"/>
      <c r="T22" s="8"/>
      <c r="U22" s="8"/>
      <c r="V22" s="8">
        <f t="shared" si="1"/>
        <v>145</v>
      </c>
      <c r="W22" s="9">
        <f t="shared" si="2"/>
        <v>24.166666666666668</v>
      </c>
    </row>
    <row r="23" spans="1:23" x14ac:dyDescent="0.3">
      <c r="A23" s="4" t="str">
        <f>VLOOKUP(G23,Data!$A:$G,2,0)</f>
        <v>Under Office (Birbhum)</v>
      </c>
      <c r="B23" s="4" t="str">
        <f>VLOOKUP(G23,Data!$A:$G,3,0)</f>
        <v>Active</v>
      </c>
      <c r="C23" s="4" t="str">
        <f>VLOOKUP(G23,Data!$A:$G,4,0)</f>
        <v>Siliguri</v>
      </c>
      <c r="D23" s="4" t="str">
        <f>VLOOKUP(G23,Data!$A:$G,5,0)</f>
        <v>Jajigram</v>
      </c>
      <c r="E23" s="4" t="str">
        <f>VLOOKUP(G23,Data!$A:$G,6,0)</f>
        <v>Mosaraf Sk</v>
      </c>
      <c r="F23" s="10" t="str">
        <f>VLOOKUP(G23,Data!$A:$G,7,0)</f>
        <v>0140311323</v>
      </c>
      <c r="G23" s="5">
        <v>21998</v>
      </c>
      <c r="H23" s="7">
        <f>VLOOKUP(G23,'FI txn'!$G:$H,2,0)</f>
        <v>6</v>
      </c>
      <c r="I23" s="7">
        <f t="shared" si="0"/>
        <v>1800</v>
      </c>
      <c r="J23" s="8">
        <v>26</v>
      </c>
      <c r="K23" s="8">
        <v>30</v>
      </c>
      <c r="L23" s="8">
        <v>29</v>
      </c>
      <c r="M23" s="8">
        <v>28</v>
      </c>
      <c r="N23" s="8">
        <v>31</v>
      </c>
      <c r="O23" s="8"/>
      <c r="P23" s="8"/>
      <c r="Q23" s="8"/>
      <c r="R23" s="8"/>
      <c r="S23" s="8"/>
      <c r="T23" s="8"/>
      <c r="U23" s="8"/>
      <c r="V23" s="8">
        <f t="shared" si="1"/>
        <v>144</v>
      </c>
      <c r="W23" s="9">
        <f t="shared" si="2"/>
        <v>24</v>
      </c>
    </row>
    <row r="24" spans="1:23" x14ac:dyDescent="0.3">
      <c r="A24" s="4" t="str">
        <f>VLOOKUP(G24,Data!$A:$G,2,0)</f>
        <v>Rajiul Momin</v>
      </c>
      <c r="B24" s="4" t="str">
        <f>VLOOKUP(G24,Data!$A:$G,3,0)</f>
        <v>Active</v>
      </c>
      <c r="C24" s="4" t="str">
        <f>VLOOKUP(G24,Data!$A:$G,4,0)</f>
        <v>Siliguri</v>
      </c>
      <c r="D24" s="4" t="str">
        <f>VLOOKUP(G24,Data!$A:$G,5,0)</f>
        <v>Kaluari</v>
      </c>
      <c r="E24" s="4" t="str">
        <f>VLOOKUP(G24,Data!$A:$G,6,0)</f>
        <v>Masidur Rahaman</v>
      </c>
      <c r="F24" s="10" t="str">
        <f>VLOOKUP(G24,Data!$A:$G,7,0)</f>
        <v>2370310973</v>
      </c>
      <c r="G24" s="5">
        <v>21583</v>
      </c>
      <c r="H24" s="7">
        <f>VLOOKUP(G24,'FI txn'!$G:$H,2,0)</f>
        <v>6</v>
      </c>
      <c r="I24" s="7">
        <f t="shared" si="0"/>
        <v>1800</v>
      </c>
      <c r="J24" s="8">
        <v>28</v>
      </c>
      <c r="K24" s="8">
        <v>27</v>
      </c>
      <c r="L24" s="8">
        <v>30</v>
      </c>
      <c r="M24" s="8">
        <v>27</v>
      </c>
      <c r="N24" s="8">
        <v>31</v>
      </c>
      <c r="O24" s="8"/>
      <c r="P24" s="8"/>
      <c r="Q24" s="8"/>
      <c r="R24" s="8"/>
      <c r="S24" s="8"/>
      <c r="T24" s="8"/>
      <c r="U24" s="8"/>
      <c r="V24" s="8">
        <f t="shared" si="1"/>
        <v>143</v>
      </c>
      <c r="W24" s="9">
        <f t="shared" si="2"/>
        <v>23.833333333333332</v>
      </c>
    </row>
    <row r="25" spans="1:23" x14ac:dyDescent="0.3">
      <c r="A25" s="4" t="str">
        <f>VLOOKUP(G25,Data!$A:$G,2,0)</f>
        <v>Sanjoy Paul</v>
      </c>
      <c r="B25" s="4" t="str">
        <f>VLOOKUP(G25,Data!$A:$G,3,0)</f>
        <v>Active</v>
      </c>
      <c r="C25" s="4" t="str">
        <f>VLOOKUP(G25,Data!$A:$G,4,0)</f>
        <v>Siliguri</v>
      </c>
      <c r="D25" s="4" t="str">
        <f>VLOOKUP(G25,Data!$A:$G,5,0)</f>
        <v>Raiganj</v>
      </c>
      <c r="E25" s="4" t="str">
        <f>VLOOKUP(G25,Data!$A:$G,6,0)</f>
        <v>Joydev Das</v>
      </c>
      <c r="F25" s="10" t="str">
        <f>VLOOKUP(G25,Data!$A:$G,7,0)</f>
        <v>2560315042</v>
      </c>
      <c r="G25" s="5">
        <v>27372</v>
      </c>
      <c r="H25" s="7">
        <f>VLOOKUP(G25,'FI txn'!$G:$H,2,0)</f>
        <v>6</v>
      </c>
      <c r="I25" s="7">
        <f t="shared" si="0"/>
        <v>1800</v>
      </c>
      <c r="J25" s="8">
        <v>30</v>
      </c>
      <c r="K25" s="8">
        <v>31</v>
      </c>
      <c r="L25" s="8">
        <v>27</v>
      </c>
      <c r="M25" s="8">
        <v>24</v>
      </c>
      <c r="N25" s="8">
        <v>30</v>
      </c>
      <c r="O25" s="8"/>
      <c r="P25" s="8"/>
      <c r="Q25" s="8"/>
      <c r="R25" s="8"/>
      <c r="S25" s="8"/>
      <c r="T25" s="8"/>
      <c r="U25" s="8"/>
      <c r="V25" s="8">
        <f t="shared" si="1"/>
        <v>142</v>
      </c>
      <c r="W25" s="9">
        <f t="shared" si="2"/>
        <v>23.666666666666668</v>
      </c>
    </row>
    <row r="26" spans="1:23" x14ac:dyDescent="0.3">
      <c r="A26" s="4" t="str">
        <f>VLOOKUP(G26,Data!$A:$G,2,0)</f>
        <v>Souvik Maity</v>
      </c>
      <c r="B26" s="4" t="str">
        <f>VLOOKUP(G26,Data!$A:$G,3,0)</f>
        <v>Active</v>
      </c>
      <c r="C26" s="4" t="str">
        <f>VLOOKUP(G26,Data!$A:$G,4,0)</f>
        <v>Hooghly</v>
      </c>
      <c r="D26" s="4" t="str">
        <f>VLOOKUP(G26,Data!$A:$G,5,0)</f>
        <v>Sahapur</v>
      </c>
      <c r="E26" s="4" t="str">
        <f>VLOOKUP(G26,Data!$A:$G,6,0)</f>
        <v>Bishal Maity</v>
      </c>
      <c r="F26" s="10" t="str">
        <f>VLOOKUP(G26,Data!$A:$G,7,0)</f>
        <v>3390312548</v>
      </c>
      <c r="G26" s="5">
        <v>23565</v>
      </c>
      <c r="H26" s="7">
        <f>VLOOKUP(G26,'FI txn'!$G:$H,2,0)</f>
        <v>6</v>
      </c>
      <c r="I26" s="7">
        <f t="shared" si="0"/>
        <v>1800</v>
      </c>
      <c r="J26" s="8">
        <v>25</v>
      </c>
      <c r="K26" s="8">
        <v>31</v>
      </c>
      <c r="L26" s="8">
        <v>29</v>
      </c>
      <c r="M26" s="8">
        <v>26</v>
      </c>
      <c r="N26" s="8">
        <v>30</v>
      </c>
      <c r="O26" s="8"/>
      <c r="P26" s="8"/>
      <c r="Q26" s="8"/>
      <c r="R26" s="8"/>
      <c r="S26" s="8"/>
      <c r="T26" s="8"/>
      <c r="U26" s="8"/>
      <c r="V26" s="8">
        <f t="shared" si="1"/>
        <v>141</v>
      </c>
      <c r="W26" s="9">
        <f t="shared" si="2"/>
        <v>23.5</v>
      </c>
    </row>
    <row r="27" spans="1:23" x14ac:dyDescent="0.3">
      <c r="A27" s="4" t="str">
        <f>VLOOKUP(G27,Data!$A:$G,2,0)</f>
        <v>Souvik Maity</v>
      </c>
      <c r="B27" s="4" t="str">
        <f>VLOOKUP(G27,Data!$A:$G,3,0)</f>
        <v>Active</v>
      </c>
      <c r="C27" s="4" t="str">
        <f>VLOOKUP(G27,Data!$A:$G,4,0)</f>
        <v>Hooghly</v>
      </c>
      <c r="D27" s="4" t="str">
        <f>VLOOKUP(G27,Data!$A:$G,5,0)</f>
        <v>Polba</v>
      </c>
      <c r="E27" s="4" t="str">
        <f>VLOOKUP(G27,Data!$A:$G,6,0)</f>
        <v>Arindam Sadhukhan</v>
      </c>
      <c r="F27" s="10" t="str">
        <f>VLOOKUP(G27,Data!$A:$G,7,0)</f>
        <v>3390315433</v>
      </c>
      <c r="G27" s="5">
        <v>28201</v>
      </c>
      <c r="H27" s="7">
        <f>VLOOKUP(G27,'FI txn'!$G:$H,2,0)</f>
        <v>6</v>
      </c>
      <c r="I27" s="7">
        <f t="shared" si="0"/>
        <v>1800</v>
      </c>
      <c r="J27" s="8">
        <v>29</v>
      </c>
      <c r="K27" s="8">
        <v>29</v>
      </c>
      <c r="L27" s="8">
        <v>30</v>
      </c>
      <c r="M27" s="8">
        <v>23</v>
      </c>
      <c r="N27" s="8">
        <v>31</v>
      </c>
      <c r="O27" s="8"/>
      <c r="P27" s="8"/>
      <c r="Q27" s="8"/>
      <c r="R27" s="8"/>
      <c r="S27" s="8"/>
      <c r="T27" s="8"/>
      <c r="U27" s="8"/>
      <c r="V27" s="8">
        <f t="shared" si="1"/>
        <v>142</v>
      </c>
      <c r="W27" s="9">
        <f t="shared" si="2"/>
        <v>23.666666666666668</v>
      </c>
    </row>
    <row r="28" spans="1:23" x14ac:dyDescent="0.3">
      <c r="A28" s="4" t="str">
        <f>VLOOKUP(G28,Data!$A:$G,2,0)</f>
        <v>Souvik Maity</v>
      </c>
      <c r="B28" s="4" t="str">
        <f>VLOOKUP(G28,Data!$A:$G,3,0)</f>
        <v>Active</v>
      </c>
      <c r="C28" s="4" t="str">
        <f>VLOOKUP(G28,Data!$A:$G,4,0)</f>
        <v>Hooghly</v>
      </c>
      <c r="D28" s="4" t="str">
        <f>VLOOKUP(G28,Data!$A:$G,5,0)</f>
        <v>Rajhati</v>
      </c>
      <c r="E28" s="4" t="str">
        <f>VLOOKUP(G28,Data!$A:$G,6,0)</f>
        <v>Santanu Ghosh</v>
      </c>
      <c r="F28" s="10" t="str">
        <f>VLOOKUP(G28,Data!$A:$G,7,0)</f>
        <v>3390314383</v>
      </c>
      <c r="G28" s="5">
        <v>26399</v>
      </c>
      <c r="H28" s="7">
        <f>VLOOKUP(G28,'FI txn'!$G:$H,2,0)</f>
        <v>6</v>
      </c>
      <c r="I28" s="7">
        <f t="shared" si="0"/>
        <v>1800</v>
      </c>
      <c r="J28" s="8">
        <v>25</v>
      </c>
      <c r="K28" s="8">
        <v>28</v>
      </c>
      <c r="L28" s="8">
        <v>27</v>
      </c>
      <c r="M28" s="8">
        <v>30</v>
      </c>
      <c r="N28" s="8">
        <v>31</v>
      </c>
      <c r="O28" s="8"/>
      <c r="P28" s="8"/>
      <c r="Q28" s="8"/>
      <c r="R28" s="8"/>
      <c r="S28" s="8"/>
      <c r="T28" s="8"/>
      <c r="U28" s="8"/>
      <c r="V28" s="8">
        <f t="shared" si="1"/>
        <v>141</v>
      </c>
      <c r="W28" s="9">
        <f t="shared" si="2"/>
        <v>23.5</v>
      </c>
    </row>
    <row r="29" spans="1:23" x14ac:dyDescent="0.3">
      <c r="A29" s="4" t="str">
        <f>VLOOKUP(G29,Data!$A:$G,2,0)</f>
        <v>Souvik Maity</v>
      </c>
      <c r="B29" s="4" t="str">
        <f>VLOOKUP(G29,Data!$A:$G,3,0)</f>
        <v>Active</v>
      </c>
      <c r="C29" s="4" t="str">
        <f>VLOOKUP(G29,Data!$A:$G,4,0)</f>
        <v>Hooghly</v>
      </c>
      <c r="D29" s="4" t="str">
        <f>VLOOKUP(G29,Data!$A:$G,5,0)</f>
        <v>Khanakul</v>
      </c>
      <c r="E29" s="4" t="str">
        <f>VLOOKUP(G29,Data!$A:$G,6,0)</f>
        <v>Susobhan Patra</v>
      </c>
      <c r="F29" s="10" t="str">
        <f>VLOOKUP(G29,Data!$A:$G,7,0)</f>
        <v>3390312968</v>
      </c>
      <c r="G29" s="5">
        <v>24153</v>
      </c>
      <c r="H29" s="7">
        <f>VLOOKUP(G29,'FI txn'!$G:$H,2,0)</f>
        <v>6</v>
      </c>
      <c r="I29" s="7">
        <f t="shared" si="0"/>
        <v>1800</v>
      </c>
      <c r="J29" s="8">
        <v>24</v>
      </c>
      <c r="K29" s="8">
        <v>29</v>
      </c>
      <c r="L29" s="8">
        <v>28</v>
      </c>
      <c r="M29" s="8">
        <v>29</v>
      </c>
      <c r="N29" s="8">
        <v>31</v>
      </c>
      <c r="O29" s="8"/>
      <c r="P29" s="8"/>
      <c r="Q29" s="8"/>
      <c r="R29" s="8"/>
      <c r="S29" s="8"/>
      <c r="T29" s="8"/>
      <c r="U29" s="8"/>
      <c r="V29" s="8">
        <f t="shared" si="1"/>
        <v>141</v>
      </c>
      <c r="W29" s="9">
        <f t="shared" si="2"/>
        <v>23.5</v>
      </c>
    </row>
    <row r="30" spans="1:23" x14ac:dyDescent="0.3">
      <c r="A30" s="4" t="str">
        <f>VLOOKUP(G30,Data!$A:$G,2,0)</f>
        <v>Under Office (W Medinipur)</v>
      </c>
      <c r="B30" s="4" t="str">
        <f>VLOOKUP(G30,Data!$A:$G,3,0)</f>
        <v>Active</v>
      </c>
      <c r="C30" s="4" t="str">
        <f>VLOOKUP(G30,Data!$A:$G,4,0)</f>
        <v>Hooghly</v>
      </c>
      <c r="D30" s="4" t="str">
        <f>VLOOKUP(G30,Data!$A:$G,5,0)</f>
        <v>Ramjibanpur</v>
      </c>
      <c r="E30" s="4" t="str">
        <f>VLOOKUP(G30,Data!$A:$G,6,0)</f>
        <v>Abhijit Modak</v>
      </c>
      <c r="F30" s="10" t="str">
        <f>VLOOKUP(G30,Data!$A:$G,7,0)</f>
        <v>3390311425</v>
      </c>
      <c r="G30" s="5">
        <v>22131</v>
      </c>
      <c r="H30" s="7">
        <f>VLOOKUP(G30,'FI txn'!$G:$H,2,0)</f>
        <v>6</v>
      </c>
      <c r="I30" s="7">
        <f t="shared" si="0"/>
        <v>1800</v>
      </c>
      <c r="J30" s="8">
        <v>30</v>
      </c>
      <c r="K30" s="8">
        <v>31</v>
      </c>
      <c r="L30" s="8">
        <v>30</v>
      </c>
      <c r="M30" s="8">
        <v>31</v>
      </c>
      <c r="N30" s="8">
        <v>30</v>
      </c>
      <c r="O30" s="8"/>
      <c r="P30" s="8"/>
      <c r="Q30" s="8"/>
      <c r="R30" s="8"/>
      <c r="S30" s="8"/>
      <c r="T30" s="8"/>
      <c r="U30" s="8"/>
      <c r="V30" s="8">
        <f t="shared" si="1"/>
        <v>152</v>
      </c>
      <c r="W30" s="9">
        <f t="shared" si="2"/>
        <v>25.333333333333332</v>
      </c>
    </row>
    <row r="31" spans="1:23" x14ac:dyDescent="0.3">
      <c r="A31" s="4" t="str">
        <f>VLOOKUP(G31,Data!$A:$G,2,0)</f>
        <v>Sunil Biswas</v>
      </c>
      <c r="B31" s="4" t="str">
        <f>VLOOKUP(G31,Data!$A:$G,3,0)</f>
        <v>Active</v>
      </c>
      <c r="C31" s="4" t="str">
        <f>VLOOKUP(G31,Data!$A:$G,4,0)</f>
        <v>Durgapur</v>
      </c>
      <c r="D31" s="4" t="str">
        <f>VLOOKUP(G31,Data!$A:$G,5,0)</f>
        <v>Haringhata</v>
      </c>
      <c r="E31" s="4" t="str">
        <f>VLOOKUP(G31,Data!$A:$G,6,0)</f>
        <v>Eyakub Mondal</v>
      </c>
      <c r="F31" s="10" t="str">
        <f>VLOOKUP(G31,Data!$A:$G,7,0)</f>
        <v>2430315345</v>
      </c>
      <c r="G31" s="5">
        <v>28085</v>
      </c>
      <c r="H31" s="7">
        <f>VLOOKUP(G31,'FI txn'!$G:$H,2,0)</f>
        <v>6</v>
      </c>
      <c r="I31" s="7">
        <f t="shared" si="0"/>
        <v>1800</v>
      </c>
      <c r="J31" s="8">
        <v>30</v>
      </c>
      <c r="K31" s="8">
        <v>30</v>
      </c>
      <c r="L31" s="8">
        <v>30</v>
      </c>
      <c r="M31" s="8">
        <v>31</v>
      </c>
      <c r="N31" s="8">
        <v>30</v>
      </c>
      <c r="O31" s="8"/>
      <c r="P31" s="8"/>
      <c r="Q31" s="8"/>
      <c r="R31" s="8"/>
      <c r="S31" s="8"/>
      <c r="T31" s="8"/>
      <c r="U31" s="8"/>
      <c r="V31" s="8">
        <f t="shared" si="1"/>
        <v>151</v>
      </c>
      <c r="W31" s="9">
        <f t="shared" si="2"/>
        <v>25.166666666666668</v>
      </c>
    </row>
    <row r="32" spans="1:23" x14ac:dyDescent="0.3">
      <c r="A32" s="4" t="str">
        <f>VLOOKUP(G32,Data!$A:$G,2,0)</f>
        <v>Souvik Maity</v>
      </c>
      <c r="B32" s="4" t="str">
        <f>VLOOKUP(G32,Data!$A:$G,3,0)</f>
        <v>Active</v>
      </c>
      <c r="C32" s="4" t="str">
        <f>VLOOKUP(G32,Data!$A:$G,4,0)</f>
        <v>Hooghly</v>
      </c>
      <c r="D32" s="4" t="str">
        <f>VLOOKUP(G32,Data!$A:$G,5,0)</f>
        <v>Rajhati</v>
      </c>
      <c r="E32" s="4" t="str">
        <f>VLOOKUP(G32,Data!$A:$G,6,0)</f>
        <v>Arnnapurna Maji</v>
      </c>
      <c r="F32" s="10" t="str">
        <f>VLOOKUP(G32,Data!$A:$G,7,0)</f>
        <v>3390311610</v>
      </c>
      <c r="G32" s="5">
        <v>22346</v>
      </c>
      <c r="H32" s="7">
        <f>VLOOKUP(G32,'FI txn'!$G:$H,2,0)</f>
        <v>6</v>
      </c>
      <c r="I32" s="7">
        <f t="shared" si="0"/>
        <v>1800</v>
      </c>
      <c r="J32" s="8">
        <v>29</v>
      </c>
      <c r="K32" s="8">
        <v>31</v>
      </c>
      <c r="L32" s="8">
        <v>30</v>
      </c>
      <c r="M32" s="8">
        <v>31</v>
      </c>
      <c r="N32" s="8">
        <v>30</v>
      </c>
      <c r="O32" s="8"/>
      <c r="P32" s="8"/>
      <c r="Q32" s="8"/>
      <c r="R32" s="8"/>
      <c r="S32" s="8"/>
      <c r="T32" s="8"/>
      <c r="U32" s="8"/>
      <c r="V32" s="8">
        <f t="shared" si="1"/>
        <v>151</v>
      </c>
      <c r="W32" s="9">
        <f t="shared" si="2"/>
        <v>25.166666666666668</v>
      </c>
    </row>
    <row r="33" spans="1:23" x14ac:dyDescent="0.3">
      <c r="A33" s="4" t="str">
        <f>VLOOKUP(G33,Data!$A:$G,2,0)</f>
        <v>Rajendra Kumar Bapari</v>
      </c>
      <c r="B33" s="4" t="str">
        <f>VLOOKUP(G33,Data!$A:$G,3,0)</f>
        <v>Active</v>
      </c>
      <c r="C33" s="4" t="str">
        <f>VLOOKUP(G33,Data!$A:$G,4,0)</f>
        <v>Durgapur</v>
      </c>
      <c r="D33" s="4" t="str">
        <f>VLOOKUP(G33,Data!$A:$G,5,0)</f>
        <v>Patuli</v>
      </c>
      <c r="E33" s="4" t="str">
        <f>VLOOKUP(G33,Data!$A:$G,6,0)</f>
        <v>Satyajit Kar</v>
      </c>
      <c r="F33" s="10" t="str">
        <f>VLOOKUP(G33,Data!$A:$G,7,0)</f>
        <v>3390314928</v>
      </c>
      <c r="G33" s="5">
        <v>27154</v>
      </c>
      <c r="H33" s="7">
        <f>VLOOKUP(G33,'FI txn'!$G:$H,2,0)</f>
        <v>6</v>
      </c>
      <c r="I33" s="7">
        <f t="shared" si="0"/>
        <v>1800</v>
      </c>
      <c r="J33" s="8">
        <v>30</v>
      </c>
      <c r="K33" s="8">
        <v>30</v>
      </c>
      <c r="L33" s="8">
        <v>29</v>
      </c>
      <c r="M33" s="8">
        <v>31</v>
      </c>
      <c r="N33" s="8">
        <v>30</v>
      </c>
      <c r="O33" s="8"/>
      <c r="P33" s="8"/>
      <c r="Q33" s="8"/>
      <c r="R33" s="8"/>
      <c r="S33" s="8"/>
      <c r="T33" s="8"/>
      <c r="U33" s="8"/>
      <c r="V33" s="8">
        <f t="shared" si="1"/>
        <v>150</v>
      </c>
      <c r="W33" s="9">
        <f t="shared" si="2"/>
        <v>25</v>
      </c>
    </row>
    <row r="34" spans="1:23" x14ac:dyDescent="0.3">
      <c r="A34" s="4" t="str">
        <f>VLOOKUP(G34,Data!$A:$G,2,0)</f>
        <v>Souvik Maity</v>
      </c>
      <c r="B34" s="4" t="str">
        <f>VLOOKUP(G34,Data!$A:$G,3,0)</f>
        <v>Active</v>
      </c>
      <c r="C34" s="4" t="str">
        <f>VLOOKUP(G34,Data!$A:$G,4,0)</f>
        <v>Hooghly</v>
      </c>
      <c r="D34" s="4" t="str">
        <f>VLOOKUP(G34,Data!$A:$G,5,0)</f>
        <v>Jirat</v>
      </c>
      <c r="E34" s="4" t="str">
        <f>VLOOKUP(G34,Data!$A:$G,6,0)</f>
        <v>Sahadeb Chakraborty</v>
      </c>
      <c r="F34" s="10" t="str">
        <f>VLOOKUP(G34,Data!$A:$G,7,0)</f>
        <v>3390314204</v>
      </c>
      <c r="G34" s="5">
        <v>26084</v>
      </c>
      <c r="H34" s="7">
        <f>VLOOKUP(G34,'FI txn'!$G:$H,2,0)</f>
        <v>6</v>
      </c>
      <c r="I34" s="7">
        <f t="shared" ref="I34:I65" si="3">H34*300</f>
        <v>1800</v>
      </c>
      <c r="J34" s="8">
        <v>27</v>
      </c>
      <c r="K34" s="8">
        <v>31</v>
      </c>
      <c r="L34" s="8">
        <v>30</v>
      </c>
      <c r="M34" s="8">
        <v>31</v>
      </c>
      <c r="N34" s="8">
        <v>30</v>
      </c>
      <c r="O34" s="8"/>
      <c r="P34" s="8"/>
      <c r="Q34" s="8"/>
      <c r="R34" s="8"/>
      <c r="S34" s="8"/>
      <c r="T34" s="8"/>
      <c r="U34" s="8"/>
      <c r="V34" s="8">
        <f t="shared" ref="V34:V65" si="4">SUM(J34:U34)</f>
        <v>149</v>
      </c>
      <c r="W34" s="9">
        <f t="shared" ref="W34:W65" si="5">V34/H34</f>
        <v>24.833333333333332</v>
      </c>
    </row>
    <row r="35" spans="1:23" x14ac:dyDescent="0.3">
      <c r="A35" s="4" t="str">
        <f>VLOOKUP(G35,Data!$A:$G,2,0)</f>
        <v>Souvik Maity</v>
      </c>
      <c r="B35" s="4" t="str">
        <f>VLOOKUP(G35,Data!$A:$G,3,0)</f>
        <v>Active</v>
      </c>
      <c r="C35" s="4" t="str">
        <f>VLOOKUP(G35,Data!$A:$G,4,0)</f>
        <v>Hooghly</v>
      </c>
      <c r="D35" s="4" t="str">
        <f>VLOOKUP(G35,Data!$A:$G,5,0)</f>
        <v>Dhanyaghori</v>
      </c>
      <c r="E35" s="4" t="str">
        <f>VLOOKUP(G35,Data!$A:$G,6,0)</f>
        <v>Pratik Chakraborty</v>
      </c>
      <c r="F35" s="10" t="str">
        <f>VLOOKUP(G35,Data!$A:$G,7,0)</f>
        <v>3390311946</v>
      </c>
      <c r="G35" s="5">
        <v>22773</v>
      </c>
      <c r="H35" s="7">
        <f>VLOOKUP(G35,'FI txn'!$G:$H,2,0)</f>
        <v>6</v>
      </c>
      <c r="I35" s="7">
        <f t="shared" si="3"/>
        <v>1800</v>
      </c>
      <c r="J35" s="8">
        <v>29</v>
      </c>
      <c r="K35" s="8">
        <v>31</v>
      </c>
      <c r="L35" s="8">
        <v>29</v>
      </c>
      <c r="M35" s="8">
        <v>29</v>
      </c>
      <c r="N35" s="8">
        <v>30</v>
      </c>
      <c r="O35" s="8"/>
      <c r="P35" s="8"/>
      <c r="Q35" s="8"/>
      <c r="R35" s="8"/>
      <c r="S35" s="8"/>
      <c r="T35" s="8"/>
      <c r="U35" s="8"/>
      <c r="V35" s="8">
        <f t="shared" si="4"/>
        <v>148</v>
      </c>
      <c r="W35" s="9">
        <f t="shared" si="5"/>
        <v>24.666666666666668</v>
      </c>
    </row>
    <row r="36" spans="1:23" x14ac:dyDescent="0.3">
      <c r="A36" s="4" t="str">
        <f>VLOOKUP(G36,Data!$A:$G,2,0)</f>
        <v>Sunil Biswas</v>
      </c>
      <c r="B36" s="4" t="str">
        <f>VLOOKUP(G36,Data!$A:$G,3,0)</f>
        <v>Active</v>
      </c>
      <c r="C36" s="4" t="str">
        <f>VLOOKUP(G36,Data!$A:$G,4,0)</f>
        <v>Durgapur</v>
      </c>
      <c r="D36" s="4" t="str">
        <f>VLOOKUP(G36,Data!$A:$G,5,0)</f>
        <v>Hridaypur</v>
      </c>
      <c r="E36" s="4" t="str">
        <f>VLOOKUP(G36,Data!$A:$G,6,0)</f>
        <v xml:space="preserve">Injamul Rahaman </v>
      </c>
      <c r="F36" s="10" t="str">
        <f>VLOOKUP(G36,Data!$A:$G,7,0)</f>
        <v>2430314512</v>
      </c>
      <c r="G36" s="5">
        <v>26588</v>
      </c>
      <c r="H36" s="7">
        <f>VLOOKUP(G36,'FI txn'!$G:$H,2,0)</f>
        <v>6</v>
      </c>
      <c r="I36" s="7">
        <f t="shared" si="3"/>
        <v>1800</v>
      </c>
      <c r="J36" s="8">
        <v>28</v>
      </c>
      <c r="K36" s="8">
        <v>30</v>
      </c>
      <c r="L36" s="8">
        <v>30</v>
      </c>
      <c r="M36" s="8">
        <v>30</v>
      </c>
      <c r="N36" s="8">
        <v>30</v>
      </c>
      <c r="O36" s="8"/>
      <c r="P36" s="8"/>
      <c r="Q36" s="8"/>
      <c r="R36" s="8"/>
      <c r="S36" s="8"/>
      <c r="T36" s="8"/>
      <c r="U36" s="8"/>
      <c r="V36" s="8">
        <f t="shared" si="4"/>
        <v>148</v>
      </c>
      <c r="W36" s="9">
        <f t="shared" si="5"/>
        <v>24.666666666666668</v>
      </c>
    </row>
    <row r="37" spans="1:23" x14ac:dyDescent="0.3">
      <c r="A37" s="4" t="str">
        <f>VLOOKUP(G37,Data!$A:$G,2,0)</f>
        <v>Under Office (W Medinipur)</v>
      </c>
      <c r="B37" s="4" t="str">
        <f>VLOOKUP(G37,Data!$A:$G,3,0)</f>
        <v>Active</v>
      </c>
      <c r="C37" s="4" t="str">
        <f>VLOOKUP(G37,Data!$A:$G,4,0)</f>
        <v>Hooghly</v>
      </c>
      <c r="D37" s="4" t="str">
        <f>VLOOKUP(G37,Data!$A:$G,5,0)</f>
        <v>Bhairabpur</v>
      </c>
      <c r="E37" s="4" t="str">
        <f>VLOOKUP(G37,Data!$A:$G,6,0)</f>
        <v>Srabani Chatterjee</v>
      </c>
      <c r="F37" s="10" t="str">
        <f>VLOOKUP(G37,Data!$A:$G,7,0)</f>
        <v>2390312437</v>
      </c>
      <c r="G37" s="5">
        <v>23429</v>
      </c>
      <c r="H37" s="7">
        <f>VLOOKUP(G37,'FI txn'!$G:$H,2,0)</f>
        <v>6</v>
      </c>
      <c r="I37" s="7">
        <f t="shared" si="3"/>
        <v>1800</v>
      </c>
      <c r="J37" s="8">
        <v>28</v>
      </c>
      <c r="K37" s="8">
        <v>31</v>
      </c>
      <c r="L37" s="8">
        <v>28</v>
      </c>
      <c r="M37" s="8">
        <v>30</v>
      </c>
      <c r="N37" s="8">
        <v>30</v>
      </c>
      <c r="O37" s="8"/>
      <c r="P37" s="8"/>
      <c r="Q37" s="8"/>
      <c r="R37" s="8"/>
      <c r="S37" s="8"/>
      <c r="T37" s="8"/>
      <c r="U37" s="8"/>
      <c r="V37" s="8">
        <f t="shared" si="4"/>
        <v>147</v>
      </c>
      <c r="W37" s="9">
        <f t="shared" si="5"/>
        <v>24.5</v>
      </c>
    </row>
    <row r="38" spans="1:23" x14ac:dyDescent="0.3">
      <c r="A38" s="4" t="str">
        <f>VLOOKUP(G38,Data!$A:$G,2,0)</f>
        <v>Souvik Maity</v>
      </c>
      <c r="B38" s="4" t="str">
        <f>VLOOKUP(G38,Data!$A:$G,3,0)</f>
        <v>Active</v>
      </c>
      <c r="C38" s="4" t="str">
        <f>VLOOKUP(G38,Data!$A:$G,4,0)</f>
        <v>Hooghly</v>
      </c>
      <c r="D38" s="4" t="str">
        <f>VLOOKUP(G38,Data!$A:$G,5,0)</f>
        <v>Kamarpara</v>
      </c>
      <c r="E38" s="4" t="str">
        <f>VLOOKUP(G38,Data!$A:$G,6,0)</f>
        <v>Md Mustakim</v>
      </c>
      <c r="F38" s="10" t="str">
        <f>VLOOKUP(G38,Data!$A:$G,7,0)</f>
        <v>3390312441</v>
      </c>
      <c r="G38" s="5">
        <v>23433</v>
      </c>
      <c r="H38" s="7">
        <f>VLOOKUP(G38,'FI txn'!$G:$H,2,0)</f>
        <v>6</v>
      </c>
      <c r="I38" s="7">
        <f t="shared" si="3"/>
        <v>1800</v>
      </c>
      <c r="J38" s="8">
        <v>27</v>
      </c>
      <c r="K38" s="8">
        <v>28</v>
      </c>
      <c r="L38" s="8">
        <v>28</v>
      </c>
      <c r="M38" s="8">
        <v>30</v>
      </c>
      <c r="N38" s="8">
        <v>30</v>
      </c>
      <c r="O38" s="8"/>
      <c r="P38" s="8"/>
      <c r="Q38" s="8"/>
      <c r="R38" s="8"/>
      <c r="S38" s="8"/>
      <c r="T38" s="8"/>
      <c r="U38" s="8"/>
      <c r="V38" s="8">
        <f t="shared" si="4"/>
        <v>143</v>
      </c>
      <c r="W38" s="9">
        <f t="shared" si="5"/>
        <v>23.833333333333332</v>
      </c>
    </row>
    <row r="39" spans="1:23" x14ac:dyDescent="0.3">
      <c r="A39" s="4" t="str">
        <f>VLOOKUP(G39,Data!$A:$G,2,0)</f>
        <v>Rajendra Kumar Bapari</v>
      </c>
      <c r="B39" s="4" t="str">
        <f>VLOOKUP(G39,Data!$A:$G,3,0)</f>
        <v>Active</v>
      </c>
      <c r="C39" s="4" t="str">
        <f>VLOOKUP(G39,Data!$A:$G,4,0)</f>
        <v>Durgapur</v>
      </c>
      <c r="D39" s="4" t="str">
        <f>VLOOKUP(G39,Data!$A:$G,5,0)</f>
        <v>Kushodanga</v>
      </c>
      <c r="E39" s="4" t="str">
        <f>VLOOKUP(G39,Data!$A:$G,6,0)</f>
        <v>Rumpa Pal Mondal</v>
      </c>
      <c r="F39" s="10" t="str">
        <f>VLOOKUP(G39,Data!$A:$G,7,0)</f>
        <v>3390315402</v>
      </c>
      <c r="G39" s="5">
        <v>28170</v>
      </c>
      <c r="H39" s="7">
        <f>VLOOKUP(G39,'FI txn'!$G:$H,2,0)</f>
        <v>6</v>
      </c>
      <c r="I39" s="7">
        <f t="shared" si="3"/>
        <v>1800</v>
      </c>
      <c r="J39" s="8">
        <v>28</v>
      </c>
      <c r="K39" s="8">
        <v>31</v>
      </c>
      <c r="L39" s="8">
        <v>25</v>
      </c>
      <c r="M39" s="8">
        <v>29</v>
      </c>
      <c r="N39" s="8">
        <v>30</v>
      </c>
      <c r="O39" s="8"/>
      <c r="P39" s="8"/>
      <c r="Q39" s="8"/>
      <c r="R39" s="8"/>
      <c r="S39" s="8"/>
      <c r="T39" s="8"/>
      <c r="U39" s="8"/>
      <c r="V39" s="8">
        <f t="shared" si="4"/>
        <v>143</v>
      </c>
      <c r="W39" s="9">
        <f t="shared" si="5"/>
        <v>23.833333333333332</v>
      </c>
    </row>
    <row r="40" spans="1:23" x14ac:dyDescent="0.3">
      <c r="A40" s="4" t="str">
        <f>VLOOKUP(G40,Data!$A:$G,2,0)</f>
        <v>Under Office (W Medinipur)</v>
      </c>
      <c r="B40" s="4" t="str">
        <f>VLOOKUP(G40,Data!$A:$G,3,0)</f>
        <v>Active</v>
      </c>
      <c r="C40" s="4" t="str">
        <f>VLOOKUP(G40,Data!$A:$G,4,0)</f>
        <v>Hooghly</v>
      </c>
      <c r="D40" s="4" t="str">
        <f>VLOOKUP(G40,Data!$A:$G,5,0)</f>
        <v>Nayabasat</v>
      </c>
      <c r="E40" s="4" t="str">
        <f>VLOOKUP(G40,Data!$A:$G,6,0)</f>
        <v>Mousumi Chanda Dey</v>
      </c>
      <c r="F40" s="10" t="str">
        <f>VLOOKUP(G40,Data!$A:$G,7,0)</f>
        <v>2390315855</v>
      </c>
      <c r="G40" s="5">
        <v>29123</v>
      </c>
      <c r="H40" s="7">
        <f>VLOOKUP(G40,'FI txn'!$G:$H,2,0)</f>
        <v>6</v>
      </c>
      <c r="I40" s="7">
        <f t="shared" si="3"/>
        <v>1800</v>
      </c>
      <c r="J40" s="8">
        <v>25</v>
      </c>
      <c r="K40" s="8">
        <v>30</v>
      </c>
      <c r="L40" s="8">
        <v>28</v>
      </c>
      <c r="M40" s="8">
        <v>28</v>
      </c>
      <c r="N40" s="8">
        <v>30</v>
      </c>
      <c r="O40" s="8"/>
      <c r="P40" s="8"/>
      <c r="Q40" s="8"/>
      <c r="R40" s="8"/>
      <c r="S40" s="8"/>
      <c r="T40" s="8"/>
      <c r="U40" s="8"/>
      <c r="V40" s="8">
        <f t="shared" si="4"/>
        <v>141</v>
      </c>
      <c r="W40" s="9">
        <f t="shared" si="5"/>
        <v>23.5</v>
      </c>
    </row>
    <row r="41" spans="1:23" x14ac:dyDescent="0.3">
      <c r="A41" s="4" t="str">
        <f>VLOOKUP(G41,Data!$A:$G,2,0)</f>
        <v>Under Office (W Medinipur)</v>
      </c>
      <c r="B41" s="4" t="str">
        <f>VLOOKUP(G41,Data!$A:$G,3,0)</f>
        <v>Active</v>
      </c>
      <c r="C41" s="4" t="str">
        <f>VLOOKUP(G41,Data!$A:$G,4,0)</f>
        <v>Hooghly</v>
      </c>
      <c r="D41" s="4" t="str">
        <f>VLOOKUP(G41,Data!$A:$G,5,0)</f>
        <v>Banka</v>
      </c>
      <c r="E41" s="4" t="str">
        <f>VLOOKUP(G41,Data!$A:$G,6,0)</f>
        <v>Shampa Mandal</v>
      </c>
      <c r="F41" s="10" t="str">
        <f>VLOOKUP(G41,Data!$A:$G,7,0)</f>
        <v>2390312439</v>
      </c>
      <c r="G41" s="5">
        <v>23431</v>
      </c>
      <c r="H41" s="7">
        <f>VLOOKUP(G41,'FI txn'!$G:$H,2,0)</f>
        <v>6</v>
      </c>
      <c r="I41" s="7">
        <f t="shared" si="3"/>
        <v>1800</v>
      </c>
      <c r="J41" s="8">
        <v>29</v>
      </c>
      <c r="K41" s="8">
        <v>26</v>
      </c>
      <c r="L41" s="8">
        <v>27</v>
      </c>
      <c r="M41" s="8">
        <v>27</v>
      </c>
      <c r="N41" s="8">
        <v>29</v>
      </c>
      <c r="O41" s="8"/>
      <c r="P41" s="8"/>
      <c r="Q41" s="8"/>
      <c r="R41" s="8"/>
      <c r="S41" s="8"/>
      <c r="T41" s="8"/>
      <c r="U41" s="8"/>
      <c r="V41" s="8">
        <f t="shared" si="4"/>
        <v>138</v>
      </c>
      <c r="W41" s="9">
        <f t="shared" si="5"/>
        <v>23</v>
      </c>
    </row>
    <row r="42" spans="1:23" x14ac:dyDescent="0.3">
      <c r="A42" s="4" t="str">
        <f>VLOOKUP(G42,Data!$A:$G,2,0)</f>
        <v>Manindra Nath Barman</v>
      </c>
      <c r="B42" s="4" t="str">
        <f>VLOOKUP(G42,Data!$A:$G,3,0)</f>
        <v>Active</v>
      </c>
      <c r="C42" s="4" t="str">
        <f>VLOOKUP(G42,Data!$A:$G,4,0)</f>
        <v>Siliguri</v>
      </c>
      <c r="D42" s="4" t="str">
        <f>VLOOKUP(G42,Data!$A:$G,5,0)</f>
        <v>Barobisha</v>
      </c>
      <c r="E42" s="4" t="str">
        <f>VLOOKUP(G42,Data!$A:$G,6,0)</f>
        <v>Md Akimuzzaman</v>
      </c>
      <c r="F42" s="10" t="str">
        <f>VLOOKUP(G42,Data!$A:$G,7,0)</f>
        <v>2310315481</v>
      </c>
      <c r="G42" s="5">
        <v>28270</v>
      </c>
      <c r="H42" s="7">
        <f>VLOOKUP(G42,'FI txn'!$G:$H,2,0)</f>
        <v>6</v>
      </c>
      <c r="I42" s="7">
        <f t="shared" si="3"/>
        <v>1800</v>
      </c>
      <c r="J42" s="8">
        <v>23</v>
      </c>
      <c r="K42" s="8">
        <v>24</v>
      </c>
      <c r="L42" s="8">
        <v>28</v>
      </c>
      <c r="M42" s="8">
        <v>28</v>
      </c>
      <c r="N42" s="8">
        <v>30</v>
      </c>
      <c r="O42" s="8"/>
      <c r="P42" s="8"/>
      <c r="Q42" s="8"/>
      <c r="R42" s="8"/>
      <c r="S42" s="8"/>
      <c r="T42" s="8"/>
      <c r="U42" s="8"/>
      <c r="V42" s="8">
        <f t="shared" si="4"/>
        <v>133</v>
      </c>
      <c r="W42" s="9">
        <f t="shared" si="5"/>
        <v>22.166666666666668</v>
      </c>
    </row>
    <row r="43" spans="1:23" x14ac:dyDescent="0.3">
      <c r="A43" s="4" t="str">
        <f>VLOOKUP(G43,Data!$A:$G,2,0)</f>
        <v>Under Office (W Medinipur)</v>
      </c>
      <c r="B43" s="4" t="str">
        <f>VLOOKUP(G43,Data!$A:$G,3,0)</f>
        <v>Active</v>
      </c>
      <c r="C43" s="4" t="str">
        <f>VLOOKUP(G43,Data!$A:$G,4,0)</f>
        <v>Hooghly</v>
      </c>
      <c r="D43" s="4" t="str">
        <f>VLOOKUP(G43,Data!$A:$G,5,0)</f>
        <v>Khirpai</v>
      </c>
      <c r="E43" s="4" t="str">
        <f>VLOOKUP(G43,Data!$A:$G,6,0)</f>
        <v>Reshma Khatun</v>
      </c>
      <c r="F43" s="10" t="str">
        <f>VLOOKUP(G43,Data!$A:$G,7,0)</f>
        <v>2390314453</v>
      </c>
      <c r="G43" s="5">
        <v>26501</v>
      </c>
      <c r="H43" s="7">
        <f>VLOOKUP(G43,'FI txn'!$G:$H,2,0)</f>
        <v>6</v>
      </c>
      <c r="I43" s="7">
        <f t="shared" si="3"/>
        <v>1800</v>
      </c>
      <c r="J43" s="8">
        <v>18</v>
      </c>
      <c r="K43" s="8">
        <v>28</v>
      </c>
      <c r="L43" s="8">
        <v>24</v>
      </c>
      <c r="M43" s="8">
        <v>18</v>
      </c>
      <c r="N43" s="8">
        <v>28</v>
      </c>
      <c r="O43" s="8"/>
      <c r="P43" s="8"/>
      <c r="Q43" s="8"/>
      <c r="R43" s="8"/>
      <c r="S43" s="8"/>
      <c r="T43" s="8"/>
      <c r="U43" s="8"/>
      <c r="V43" s="8">
        <f t="shared" si="4"/>
        <v>116</v>
      </c>
      <c r="W43" s="9">
        <f t="shared" si="5"/>
        <v>19.333333333333332</v>
      </c>
    </row>
    <row r="44" spans="1:23" x14ac:dyDescent="0.3">
      <c r="A44" s="4" t="str">
        <f>VLOOKUP(G44,Data!$A:$G,2,0)</f>
        <v>Under Office (Birbhum)</v>
      </c>
      <c r="B44" s="4" t="str">
        <f>VLOOKUP(G44,Data!$A:$G,3,0)</f>
        <v>Active</v>
      </c>
      <c r="C44" s="4" t="str">
        <f>VLOOKUP(G44,Data!$A:$G,4,0)</f>
        <v>Siliguri</v>
      </c>
      <c r="D44" s="4" t="str">
        <f>VLOOKUP(G44,Data!$A:$G,5,0)</f>
        <v>Paikar</v>
      </c>
      <c r="E44" s="4" t="str">
        <f>VLOOKUP(G44,Data!$A:$G,6,0)</f>
        <v>Saheb Sk</v>
      </c>
      <c r="F44" s="10" t="str">
        <f>VLOOKUP(G44,Data!$A:$G,7,0)</f>
        <v>0140311324</v>
      </c>
      <c r="G44" s="5">
        <v>21999</v>
      </c>
      <c r="H44" s="7">
        <f>VLOOKUP(G44,'FI txn'!$G:$H,2,0)</f>
        <v>6</v>
      </c>
      <c r="I44" s="7">
        <f t="shared" si="3"/>
        <v>1800</v>
      </c>
      <c r="J44" s="8">
        <v>29</v>
      </c>
      <c r="K44" s="8">
        <v>30</v>
      </c>
      <c r="L44" s="8">
        <v>30</v>
      </c>
      <c r="M44" s="8">
        <v>31</v>
      </c>
      <c r="N44" s="8">
        <v>29</v>
      </c>
      <c r="O44" s="8"/>
      <c r="P44" s="8"/>
      <c r="Q44" s="8"/>
      <c r="R44" s="8"/>
      <c r="S44" s="8"/>
      <c r="T44" s="8"/>
      <c r="U44" s="8"/>
      <c r="V44" s="8">
        <f t="shared" si="4"/>
        <v>149</v>
      </c>
      <c r="W44" s="9">
        <f t="shared" si="5"/>
        <v>24.833333333333332</v>
      </c>
    </row>
    <row r="45" spans="1:23" x14ac:dyDescent="0.3">
      <c r="A45" s="4" t="str">
        <f>VLOOKUP(G45,Data!$A:$G,2,0)</f>
        <v>Under Office (W Medinipur)</v>
      </c>
      <c r="B45" s="4" t="str">
        <f>VLOOKUP(G45,Data!$A:$G,3,0)</f>
        <v>Active</v>
      </c>
      <c r="C45" s="4" t="str">
        <f>VLOOKUP(G45,Data!$A:$G,4,0)</f>
        <v>Hooghly</v>
      </c>
      <c r="D45" s="4" t="str">
        <f>VLOOKUP(G45,Data!$A:$G,5,0)</f>
        <v>Chandrakona</v>
      </c>
      <c r="E45" s="4" t="str">
        <f>VLOOKUP(G45,Data!$A:$G,6,0)</f>
        <v>Mani Dhara</v>
      </c>
      <c r="F45" s="10" t="str">
        <f>VLOOKUP(G45,Data!$A:$G,7,0)</f>
        <v>2390313180</v>
      </c>
      <c r="G45" s="5">
        <v>24494</v>
      </c>
      <c r="H45" s="7">
        <f>VLOOKUP(G45,'FI txn'!$G:$H,2,0)</f>
        <v>6</v>
      </c>
      <c r="I45" s="7">
        <f t="shared" si="3"/>
        <v>1800</v>
      </c>
      <c r="J45" s="8">
        <v>28</v>
      </c>
      <c r="K45" s="8">
        <v>31</v>
      </c>
      <c r="L45" s="8">
        <v>30</v>
      </c>
      <c r="M45" s="8">
        <v>29</v>
      </c>
      <c r="N45" s="8">
        <v>29</v>
      </c>
      <c r="O45" s="8"/>
      <c r="P45" s="8"/>
      <c r="Q45" s="8"/>
      <c r="R45" s="8"/>
      <c r="S45" s="8"/>
      <c r="T45" s="8"/>
      <c r="U45" s="8"/>
      <c r="V45" s="8">
        <f t="shared" si="4"/>
        <v>147</v>
      </c>
      <c r="W45" s="9">
        <f t="shared" si="5"/>
        <v>24.5</v>
      </c>
    </row>
    <row r="46" spans="1:23" x14ac:dyDescent="0.3">
      <c r="A46" s="4" t="str">
        <f>VLOOKUP(G46,Data!$A:$G,2,0)</f>
        <v>Under Office (Birbhum)</v>
      </c>
      <c r="B46" s="4" t="str">
        <f>VLOOKUP(G46,Data!$A:$G,3,0)</f>
        <v>Active</v>
      </c>
      <c r="C46" s="4" t="str">
        <f>VLOOKUP(G46,Data!$A:$G,4,0)</f>
        <v>Siliguri</v>
      </c>
      <c r="D46" s="4" t="str">
        <f>VLOOKUP(G46,Data!$A:$G,5,0)</f>
        <v>Dharampur</v>
      </c>
      <c r="E46" s="4" t="str">
        <f>VLOOKUP(G46,Data!$A:$G,6,0)</f>
        <v>Md Zulfikar Ali</v>
      </c>
      <c r="F46" s="10" t="str">
        <f>VLOOKUP(G46,Data!$A:$G,7,0)</f>
        <v>0140315201</v>
      </c>
      <c r="G46" s="5">
        <v>27792</v>
      </c>
      <c r="H46" s="7">
        <f>VLOOKUP(G46,'FI txn'!$G:$H,2,0)</f>
        <v>6</v>
      </c>
      <c r="I46" s="7">
        <f t="shared" si="3"/>
        <v>1800</v>
      </c>
      <c r="J46" s="8">
        <v>30</v>
      </c>
      <c r="K46" s="8">
        <v>27</v>
      </c>
      <c r="L46" s="8">
        <v>29</v>
      </c>
      <c r="M46" s="8">
        <v>30</v>
      </c>
      <c r="N46" s="8">
        <v>29</v>
      </c>
      <c r="O46" s="8"/>
      <c r="P46" s="8"/>
      <c r="Q46" s="8"/>
      <c r="R46" s="8"/>
      <c r="S46" s="8"/>
      <c r="T46" s="8"/>
      <c r="U46" s="8"/>
      <c r="V46" s="8">
        <f t="shared" si="4"/>
        <v>145</v>
      </c>
      <c r="W46" s="9">
        <f t="shared" si="5"/>
        <v>24.166666666666668</v>
      </c>
    </row>
    <row r="47" spans="1:23" x14ac:dyDescent="0.3">
      <c r="A47" s="4" t="str">
        <f>VLOOKUP(G47,Data!$A:$G,2,0)</f>
        <v>Rajiul Momin</v>
      </c>
      <c r="B47" s="4" t="str">
        <f>VLOOKUP(G47,Data!$A:$G,3,0)</f>
        <v>Active</v>
      </c>
      <c r="C47" s="4" t="str">
        <f>VLOOKUP(G47,Data!$A:$G,4,0)</f>
        <v>Siliguri</v>
      </c>
      <c r="D47" s="4" t="str">
        <f>VLOOKUP(G47,Data!$A:$G,5,0)</f>
        <v>Inyathpur</v>
      </c>
      <c r="E47" s="4" t="str">
        <f>VLOOKUP(G47,Data!$A:$G,6,0)</f>
        <v>Tumpa Poddar</v>
      </c>
      <c r="F47" s="10" t="str">
        <f>VLOOKUP(G47,Data!$A:$G,7,0)</f>
        <v>2370312246</v>
      </c>
      <c r="G47" s="5">
        <v>23178</v>
      </c>
      <c r="H47" s="7">
        <f>VLOOKUP(G47,'FI txn'!$G:$H,2,0)</f>
        <v>6</v>
      </c>
      <c r="I47" s="7">
        <f t="shared" si="3"/>
        <v>1800</v>
      </c>
      <c r="J47" s="8">
        <v>27</v>
      </c>
      <c r="K47" s="8">
        <v>25</v>
      </c>
      <c r="L47" s="8">
        <v>25</v>
      </c>
      <c r="M47" s="8">
        <v>26</v>
      </c>
      <c r="N47" s="8">
        <v>27</v>
      </c>
      <c r="O47" s="8"/>
      <c r="P47" s="8"/>
      <c r="Q47" s="8"/>
      <c r="R47" s="8"/>
      <c r="S47" s="8"/>
      <c r="T47" s="8"/>
      <c r="U47" s="8"/>
      <c r="V47" s="8">
        <f t="shared" si="4"/>
        <v>130</v>
      </c>
      <c r="W47" s="9">
        <f t="shared" si="5"/>
        <v>21.666666666666668</v>
      </c>
    </row>
    <row r="48" spans="1:23" x14ac:dyDescent="0.3">
      <c r="A48" s="4" t="str">
        <f>VLOOKUP(G48,Data!$A:$G,2,0)</f>
        <v>Under Office (W Medinipur)</v>
      </c>
      <c r="B48" s="4" t="str">
        <f>VLOOKUP(G48,Data!$A:$G,3,0)</f>
        <v>Active</v>
      </c>
      <c r="C48" s="4" t="str">
        <f>VLOOKUP(G48,Data!$A:$G,4,0)</f>
        <v>Hooghly</v>
      </c>
      <c r="D48" s="4" t="str">
        <f>VLOOKUP(G48,Data!$A:$G,5,0)</f>
        <v>Jara</v>
      </c>
      <c r="E48" s="4" t="str">
        <f>VLOOKUP(G48,Data!$A:$G,6,0)</f>
        <v>Priyanka Biswas</v>
      </c>
      <c r="F48" s="10" t="str">
        <f>VLOOKUP(G48,Data!$A:$G,7,0)</f>
        <v>2390311424</v>
      </c>
      <c r="G48" s="5">
        <v>22130</v>
      </c>
      <c r="H48" s="7">
        <f>VLOOKUP(G48,'FI txn'!$G:$H,2,0)</f>
        <v>6</v>
      </c>
      <c r="I48" s="7">
        <f t="shared" si="3"/>
        <v>1800</v>
      </c>
      <c r="J48" s="8">
        <v>24</v>
      </c>
      <c r="K48" s="8">
        <v>23</v>
      </c>
      <c r="L48" s="8">
        <v>26</v>
      </c>
      <c r="M48" s="8">
        <v>24</v>
      </c>
      <c r="N48" s="8">
        <v>27</v>
      </c>
      <c r="O48" s="8"/>
      <c r="P48" s="8"/>
      <c r="Q48" s="8"/>
      <c r="R48" s="8"/>
      <c r="S48" s="8"/>
      <c r="T48" s="8"/>
      <c r="U48" s="8"/>
      <c r="V48" s="8">
        <f t="shared" si="4"/>
        <v>124</v>
      </c>
      <c r="W48" s="9">
        <f t="shared" si="5"/>
        <v>20.666666666666668</v>
      </c>
    </row>
    <row r="49" spans="1:23" x14ac:dyDescent="0.3">
      <c r="A49" s="4" t="str">
        <f>VLOOKUP(G49,Data!$A:$G,2,0)</f>
        <v>Chandi Charan Mahato</v>
      </c>
      <c r="B49" s="4" t="str">
        <f>VLOOKUP(G49,Data!$A:$G,3,0)</f>
        <v>Active</v>
      </c>
      <c r="C49" s="4" t="str">
        <f>VLOOKUP(G49,Data!$A:$G,4,0)</f>
        <v>Durgapur</v>
      </c>
      <c r="D49" s="4" t="str">
        <f>VLOOKUP(G49,Data!$A:$G,5,0)</f>
        <v>Patrasayer</v>
      </c>
      <c r="E49" s="4" t="str">
        <f>VLOOKUP(G49,Data!$A:$G,6,0)</f>
        <v>Satish Ankure</v>
      </c>
      <c r="F49" s="10" t="str">
        <f>VLOOKUP(G49,Data!$A:$G,7,0)</f>
        <v>2160314679</v>
      </c>
      <c r="G49" s="5">
        <v>26810</v>
      </c>
      <c r="H49" s="7">
        <f>VLOOKUP(G49,'FI txn'!$G:$H,2,0)</f>
        <v>6</v>
      </c>
      <c r="I49" s="7">
        <f t="shared" si="3"/>
        <v>1800</v>
      </c>
      <c r="J49" s="8">
        <v>24</v>
      </c>
      <c r="K49" s="8">
        <v>22</v>
      </c>
      <c r="L49" s="8">
        <v>18</v>
      </c>
      <c r="M49" s="8">
        <v>25</v>
      </c>
      <c r="N49" s="8">
        <v>27</v>
      </c>
      <c r="O49" s="8"/>
      <c r="P49" s="8"/>
      <c r="Q49" s="8"/>
      <c r="R49" s="8"/>
      <c r="S49" s="8"/>
      <c r="T49" s="8"/>
      <c r="U49" s="8"/>
      <c r="V49" s="8">
        <f t="shared" si="4"/>
        <v>116</v>
      </c>
      <c r="W49" s="9">
        <f t="shared" si="5"/>
        <v>19.333333333333332</v>
      </c>
    </row>
    <row r="50" spans="1:23" x14ac:dyDescent="0.3">
      <c r="A50" s="4" t="str">
        <f>VLOOKUP(G50,Data!$A:$G,2,0)</f>
        <v>Avi Sk</v>
      </c>
      <c r="B50" s="4" t="str">
        <f>VLOOKUP(G50,Data!$A:$G,3,0)</f>
        <v>Active</v>
      </c>
      <c r="C50" s="4" t="str">
        <f>VLOOKUP(G50,Data!$A:$G,4,0)</f>
        <v>Siliguri</v>
      </c>
      <c r="D50" s="4" t="str">
        <f>VLOOKUP(G50,Data!$A:$G,5,0)</f>
        <v>Kanupur</v>
      </c>
      <c r="E50" s="4" t="str">
        <f>VLOOKUP(G50,Data!$A:$G,6,0)</f>
        <v>Shobhan Majhi</v>
      </c>
      <c r="F50" s="10" t="str">
        <f>VLOOKUP(G50,Data!$A:$G,7,0)</f>
        <v>2410311257</v>
      </c>
      <c r="G50" s="5">
        <v>21926</v>
      </c>
      <c r="H50" s="7">
        <f>VLOOKUP(G50,'FI txn'!$G:$H,2,0)</f>
        <v>6</v>
      </c>
      <c r="I50" s="7">
        <f t="shared" si="3"/>
        <v>1800</v>
      </c>
      <c r="J50" s="8">
        <v>23</v>
      </c>
      <c r="K50" s="8">
        <v>29</v>
      </c>
      <c r="L50" s="8">
        <v>30</v>
      </c>
      <c r="M50" s="8">
        <v>30</v>
      </c>
      <c r="N50" s="8">
        <v>28</v>
      </c>
      <c r="O50" s="8"/>
      <c r="P50" s="8"/>
      <c r="Q50" s="8"/>
      <c r="R50" s="8"/>
      <c r="S50" s="8"/>
      <c r="T50" s="8"/>
      <c r="U50" s="8"/>
      <c r="V50" s="8">
        <f t="shared" si="4"/>
        <v>140</v>
      </c>
      <c r="W50" s="9">
        <f t="shared" si="5"/>
        <v>23.333333333333332</v>
      </c>
    </row>
    <row r="51" spans="1:23" x14ac:dyDescent="0.3">
      <c r="A51" s="4" t="str">
        <f>VLOOKUP(G51,Data!$A:$G,2,0)</f>
        <v>Souvik Maity</v>
      </c>
      <c r="B51" s="4" t="str">
        <f>VLOOKUP(G51,Data!$A:$G,3,0)</f>
        <v>Active</v>
      </c>
      <c r="C51" s="4" t="str">
        <f>VLOOKUP(G51,Data!$A:$G,4,0)</f>
        <v>Hooghly</v>
      </c>
      <c r="D51" s="4" t="str">
        <f>VLOOKUP(G51,Data!$A:$G,5,0)</f>
        <v>Rajbalhat</v>
      </c>
      <c r="E51" s="4" t="str">
        <f>VLOOKUP(G51,Data!$A:$G,6,0)</f>
        <v>Dibyendu Bhowmick</v>
      </c>
      <c r="F51" s="10" t="str">
        <f>VLOOKUP(G51,Data!$A:$G,7,0)</f>
        <v>3390314186</v>
      </c>
      <c r="G51" s="5">
        <v>26015</v>
      </c>
      <c r="H51" s="7">
        <f>VLOOKUP(G51,'FI txn'!$G:$H,2,0)</f>
        <v>6</v>
      </c>
      <c r="I51" s="7">
        <f t="shared" si="3"/>
        <v>1800</v>
      </c>
      <c r="J51" s="8">
        <v>26</v>
      </c>
      <c r="K51" s="8">
        <v>26</v>
      </c>
      <c r="L51" s="8">
        <v>25</v>
      </c>
      <c r="M51" s="8">
        <v>25</v>
      </c>
      <c r="N51" s="8">
        <v>26</v>
      </c>
      <c r="O51" s="8"/>
      <c r="P51" s="8"/>
      <c r="Q51" s="8"/>
      <c r="R51" s="8"/>
      <c r="S51" s="8"/>
      <c r="T51" s="8"/>
      <c r="U51" s="8"/>
      <c r="V51" s="8">
        <f t="shared" si="4"/>
        <v>128</v>
      </c>
      <c r="W51" s="9">
        <f t="shared" si="5"/>
        <v>21.333333333333332</v>
      </c>
    </row>
    <row r="52" spans="1:23" x14ac:dyDescent="0.3">
      <c r="A52" s="4" t="str">
        <f>VLOOKUP(G52,Data!$A:$G,2,0)</f>
        <v>Under Office (W Medinipur)</v>
      </c>
      <c r="B52" s="4" t="str">
        <f>VLOOKUP(G52,Data!$A:$G,3,0)</f>
        <v>Active</v>
      </c>
      <c r="C52" s="4" t="str">
        <f>VLOOKUP(G52,Data!$A:$G,4,0)</f>
        <v>Hooghly</v>
      </c>
      <c r="D52" s="4" t="str">
        <f>VLOOKUP(G52,Data!$A:$G,5,0)</f>
        <v>Kharar</v>
      </c>
      <c r="E52" s="4" t="str">
        <f>VLOOKUP(G52,Data!$A:$G,6,0)</f>
        <v>Pinki Ghosh</v>
      </c>
      <c r="F52" s="10" t="str">
        <f>VLOOKUP(G52,Data!$A:$G,7,0)</f>
        <v>2390311944</v>
      </c>
      <c r="G52" s="5">
        <v>29368</v>
      </c>
      <c r="H52" s="7">
        <f>VLOOKUP(G52,'FI txn'!$G:$H,2,0)</f>
        <v>6</v>
      </c>
      <c r="I52" s="7">
        <f t="shared" si="3"/>
        <v>1800</v>
      </c>
      <c r="J52" s="8">
        <v>8</v>
      </c>
      <c r="K52" s="8">
        <v>25</v>
      </c>
      <c r="L52" s="8">
        <v>26</v>
      </c>
      <c r="M52" s="8">
        <v>26</v>
      </c>
      <c r="N52" s="8">
        <v>26</v>
      </c>
      <c r="O52" s="8"/>
      <c r="P52" s="8"/>
      <c r="Q52" s="8"/>
      <c r="R52" s="8"/>
      <c r="S52" s="8"/>
      <c r="T52" s="8"/>
      <c r="U52" s="8"/>
      <c r="V52" s="8">
        <f t="shared" si="4"/>
        <v>111</v>
      </c>
      <c r="W52" s="9">
        <f t="shared" si="5"/>
        <v>18.5</v>
      </c>
    </row>
    <row r="53" spans="1:23" x14ac:dyDescent="0.3">
      <c r="A53" s="4" t="str">
        <f>VLOOKUP(G53,Data!$A:$G,2,0)</f>
        <v>Sunil Biswas</v>
      </c>
      <c r="B53" s="4" t="str">
        <f>VLOOKUP(G53,Data!$A:$G,3,0)</f>
        <v>Active</v>
      </c>
      <c r="C53" s="4" t="str">
        <f>VLOOKUP(G53,Data!$A:$G,4,0)</f>
        <v>Durgapur</v>
      </c>
      <c r="D53" s="4" t="str">
        <f>VLOOKUP(G53,Data!$A:$G,5,0)</f>
        <v>Santipur</v>
      </c>
      <c r="E53" s="4" t="str">
        <f>VLOOKUP(G53,Data!$A:$G,6,0)</f>
        <v>Partha Dey</v>
      </c>
      <c r="F53" s="10" t="str">
        <f>VLOOKUP(G53,Data!$A:$G,7,0)</f>
        <v>2430315570</v>
      </c>
      <c r="G53" s="5">
        <v>29089</v>
      </c>
      <c r="H53" s="7">
        <f>VLOOKUP(G53,'FI txn'!$G:$H,2,0)</f>
        <v>6</v>
      </c>
      <c r="I53" s="7">
        <f t="shared" si="3"/>
        <v>1800</v>
      </c>
      <c r="J53" s="8">
        <v>8</v>
      </c>
      <c r="K53" s="8">
        <v>11</v>
      </c>
      <c r="L53" s="8">
        <v>25</v>
      </c>
      <c r="M53" s="8">
        <v>29</v>
      </c>
      <c r="N53" s="8">
        <v>18</v>
      </c>
      <c r="O53" s="8"/>
      <c r="P53" s="8"/>
      <c r="Q53" s="8"/>
      <c r="R53" s="8"/>
      <c r="S53" s="8"/>
      <c r="T53" s="8"/>
      <c r="U53" s="8"/>
      <c r="V53" s="8">
        <f t="shared" si="4"/>
        <v>91</v>
      </c>
      <c r="W53" s="9">
        <f t="shared" si="5"/>
        <v>15.166666666666666</v>
      </c>
    </row>
    <row r="54" spans="1:23" x14ac:dyDescent="0.3">
      <c r="A54" s="4" t="str">
        <f>VLOOKUP(G54,Data!$A:$G,2,0)</f>
        <v>Under Office (W Medinipur)</v>
      </c>
      <c r="B54" s="4" t="str">
        <f>VLOOKUP(G54,Data!$A:$G,3,0)</f>
        <v>Active</v>
      </c>
      <c r="C54" s="4" t="str">
        <f>VLOOKUP(G54,Data!$A:$G,4,0)</f>
        <v>Hooghly</v>
      </c>
      <c r="D54" s="4" t="str">
        <f>VLOOKUP(G54,Data!$A:$G,5,0)</f>
        <v>Ramjibanpur</v>
      </c>
      <c r="E54" s="4" t="str">
        <f>VLOOKUP(G54,Data!$A:$G,6,0)</f>
        <v xml:space="preserve">Mahadeb Das </v>
      </c>
      <c r="F54" s="10" t="str">
        <f>VLOOKUP(G54,Data!$A:$G,7,0)</f>
        <v>3390315155</v>
      </c>
      <c r="G54" s="5">
        <v>27629</v>
      </c>
      <c r="H54" s="7">
        <f>VLOOKUP(G54,'FI txn'!$G:$H,2,0)</f>
        <v>6</v>
      </c>
      <c r="I54" s="7">
        <f t="shared" si="3"/>
        <v>1800</v>
      </c>
      <c r="J54" s="8">
        <v>30</v>
      </c>
      <c r="K54" s="8">
        <v>29</v>
      </c>
      <c r="L54" s="8">
        <v>29</v>
      </c>
      <c r="M54" s="8">
        <v>31</v>
      </c>
      <c r="N54" s="8">
        <v>27</v>
      </c>
      <c r="O54" s="8"/>
      <c r="P54" s="8"/>
      <c r="Q54" s="8"/>
      <c r="R54" s="8"/>
      <c r="S54" s="8"/>
      <c r="T54" s="8"/>
      <c r="U54" s="8"/>
      <c r="V54" s="8">
        <f t="shared" si="4"/>
        <v>146</v>
      </c>
      <c r="W54" s="9">
        <f t="shared" si="5"/>
        <v>24.333333333333332</v>
      </c>
    </row>
    <row r="55" spans="1:23" x14ac:dyDescent="0.3">
      <c r="A55" s="4" t="str">
        <f>VLOOKUP(G55,Data!$A:$G,2,0)</f>
        <v>Souvik Maity</v>
      </c>
      <c r="B55" s="4" t="str">
        <f>VLOOKUP(G55,Data!$A:$G,3,0)</f>
        <v>Active</v>
      </c>
      <c r="C55" s="4" t="str">
        <f>VLOOKUP(G55,Data!$A:$G,4,0)</f>
        <v>Hooghly</v>
      </c>
      <c r="D55" s="4" t="str">
        <f>VLOOKUP(G55,Data!$A:$G,5,0)</f>
        <v>Kalipur</v>
      </c>
      <c r="E55" s="4" t="str">
        <f>VLOOKUP(G55,Data!$A:$G,6,0)</f>
        <v>Satyajit Chattopadhyay</v>
      </c>
      <c r="F55" s="10" t="str">
        <f>VLOOKUP(G55,Data!$A:$G,7,0)</f>
        <v>3390311422</v>
      </c>
      <c r="G55" s="5">
        <v>22128</v>
      </c>
      <c r="H55" s="7">
        <f>VLOOKUP(G55,'FI txn'!$G:$H,2,0)</f>
        <v>6</v>
      </c>
      <c r="I55" s="7">
        <f t="shared" si="3"/>
        <v>1800</v>
      </c>
      <c r="J55" s="8">
        <v>25</v>
      </c>
      <c r="K55" s="8">
        <v>30</v>
      </c>
      <c r="L55" s="8">
        <v>28</v>
      </c>
      <c r="M55" s="8">
        <v>26</v>
      </c>
      <c r="N55" s="8">
        <v>27</v>
      </c>
      <c r="O55" s="8"/>
      <c r="P55" s="8"/>
      <c r="Q55" s="8"/>
      <c r="R55" s="8"/>
      <c r="S55" s="8"/>
      <c r="T55" s="8"/>
      <c r="U55" s="8"/>
      <c r="V55" s="8">
        <f t="shared" si="4"/>
        <v>136</v>
      </c>
      <c r="W55" s="9">
        <f t="shared" si="5"/>
        <v>22.666666666666668</v>
      </c>
    </row>
    <row r="56" spans="1:23" x14ac:dyDescent="0.3">
      <c r="A56" s="4" t="str">
        <f>VLOOKUP(G56,Data!$A:$G,2,0)</f>
        <v>Chandi Charan Mahato</v>
      </c>
      <c r="B56" s="4" t="str">
        <f>VLOOKUP(G56,Data!$A:$G,3,0)</f>
        <v>Active</v>
      </c>
      <c r="C56" s="4" t="str">
        <f>VLOOKUP(G56,Data!$A:$G,4,0)</f>
        <v>Durgapur</v>
      </c>
      <c r="D56" s="4" t="str">
        <f>VLOOKUP(G56,Data!$A:$G,5,0)</f>
        <v>Anara</v>
      </c>
      <c r="E56" s="4" t="str">
        <f>VLOOKUP(G56,Data!$A:$G,6,0)</f>
        <v>Biswajit Majee</v>
      </c>
      <c r="F56" s="10" t="str">
        <f>VLOOKUP(G56,Data!$A:$G,7,0)</f>
        <v>2460314961</v>
      </c>
      <c r="G56" s="5">
        <v>27219</v>
      </c>
      <c r="H56" s="7">
        <f>VLOOKUP(G56,'FI txn'!$G:$H,2,0)</f>
        <v>6</v>
      </c>
      <c r="I56" s="7">
        <f t="shared" si="3"/>
        <v>1800</v>
      </c>
      <c r="J56" s="8">
        <v>25</v>
      </c>
      <c r="K56" s="8">
        <v>30</v>
      </c>
      <c r="L56" s="8">
        <v>25</v>
      </c>
      <c r="M56" s="8">
        <v>27</v>
      </c>
      <c r="N56" s="8">
        <v>27</v>
      </c>
      <c r="O56" s="8"/>
      <c r="P56" s="8"/>
      <c r="Q56" s="8"/>
      <c r="R56" s="8"/>
      <c r="S56" s="8"/>
      <c r="T56" s="8"/>
      <c r="U56" s="8"/>
      <c r="V56" s="8">
        <f t="shared" si="4"/>
        <v>134</v>
      </c>
      <c r="W56" s="9">
        <f t="shared" si="5"/>
        <v>22.333333333333332</v>
      </c>
    </row>
    <row r="57" spans="1:23" x14ac:dyDescent="0.3">
      <c r="A57" s="4" t="str">
        <f>VLOOKUP(G57,Data!$A:$G,2,0)</f>
        <v>Manindra Nath Barman</v>
      </c>
      <c r="B57" s="4" t="str">
        <f>VLOOKUP(G57,Data!$A:$G,3,0)</f>
        <v>Active</v>
      </c>
      <c r="C57" s="4" t="str">
        <f>VLOOKUP(G57,Data!$A:$G,4,0)</f>
        <v>Siliguri</v>
      </c>
      <c r="D57" s="4" t="str">
        <f>VLOOKUP(G57,Data!$A:$G,5,0)</f>
        <v>Damanpur</v>
      </c>
      <c r="E57" s="4" t="str">
        <f>VLOOKUP(G57,Data!$A:$G,6,0)</f>
        <v>Biplab Barman</v>
      </c>
      <c r="F57" s="10" t="str">
        <f>VLOOKUP(G57,Data!$A:$G,7,0)</f>
        <v>9490310566</v>
      </c>
      <c r="G57" s="5">
        <v>21091</v>
      </c>
      <c r="H57" s="7">
        <f>VLOOKUP(G57,'FI txn'!$G:$H,2,0)</f>
        <v>6</v>
      </c>
      <c r="I57" s="7">
        <f t="shared" si="3"/>
        <v>1800</v>
      </c>
      <c r="J57" s="8">
        <v>24</v>
      </c>
      <c r="K57" s="8">
        <v>28</v>
      </c>
      <c r="L57" s="8">
        <v>26</v>
      </c>
      <c r="M57" s="8">
        <v>28</v>
      </c>
      <c r="N57" s="8">
        <v>26</v>
      </c>
      <c r="O57" s="8"/>
      <c r="P57" s="8"/>
      <c r="Q57" s="8"/>
      <c r="R57" s="8"/>
      <c r="S57" s="8"/>
      <c r="T57" s="8"/>
      <c r="U57" s="8"/>
      <c r="V57" s="8">
        <f t="shared" si="4"/>
        <v>132</v>
      </c>
      <c r="W57" s="9">
        <f t="shared" si="5"/>
        <v>22</v>
      </c>
    </row>
    <row r="58" spans="1:23" x14ac:dyDescent="0.3">
      <c r="A58" s="4" t="str">
        <f>VLOOKUP(G58,Data!$A:$G,2,0)</f>
        <v>Santanu Bera</v>
      </c>
      <c r="B58" s="4" t="str">
        <f>VLOOKUP(G58,Data!$A:$G,3,0)</f>
        <v>Active</v>
      </c>
      <c r="C58" s="4" t="str">
        <f>VLOOKUP(G58,Data!$A:$G,4,0)</f>
        <v>Hooghly</v>
      </c>
      <c r="D58" s="4" t="str">
        <f>VLOOKUP(G58,Data!$A:$G,5,0)</f>
        <v>Panskura</v>
      </c>
      <c r="E58" s="4" t="str">
        <f>VLOOKUP(G58,Data!$A:$G,6,0)</f>
        <v>Kartik Maity</v>
      </c>
      <c r="F58" s="10" t="str">
        <f>VLOOKUP(G58,Data!$A:$G,7,0)</f>
        <v>2380311666</v>
      </c>
      <c r="G58" s="5">
        <v>22404</v>
      </c>
      <c r="H58" s="7">
        <f>VLOOKUP(G58,'FI txn'!$G:$H,2,0)</f>
        <v>6</v>
      </c>
      <c r="I58" s="7">
        <f t="shared" si="3"/>
        <v>1800</v>
      </c>
      <c r="J58" s="8">
        <v>26</v>
      </c>
      <c r="K58" s="8">
        <v>27</v>
      </c>
      <c r="L58" s="8">
        <v>26</v>
      </c>
      <c r="M58" s="8">
        <v>27</v>
      </c>
      <c r="N58" s="8">
        <v>27</v>
      </c>
      <c r="O58" s="8"/>
      <c r="P58" s="8"/>
      <c r="Q58" s="8"/>
      <c r="R58" s="8"/>
      <c r="S58" s="8"/>
      <c r="T58" s="8"/>
      <c r="U58" s="8"/>
      <c r="V58" s="8">
        <f t="shared" si="4"/>
        <v>133</v>
      </c>
      <c r="W58" s="9">
        <f t="shared" si="5"/>
        <v>22.166666666666668</v>
      </c>
    </row>
    <row r="59" spans="1:23" x14ac:dyDescent="0.3">
      <c r="A59" s="4" t="str">
        <f>VLOOKUP(G59,Data!$A:$G,2,0)</f>
        <v>Santanu Bera</v>
      </c>
      <c r="B59" s="4" t="str">
        <f>VLOOKUP(G59,Data!$A:$G,3,0)</f>
        <v>Active</v>
      </c>
      <c r="C59" s="4" t="str">
        <f>VLOOKUP(G59,Data!$A:$G,4,0)</f>
        <v>Hooghly</v>
      </c>
      <c r="D59" s="4" t="str">
        <f>VLOOKUP(G59,Data!$A:$G,5,0)</f>
        <v>Kolaghat (Ktpps)</v>
      </c>
      <c r="E59" s="4" t="str">
        <f>VLOOKUP(G59,Data!$A:$G,6,0)</f>
        <v>Sudipta Mandal</v>
      </c>
      <c r="F59" s="10" t="str">
        <f>VLOOKUP(G59,Data!$A:$G,7,0)</f>
        <v>2380315163</v>
      </c>
      <c r="G59" s="5">
        <v>27637</v>
      </c>
      <c r="H59" s="7">
        <f>VLOOKUP(G59,'FI txn'!$G:$H,2,0)</f>
        <v>6</v>
      </c>
      <c r="I59" s="7">
        <f t="shared" si="3"/>
        <v>1800</v>
      </c>
      <c r="J59" s="8">
        <v>26</v>
      </c>
      <c r="K59" s="8">
        <v>23</v>
      </c>
      <c r="L59" s="8">
        <v>22</v>
      </c>
      <c r="M59" s="8">
        <v>21</v>
      </c>
      <c r="N59" s="8">
        <v>27</v>
      </c>
      <c r="O59" s="8"/>
      <c r="P59" s="8"/>
      <c r="Q59" s="8"/>
      <c r="R59" s="8"/>
      <c r="S59" s="8"/>
      <c r="T59" s="8"/>
      <c r="U59" s="8"/>
      <c r="V59" s="8">
        <f t="shared" si="4"/>
        <v>119</v>
      </c>
      <c r="W59" s="9">
        <f t="shared" si="5"/>
        <v>19.833333333333332</v>
      </c>
    </row>
    <row r="60" spans="1:23" x14ac:dyDescent="0.3">
      <c r="A60" s="4" t="str">
        <f>VLOOKUP(G60,Data!$A:$G,2,0)</f>
        <v>Under Office (W Medinipur)</v>
      </c>
      <c r="B60" s="4" t="str">
        <f>VLOOKUP(G60,Data!$A:$G,3,0)</f>
        <v>Active</v>
      </c>
      <c r="C60" s="4" t="str">
        <f>VLOOKUP(G60,Data!$A:$G,4,0)</f>
        <v>Hooghly</v>
      </c>
      <c r="D60" s="4" t="str">
        <f>VLOOKUP(G60,Data!$A:$G,5,0)</f>
        <v>Chandrakona</v>
      </c>
      <c r="E60" s="4" t="str">
        <f>VLOOKUP(G60,Data!$A:$G,6,0)</f>
        <v>Ananya Maity Bag</v>
      </c>
      <c r="F60" s="10" t="str">
        <f>VLOOKUP(G60,Data!$A:$G,7,0)</f>
        <v>2390313181</v>
      </c>
      <c r="G60" s="5">
        <v>24495</v>
      </c>
      <c r="H60" s="7">
        <f>VLOOKUP(G60,'FI txn'!$G:$H,2,0)</f>
        <v>6</v>
      </c>
      <c r="I60" s="7">
        <f t="shared" si="3"/>
        <v>1800</v>
      </c>
      <c r="J60" s="8">
        <v>28</v>
      </c>
      <c r="K60" s="8">
        <v>29</v>
      </c>
      <c r="L60" s="8">
        <v>30</v>
      </c>
      <c r="M60" s="8">
        <v>29</v>
      </c>
      <c r="N60" s="8">
        <v>26</v>
      </c>
      <c r="O60" s="8"/>
      <c r="P60" s="8"/>
      <c r="Q60" s="8"/>
      <c r="R60" s="8"/>
      <c r="S60" s="8"/>
      <c r="T60" s="8"/>
      <c r="U60" s="8"/>
      <c r="V60" s="8">
        <f t="shared" si="4"/>
        <v>142</v>
      </c>
      <c r="W60" s="9">
        <f t="shared" si="5"/>
        <v>23.666666666666668</v>
      </c>
    </row>
    <row r="61" spans="1:23" x14ac:dyDescent="0.3">
      <c r="A61" s="4" t="str">
        <f>VLOOKUP(G61,Data!$A:$G,2,0)</f>
        <v>Under Office (W Medinipur)</v>
      </c>
      <c r="B61" s="4" t="str">
        <f>VLOOKUP(G61,Data!$A:$G,3,0)</f>
        <v>Active</v>
      </c>
      <c r="C61" s="4" t="str">
        <f>VLOOKUP(G61,Data!$A:$G,4,0)</f>
        <v>Hooghly</v>
      </c>
      <c r="D61" s="4" t="str">
        <f>VLOOKUP(G61,Data!$A:$G,5,0)</f>
        <v>Jhargram</v>
      </c>
      <c r="E61" s="4" t="str">
        <f>VLOOKUP(G61,Data!$A:$G,6,0)</f>
        <v>Sk Imran</v>
      </c>
      <c r="F61" s="10" t="str">
        <f>VLOOKUP(G61,Data!$A:$G,7,0)</f>
        <v>2390311695</v>
      </c>
      <c r="G61" s="5">
        <v>22452</v>
      </c>
      <c r="H61" s="7">
        <f>VLOOKUP(G61,'FI txn'!$G:$H,2,0)</f>
        <v>6</v>
      </c>
      <c r="I61" s="7">
        <f t="shared" si="3"/>
        <v>1800</v>
      </c>
      <c r="J61" s="8">
        <v>26</v>
      </c>
      <c r="K61" s="8">
        <v>24</v>
      </c>
      <c r="L61" s="8">
        <v>24</v>
      </c>
      <c r="M61" s="8">
        <v>28</v>
      </c>
      <c r="N61" s="8">
        <v>26</v>
      </c>
      <c r="O61" s="8"/>
      <c r="P61" s="8"/>
      <c r="Q61" s="8"/>
      <c r="R61" s="8"/>
      <c r="S61" s="8"/>
      <c r="T61" s="8"/>
      <c r="U61" s="8"/>
      <c r="V61" s="8">
        <f t="shared" si="4"/>
        <v>128</v>
      </c>
      <c r="W61" s="9">
        <f t="shared" si="5"/>
        <v>21.333333333333332</v>
      </c>
    </row>
    <row r="62" spans="1:23" x14ac:dyDescent="0.3">
      <c r="A62" s="4" t="str">
        <f>VLOOKUP(G62,Data!$A:$G,2,0)</f>
        <v>Sunil Biswas</v>
      </c>
      <c r="B62" s="4" t="str">
        <f>VLOOKUP(G62,Data!$A:$G,3,0)</f>
        <v>Active</v>
      </c>
      <c r="C62" s="4" t="str">
        <f>VLOOKUP(G62,Data!$A:$G,4,0)</f>
        <v>Durgapur</v>
      </c>
      <c r="D62" s="4" t="str">
        <f>VLOOKUP(G62,Data!$A:$G,5,0)</f>
        <v>Santipur</v>
      </c>
      <c r="E62" s="4" t="str">
        <f>VLOOKUP(G62,Data!$A:$G,6,0)</f>
        <v>Najmira Khatun</v>
      </c>
      <c r="F62" s="10" t="str">
        <f>VLOOKUP(G62,Data!$A:$G,7,0)</f>
        <v>2430315335</v>
      </c>
      <c r="G62" s="5">
        <v>28075</v>
      </c>
      <c r="H62" s="7">
        <f>VLOOKUP(G62,'FI txn'!$G:$H,2,0)</f>
        <v>6</v>
      </c>
      <c r="I62" s="7">
        <f t="shared" si="3"/>
        <v>1800</v>
      </c>
      <c r="J62" s="8">
        <v>23</v>
      </c>
      <c r="K62" s="8">
        <v>21</v>
      </c>
      <c r="L62" s="8">
        <v>26</v>
      </c>
      <c r="M62" s="8">
        <v>29</v>
      </c>
      <c r="N62" s="8">
        <v>23</v>
      </c>
      <c r="O62" s="8"/>
      <c r="P62" s="8"/>
      <c r="Q62" s="8"/>
      <c r="R62" s="8"/>
      <c r="S62" s="8"/>
      <c r="T62" s="8"/>
      <c r="U62" s="8"/>
      <c r="V62" s="8">
        <f t="shared" si="4"/>
        <v>122</v>
      </c>
      <c r="W62" s="9">
        <f t="shared" si="5"/>
        <v>20.333333333333332</v>
      </c>
    </row>
    <row r="63" spans="1:23" x14ac:dyDescent="0.3">
      <c r="A63" s="4" t="str">
        <f>VLOOKUP(G63,Data!$A:$G,2,0)</f>
        <v>Sunil Biswas</v>
      </c>
      <c r="B63" s="4" t="str">
        <f>VLOOKUP(G63,Data!$A:$G,3,0)</f>
        <v>Active</v>
      </c>
      <c r="C63" s="4" t="str">
        <f>VLOOKUP(G63,Data!$A:$G,4,0)</f>
        <v>Durgapur</v>
      </c>
      <c r="D63" s="4" t="str">
        <f>VLOOKUP(G63,Data!$A:$G,5,0)</f>
        <v>Ranaghat</v>
      </c>
      <c r="E63" s="4" t="str">
        <f>VLOOKUP(G63,Data!$A:$G,6,0)</f>
        <v>Kishore Bhakta</v>
      </c>
      <c r="F63" s="10" t="str">
        <f>VLOOKUP(G63,Data!$A:$G,7,0)</f>
        <v>2430315568</v>
      </c>
      <c r="G63" s="5">
        <v>28482</v>
      </c>
      <c r="H63" s="7">
        <f>VLOOKUP(G63,'FI txn'!$G:$H,2,0)</f>
        <v>6</v>
      </c>
      <c r="I63" s="7">
        <f t="shared" si="3"/>
        <v>1800</v>
      </c>
      <c r="J63" s="8">
        <v>17</v>
      </c>
      <c r="K63" s="8">
        <v>17</v>
      </c>
      <c r="L63" s="8">
        <v>16</v>
      </c>
      <c r="M63" s="8">
        <v>15</v>
      </c>
      <c r="N63" s="8">
        <v>24</v>
      </c>
      <c r="O63" s="8"/>
      <c r="P63" s="8"/>
      <c r="Q63" s="8"/>
      <c r="R63" s="8"/>
      <c r="S63" s="8"/>
      <c r="T63" s="8"/>
      <c r="U63" s="8"/>
      <c r="V63" s="8">
        <f t="shared" si="4"/>
        <v>89</v>
      </c>
      <c r="W63" s="9">
        <f t="shared" si="5"/>
        <v>14.833333333333334</v>
      </c>
    </row>
    <row r="64" spans="1:23" x14ac:dyDescent="0.3">
      <c r="A64" s="4" t="str">
        <f>VLOOKUP(G64,Data!$A:$G,2,0)</f>
        <v>Sunil Biswas</v>
      </c>
      <c r="B64" s="4" t="str">
        <f>VLOOKUP(G64,Data!$A:$G,3,0)</f>
        <v>Active</v>
      </c>
      <c r="C64" s="4" t="str">
        <f>VLOOKUP(G64,Data!$A:$G,4,0)</f>
        <v>Durgapur</v>
      </c>
      <c r="D64" s="4" t="str">
        <f>VLOOKUP(G64,Data!$A:$G,5,0)</f>
        <v>Ranaghat</v>
      </c>
      <c r="E64" s="4" t="str">
        <f>VLOOKUP(G64,Data!$A:$G,6,0)</f>
        <v>Sagari Ghosh</v>
      </c>
      <c r="F64" s="10" t="str">
        <f>VLOOKUP(G64,Data!$A:$G,7,0)</f>
        <v>2430314519</v>
      </c>
      <c r="G64" s="5">
        <v>26595</v>
      </c>
      <c r="H64" s="7">
        <f>VLOOKUP(G64,'FI txn'!$G:$H,2,0)</f>
        <v>6</v>
      </c>
      <c r="I64" s="7">
        <f t="shared" si="3"/>
        <v>1800</v>
      </c>
      <c r="J64" s="8">
        <v>26</v>
      </c>
      <c r="K64" s="8">
        <v>28</v>
      </c>
      <c r="L64" s="8">
        <v>26</v>
      </c>
      <c r="M64" s="8">
        <v>15</v>
      </c>
      <c r="N64" s="8">
        <v>22</v>
      </c>
      <c r="O64" s="8"/>
      <c r="P64" s="8"/>
      <c r="Q64" s="8"/>
      <c r="R64" s="8"/>
      <c r="S64" s="8"/>
      <c r="T64" s="8"/>
      <c r="U64" s="8"/>
      <c r="V64" s="8">
        <f t="shared" si="4"/>
        <v>117</v>
      </c>
      <c r="W64" s="9">
        <f t="shared" si="5"/>
        <v>19.5</v>
      </c>
    </row>
    <row r="65" spans="1:23" x14ac:dyDescent="0.3">
      <c r="A65" s="4" t="str">
        <f>VLOOKUP(G65,Data!$A:$G,2,0)</f>
        <v>Santanu Bera</v>
      </c>
      <c r="B65" s="4" t="str">
        <f>VLOOKUP(G65,Data!$A:$G,3,0)</f>
        <v>Active</v>
      </c>
      <c r="C65" s="4" t="str">
        <f>VLOOKUP(G65,Data!$A:$G,4,0)</f>
        <v>Hooghly</v>
      </c>
      <c r="D65" s="4" t="str">
        <f>VLOOKUP(G65,Data!$A:$G,5,0)</f>
        <v>Keshapat</v>
      </c>
      <c r="E65" s="4" t="str">
        <f>VLOOKUP(G65,Data!$A:$G,6,0)</f>
        <v>Subhankar Samanta</v>
      </c>
      <c r="F65" s="10" t="str">
        <f>VLOOKUP(G65,Data!$A:$G,7,0)</f>
        <v>2380311664</v>
      </c>
      <c r="G65" s="5">
        <v>22402</v>
      </c>
      <c r="H65" s="7">
        <f>VLOOKUP(G65,'FI txn'!$G:$H,2,0)</f>
        <v>6</v>
      </c>
      <c r="I65" s="7">
        <f t="shared" si="3"/>
        <v>1800</v>
      </c>
      <c r="J65" s="8">
        <v>20</v>
      </c>
      <c r="K65" s="8">
        <v>17</v>
      </c>
      <c r="L65" s="8">
        <v>19</v>
      </c>
      <c r="M65" s="8">
        <v>25</v>
      </c>
      <c r="N65" s="8">
        <v>20</v>
      </c>
      <c r="O65" s="8"/>
      <c r="P65" s="8"/>
      <c r="Q65" s="8"/>
      <c r="R65" s="8"/>
      <c r="S65" s="8"/>
      <c r="T65" s="8"/>
      <c r="U65" s="8"/>
      <c r="V65" s="8">
        <f t="shared" si="4"/>
        <v>101</v>
      </c>
      <c r="W65" s="9">
        <f t="shared" si="5"/>
        <v>16.833333333333332</v>
      </c>
    </row>
    <row r="66" spans="1:23" x14ac:dyDescent="0.3">
      <c r="A66" s="4" t="str">
        <f>VLOOKUP(G66,Data!$A:$G,2,0)</f>
        <v>Sunil Biswas</v>
      </c>
      <c r="B66" s="4" t="str">
        <f>VLOOKUP(G66,Data!$A:$G,3,0)</f>
        <v>Active</v>
      </c>
      <c r="C66" s="4" t="str">
        <f>VLOOKUP(G66,Data!$A:$G,4,0)</f>
        <v>Durgapur</v>
      </c>
      <c r="D66" s="4" t="str">
        <f>VLOOKUP(G66,Data!$A:$G,5,0)</f>
        <v>Hridaypur</v>
      </c>
      <c r="E66" s="4" t="str">
        <f>VLOOKUP(G66,Data!$A:$G,6,0)</f>
        <v>Suman Ghosh</v>
      </c>
      <c r="F66" s="10" t="str">
        <f>VLOOKUP(G66,Data!$A:$G,7,0)</f>
        <v>8116659114</v>
      </c>
      <c r="G66" s="5">
        <v>29525</v>
      </c>
      <c r="H66" s="7">
        <f>VLOOKUP(G66,'FI txn'!$G:$H,2,0)</f>
        <v>4</v>
      </c>
      <c r="I66" s="7">
        <f t="shared" ref="I66:I97" si="6">H66*300</f>
        <v>1200</v>
      </c>
      <c r="J66" s="8"/>
      <c r="K66" s="8"/>
      <c r="L66" s="8">
        <v>11</v>
      </c>
      <c r="M66" s="8">
        <v>27</v>
      </c>
      <c r="N66" s="8">
        <v>22</v>
      </c>
      <c r="O66" s="8"/>
      <c r="P66" s="8"/>
      <c r="Q66" s="8"/>
      <c r="R66" s="8"/>
      <c r="S66" s="8"/>
      <c r="T66" s="8"/>
      <c r="U66" s="8"/>
      <c r="V66" s="8">
        <f t="shared" ref="V66:V93" si="7">SUM(J66:U66)</f>
        <v>60</v>
      </c>
      <c r="W66" s="9"/>
    </row>
    <row r="67" spans="1:23" x14ac:dyDescent="0.3">
      <c r="A67" s="4" t="str">
        <f>VLOOKUP(G67,Data!$A:$G,2,0)</f>
        <v>Chandi Charan Mahato</v>
      </c>
      <c r="B67" s="4" t="str">
        <f>VLOOKUP(G67,Data!$A:$G,3,0)</f>
        <v>Inactive</v>
      </c>
      <c r="C67" s="4" t="str">
        <f>VLOOKUP(G67,Data!$A:$G,4,0)</f>
        <v>Durgapur</v>
      </c>
      <c r="D67" s="4" t="str">
        <f>VLOOKUP(G67,Data!$A:$G,5,0)</f>
        <v>Patrasayer</v>
      </c>
      <c r="E67" s="4" t="str">
        <f>VLOOKUP(G67,Data!$A:$G,6,0)</f>
        <v>Bula Karmakar</v>
      </c>
      <c r="F67" s="10" t="str">
        <f>VLOOKUP(G67,Data!$A:$G,7,0)</f>
        <v>2160315824</v>
      </c>
      <c r="G67" s="5">
        <v>29069</v>
      </c>
      <c r="H67" s="7">
        <f>VLOOKUP(G67,'FI txn'!$G:$H,2,0)</f>
        <v>5</v>
      </c>
      <c r="I67" s="7">
        <f t="shared" si="6"/>
        <v>1500</v>
      </c>
      <c r="J67" s="8">
        <v>10</v>
      </c>
      <c r="K67" s="8">
        <v>26</v>
      </c>
      <c r="L67" s="8">
        <v>26</v>
      </c>
      <c r="M67" s="8">
        <v>17</v>
      </c>
      <c r="N67" s="8">
        <v>20</v>
      </c>
      <c r="O67" s="8"/>
      <c r="P67" s="8"/>
      <c r="Q67" s="8"/>
      <c r="R67" s="8"/>
      <c r="S67" s="8"/>
      <c r="T67" s="8"/>
      <c r="U67" s="8"/>
      <c r="V67" s="8">
        <f t="shared" si="7"/>
        <v>99</v>
      </c>
      <c r="W67" s="9">
        <f t="shared" ref="W67:W72" si="8">V67/H67</f>
        <v>19.8</v>
      </c>
    </row>
    <row r="68" spans="1:23" x14ac:dyDescent="0.3">
      <c r="A68" s="4" t="str">
        <f>VLOOKUP(G68,Data!$A:$G,2,0)</f>
        <v>Shyamalesh Sarkar</v>
      </c>
      <c r="B68" s="4" t="str">
        <f>VLOOKUP(G68,Data!$A:$G,3,0)</f>
        <v>Active</v>
      </c>
      <c r="C68" s="4" t="str">
        <f>VLOOKUP(G68,Data!$A:$G,4,0)</f>
        <v>Siliguri</v>
      </c>
      <c r="D68" s="4" t="str">
        <f>VLOOKUP(G68,Data!$A:$G,5,0)</f>
        <v>Sagardighi Square</v>
      </c>
      <c r="E68" s="4" t="str">
        <f>VLOOKUP(G68,Data!$A:$G,6,0)</f>
        <v>Rajani Roy</v>
      </c>
      <c r="F68" s="10" t="str">
        <f>VLOOKUP(G68,Data!$A:$G,7,0)</f>
        <v>2200310076</v>
      </c>
      <c r="G68" s="5">
        <v>20502</v>
      </c>
      <c r="H68" s="7">
        <f>VLOOKUP(G68,'FI txn'!$G:$H,2,0)</f>
        <v>6</v>
      </c>
      <c r="I68" s="7">
        <f t="shared" si="6"/>
        <v>1800</v>
      </c>
      <c r="J68" s="8">
        <v>20</v>
      </c>
      <c r="K68" s="8">
        <v>23</v>
      </c>
      <c r="L68" s="8">
        <v>26</v>
      </c>
      <c r="M68" s="8">
        <v>26</v>
      </c>
      <c r="N68" s="8">
        <v>19</v>
      </c>
      <c r="O68" s="8"/>
      <c r="P68" s="8"/>
      <c r="Q68" s="8"/>
      <c r="R68" s="8"/>
      <c r="S68" s="8"/>
      <c r="T68" s="8"/>
      <c r="U68" s="8"/>
      <c r="V68" s="8">
        <f t="shared" si="7"/>
        <v>114</v>
      </c>
      <c r="W68" s="9">
        <f t="shared" si="8"/>
        <v>19</v>
      </c>
    </row>
    <row r="69" spans="1:23" x14ac:dyDescent="0.3">
      <c r="A69" s="4" t="str">
        <f>VLOOKUP(G69,Data!$A:$G,2,0)</f>
        <v>Under Office (W Medinipur)</v>
      </c>
      <c r="B69" s="4" t="str">
        <f>VLOOKUP(G69,Data!$A:$G,3,0)</f>
        <v>Active</v>
      </c>
      <c r="C69" s="4" t="str">
        <f>VLOOKUP(G69,Data!$A:$G,4,0)</f>
        <v>Hooghly</v>
      </c>
      <c r="D69" s="4" t="str">
        <f>VLOOKUP(G69,Data!$A:$G,5,0)</f>
        <v>Kankabati</v>
      </c>
      <c r="E69" s="4" t="str">
        <f>VLOOKUP(G69,Data!$A:$G,6,0)</f>
        <v>Mita Samanta</v>
      </c>
      <c r="F69" s="10" t="str">
        <f>VLOOKUP(G69,Data!$A:$G,7,0)</f>
        <v>2390311663</v>
      </c>
      <c r="G69" s="5">
        <v>22401</v>
      </c>
      <c r="H69" s="7">
        <f>VLOOKUP(G69,'FI txn'!$G:$H,2,0)</f>
        <v>6</v>
      </c>
      <c r="I69" s="7">
        <f t="shared" si="6"/>
        <v>1800</v>
      </c>
      <c r="J69" s="8">
        <v>21</v>
      </c>
      <c r="K69" s="8">
        <v>24</v>
      </c>
      <c r="L69" s="8">
        <v>20</v>
      </c>
      <c r="M69" s="8">
        <v>27</v>
      </c>
      <c r="N69" s="8">
        <v>21</v>
      </c>
      <c r="O69" s="8"/>
      <c r="P69" s="8"/>
      <c r="Q69" s="8"/>
      <c r="R69" s="8"/>
      <c r="S69" s="8"/>
      <c r="T69" s="8"/>
      <c r="U69" s="8"/>
      <c r="V69" s="8">
        <f t="shared" si="7"/>
        <v>113</v>
      </c>
      <c r="W69" s="9">
        <f t="shared" si="8"/>
        <v>18.833333333333332</v>
      </c>
    </row>
    <row r="70" spans="1:23" x14ac:dyDescent="0.3">
      <c r="A70" s="4" t="str">
        <f>VLOOKUP(G70,Data!$A:$G,2,0)</f>
        <v>Manindra Nath Barman</v>
      </c>
      <c r="B70" s="4" t="str">
        <f>VLOOKUP(G70,Data!$A:$G,3,0)</f>
        <v>Active</v>
      </c>
      <c r="C70" s="4" t="str">
        <f>VLOOKUP(G70,Data!$A:$G,4,0)</f>
        <v>Siliguri</v>
      </c>
      <c r="D70" s="4" t="str">
        <f>VLOOKUP(G70,Data!$A:$G,5,0)</f>
        <v>Barobisha</v>
      </c>
      <c r="E70" s="4" t="str">
        <f>VLOOKUP(G70,Data!$A:$G,6,0)</f>
        <v>Sankar Arya</v>
      </c>
      <c r="F70" s="10" t="str">
        <f>VLOOKUP(G70,Data!$A:$G,7,0)</f>
        <v>2200315639</v>
      </c>
      <c r="G70" s="5">
        <v>28692</v>
      </c>
      <c r="H70" s="7">
        <f>VLOOKUP(G70,'FI txn'!$G:$H,2,0)</f>
        <v>6</v>
      </c>
      <c r="I70" s="7">
        <f t="shared" si="6"/>
        <v>1800</v>
      </c>
      <c r="J70" s="8">
        <v>22</v>
      </c>
      <c r="K70" s="8">
        <v>17</v>
      </c>
      <c r="L70" s="8">
        <v>21</v>
      </c>
      <c r="M70" s="8">
        <v>12</v>
      </c>
      <c r="N70" s="8">
        <v>21</v>
      </c>
      <c r="O70" s="8"/>
      <c r="P70" s="8"/>
      <c r="Q70" s="8"/>
      <c r="R70" s="8"/>
      <c r="S70" s="8"/>
      <c r="T70" s="8"/>
      <c r="U70" s="8"/>
      <c r="V70" s="8">
        <f t="shared" si="7"/>
        <v>93</v>
      </c>
      <c r="W70" s="9">
        <f t="shared" si="8"/>
        <v>15.5</v>
      </c>
    </row>
    <row r="71" spans="1:23" x14ac:dyDescent="0.3">
      <c r="A71" s="4" t="str">
        <f>VLOOKUP(G71,Data!$A:$G,2,0)</f>
        <v>Manindra Nath Barman</v>
      </c>
      <c r="B71" s="4" t="str">
        <f>VLOOKUP(G71,Data!$A:$G,3,0)</f>
        <v>Inactive</v>
      </c>
      <c r="C71" s="4" t="str">
        <f>VLOOKUP(G71,Data!$A:$G,4,0)</f>
        <v>Siliguri</v>
      </c>
      <c r="D71" s="4" t="str">
        <f>VLOOKUP(G71,Data!$A:$G,5,0)</f>
        <v>Buxa Forest Craja</v>
      </c>
      <c r="E71" s="4" t="str">
        <f>VLOOKUP(G71,Data!$A:$G,6,0)</f>
        <v xml:space="preserve">Md Khalique Ansari </v>
      </c>
      <c r="F71" s="10" t="str">
        <f>VLOOKUP(G71,Data!$A:$G,7,0)</f>
        <v>9490315684</v>
      </c>
      <c r="G71" s="5">
        <v>28825</v>
      </c>
      <c r="H71" s="7">
        <f>VLOOKUP(G71,'FI txn'!$G:$H,2,0)</f>
        <v>5</v>
      </c>
      <c r="I71" s="7">
        <f t="shared" si="6"/>
        <v>1500</v>
      </c>
      <c r="J71" s="8">
        <v>9</v>
      </c>
      <c r="K71" s="8">
        <v>7</v>
      </c>
      <c r="L71" s="8">
        <v>2</v>
      </c>
      <c r="M71" s="8">
        <v>5</v>
      </c>
      <c r="N71" s="8">
        <v>13</v>
      </c>
      <c r="O71" s="8"/>
      <c r="P71" s="8"/>
      <c r="Q71" s="8"/>
      <c r="R71" s="8"/>
      <c r="S71" s="8"/>
      <c r="T71" s="8"/>
      <c r="U71" s="8"/>
      <c r="V71" s="8">
        <f t="shared" si="7"/>
        <v>36</v>
      </c>
      <c r="W71" s="9">
        <f t="shared" si="8"/>
        <v>7.2</v>
      </c>
    </row>
    <row r="72" spans="1:23" x14ac:dyDescent="0.3">
      <c r="A72" s="4" t="str">
        <f>VLOOKUP(G72,Data!$A:$G,2,0)</f>
        <v>Under Office (W Medinipur)</v>
      </c>
      <c r="B72" s="4" t="str">
        <f>VLOOKUP(G72,Data!$A:$G,3,0)</f>
        <v>Active</v>
      </c>
      <c r="C72" s="4" t="str">
        <f>VLOOKUP(G72,Data!$A:$G,4,0)</f>
        <v>Hooghly</v>
      </c>
      <c r="D72" s="4" t="str">
        <f>VLOOKUP(G72,Data!$A:$G,5,0)</f>
        <v>Ghatal</v>
      </c>
      <c r="E72" s="4" t="str">
        <f>VLOOKUP(G72,Data!$A:$G,6,0)</f>
        <v>Chandan Satik</v>
      </c>
      <c r="F72" s="10" t="str">
        <f>VLOOKUP(G72,Data!$A:$G,7,0)</f>
        <v>2390311662</v>
      </c>
      <c r="G72" s="5">
        <v>22400</v>
      </c>
      <c r="H72" s="7">
        <f>VLOOKUP(G72,'FI txn'!$G:$H,2,0)</f>
        <v>6</v>
      </c>
      <c r="I72" s="7">
        <f t="shared" si="6"/>
        <v>1800</v>
      </c>
      <c r="J72" s="8">
        <v>19</v>
      </c>
      <c r="K72" s="8">
        <v>14</v>
      </c>
      <c r="L72" s="8">
        <v>16</v>
      </c>
      <c r="M72" s="8">
        <v>19</v>
      </c>
      <c r="N72" s="8">
        <v>19</v>
      </c>
      <c r="O72" s="8"/>
      <c r="P72" s="8"/>
      <c r="Q72" s="8"/>
      <c r="R72" s="8"/>
      <c r="S72" s="8"/>
      <c r="T72" s="8"/>
      <c r="U72" s="8"/>
      <c r="V72" s="8">
        <f t="shared" si="7"/>
        <v>87</v>
      </c>
      <c r="W72" s="9">
        <f t="shared" si="8"/>
        <v>14.5</v>
      </c>
    </row>
    <row r="73" spans="1:23" x14ac:dyDescent="0.3">
      <c r="A73" s="4" t="str">
        <f>VLOOKUP(G73,Data!$A:$G,2,0)</f>
        <v>Manindra Nath Barman</v>
      </c>
      <c r="B73" s="4" t="str">
        <f>VLOOKUP(G73,Data!$A:$G,3,0)</f>
        <v>Inactive</v>
      </c>
      <c r="C73" s="4" t="str">
        <f>VLOOKUP(G73,Data!$A:$G,4,0)</f>
        <v>Siliguri</v>
      </c>
      <c r="D73" s="4" t="str">
        <f>VLOOKUP(G73,Data!$A:$G,5,0)</f>
        <v>Barobisha</v>
      </c>
      <c r="E73" s="4" t="str">
        <f>VLOOKUP(G73,Data!$A:$G,6,0)</f>
        <v>Virendra Narayan Nag</v>
      </c>
      <c r="F73" s="10" t="str">
        <f>VLOOKUP(G73,Data!$A:$G,7,0)</f>
        <v>8967601707</v>
      </c>
      <c r="G73" s="5">
        <v>29526</v>
      </c>
      <c r="H73" s="7">
        <f>VLOOKUP(G73,'FI txn'!$G:$H,2,0)</f>
        <v>3</v>
      </c>
      <c r="I73" s="7">
        <f t="shared" si="6"/>
        <v>900</v>
      </c>
      <c r="J73" s="8"/>
      <c r="K73" s="8"/>
      <c r="L73" s="8">
        <v>3</v>
      </c>
      <c r="M73" s="8">
        <v>9</v>
      </c>
      <c r="N73" s="8">
        <v>19</v>
      </c>
      <c r="O73" s="8"/>
      <c r="P73" s="8"/>
      <c r="Q73" s="8"/>
      <c r="R73" s="8"/>
      <c r="S73" s="8"/>
      <c r="T73" s="8"/>
      <c r="U73" s="8"/>
      <c r="V73" s="8">
        <f t="shared" si="7"/>
        <v>31</v>
      </c>
      <c r="W73" s="9"/>
    </row>
    <row r="74" spans="1:23" x14ac:dyDescent="0.3">
      <c r="A74" s="4" t="str">
        <f>VLOOKUP(G74,Data!$A:$G,2,0)</f>
        <v>Shyamalesh Sarkar</v>
      </c>
      <c r="B74" s="4" t="str">
        <f>VLOOKUP(G74,Data!$A:$G,3,0)</f>
        <v>Active</v>
      </c>
      <c r="C74" s="4" t="str">
        <f>VLOOKUP(G74,Data!$A:$G,4,0)</f>
        <v>Siliguri</v>
      </c>
      <c r="D74" s="4" t="str">
        <f>VLOOKUP(G74,Data!$A:$G,5,0)</f>
        <v>Sagardighi Square</v>
      </c>
      <c r="E74" s="4" t="str">
        <f>VLOOKUP(G74,Data!$A:$G,6,0)</f>
        <v xml:space="preserve">Khurshid Alom </v>
      </c>
      <c r="F74" s="10" t="str">
        <f>VLOOKUP(G74,Data!$A:$G,7,0)</f>
        <v>2200311941</v>
      </c>
      <c r="G74" s="5">
        <v>22768</v>
      </c>
      <c r="H74" s="7">
        <f>VLOOKUP(G74,'FI txn'!$G:$H,2,0)</f>
        <v>6</v>
      </c>
      <c r="I74" s="7">
        <f t="shared" si="6"/>
        <v>1800</v>
      </c>
      <c r="J74" s="8">
        <v>22</v>
      </c>
      <c r="K74" s="8">
        <v>17</v>
      </c>
      <c r="L74" s="8">
        <v>22</v>
      </c>
      <c r="M74" s="8">
        <v>25</v>
      </c>
      <c r="N74" s="8">
        <v>20</v>
      </c>
      <c r="O74" s="8"/>
      <c r="P74" s="8"/>
      <c r="Q74" s="8"/>
      <c r="R74" s="8"/>
      <c r="S74" s="8"/>
      <c r="T74" s="8"/>
      <c r="U74" s="8"/>
      <c r="V74" s="8">
        <f t="shared" si="7"/>
        <v>106</v>
      </c>
      <c r="W74" s="9">
        <f t="shared" ref="W74:W104" si="9">V74/H74</f>
        <v>17.666666666666668</v>
      </c>
    </row>
    <row r="75" spans="1:23" x14ac:dyDescent="0.3">
      <c r="A75" s="4" t="str">
        <f>VLOOKUP(G75,Data!$A:$G,2,0)</f>
        <v>Pijush Singha</v>
      </c>
      <c r="B75" s="4" t="str">
        <f>VLOOKUP(G75,Data!$A:$G,3,0)</f>
        <v>Active</v>
      </c>
      <c r="C75" s="4" t="str">
        <f>VLOOKUP(G75,Data!$A:$G,4,0)</f>
        <v>Siliguri</v>
      </c>
      <c r="D75" s="4" t="str">
        <f>VLOOKUP(G75,Data!$A:$G,5,0)</f>
        <v>Dhuliyan</v>
      </c>
      <c r="E75" s="4" t="str">
        <f>VLOOKUP(G75,Data!$A:$G,6,0)</f>
        <v>Md Asraful Hoque</v>
      </c>
      <c r="F75" s="10" t="str">
        <f>VLOOKUP(G75,Data!$A:$G,7,0)</f>
        <v>2410313985</v>
      </c>
      <c r="G75" s="5">
        <v>25557</v>
      </c>
      <c r="H75" s="7">
        <f>VLOOKUP(G75,'FI txn'!$G:$H,2,0)</f>
        <v>6</v>
      </c>
      <c r="I75" s="7">
        <f t="shared" si="6"/>
        <v>1800</v>
      </c>
      <c r="J75" s="8">
        <v>23</v>
      </c>
      <c r="K75" s="8">
        <v>22</v>
      </c>
      <c r="L75" s="8">
        <v>10</v>
      </c>
      <c r="M75" s="8">
        <v>23</v>
      </c>
      <c r="N75" s="8">
        <v>19</v>
      </c>
      <c r="O75" s="8"/>
      <c r="P75" s="8"/>
      <c r="Q75" s="8"/>
      <c r="R75" s="8"/>
      <c r="S75" s="8"/>
      <c r="T75" s="8"/>
      <c r="U75" s="8"/>
      <c r="V75" s="8">
        <f t="shared" si="7"/>
        <v>97</v>
      </c>
      <c r="W75" s="9">
        <f t="shared" si="9"/>
        <v>16.166666666666668</v>
      </c>
    </row>
    <row r="76" spans="1:23" x14ac:dyDescent="0.3">
      <c r="A76" s="4" t="str">
        <f>VLOOKUP(G76,Data!$A:$G,2,0)</f>
        <v>Souvik Maity</v>
      </c>
      <c r="B76" s="4" t="str">
        <f>VLOOKUP(G76,Data!$A:$G,3,0)</f>
        <v>Active</v>
      </c>
      <c r="C76" s="4" t="str">
        <f>VLOOKUP(G76,Data!$A:$G,4,0)</f>
        <v>Hooghly</v>
      </c>
      <c r="D76" s="4" t="str">
        <f>VLOOKUP(G76,Data!$A:$G,5,0)</f>
        <v>Dasghara</v>
      </c>
      <c r="E76" s="4" t="str">
        <f>VLOOKUP(G76,Data!$A:$G,6,0)</f>
        <v>Sabir Amed</v>
      </c>
      <c r="F76" s="10" t="str">
        <f>VLOOKUP(G76,Data!$A:$G,7,0)</f>
        <v>3390312282</v>
      </c>
      <c r="G76" s="5">
        <v>23214</v>
      </c>
      <c r="H76" s="7">
        <f>VLOOKUP(G76,'FI txn'!$G:$H,2,0)</f>
        <v>6</v>
      </c>
      <c r="I76" s="7">
        <f t="shared" si="6"/>
        <v>1800</v>
      </c>
      <c r="J76" s="8">
        <v>15</v>
      </c>
      <c r="K76" s="8">
        <v>14</v>
      </c>
      <c r="L76" s="8">
        <v>10</v>
      </c>
      <c r="M76" s="8">
        <v>13</v>
      </c>
      <c r="N76" s="8">
        <v>15</v>
      </c>
      <c r="O76" s="8"/>
      <c r="P76" s="8"/>
      <c r="Q76" s="8"/>
      <c r="R76" s="8"/>
      <c r="S76" s="8"/>
      <c r="T76" s="8"/>
      <c r="U76" s="8"/>
      <c r="V76" s="8">
        <f t="shared" si="7"/>
        <v>67</v>
      </c>
      <c r="W76" s="9">
        <f t="shared" si="9"/>
        <v>11.166666666666666</v>
      </c>
    </row>
    <row r="77" spans="1:23" x14ac:dyDescent="0.3">
      <c r="A77" s="4" t="str">
        <f>VLOOKUP(G77,Data!$A:$G,2,0)</f>
        <v>Sunil Biswas</v>
      </c>
      <c r="B77" s="4" t="str">
        <f>VLOOKUP(G77,Data!$A:$G,3,0)</f>
        <v>Inactive</v>
      </c>
      <c r="C77" s="4" t="str">
        <f>VLOOKUP(G77,Data!$A:$G,4,0)</f>
        <v>Durgapur</v>
      </c>
      <c r="D77" s="4" t="str">
        <f>VLOOKUP(G77,Data!$A:$G,5,0)</f>
        <v>Chakdaha</v>
      </c>
      <c r="E77" s="4" t="str">
        <f>VLOOKUP(G77,Data!$A:$G,6,0)</f>
        <v>Kiran Biswas</v>
      </c>
      <c r="F77" s="10" t="str">
        <f>VLOOKUP(G77,Data!$A:$G,7,0)</f>
        <v>2430315343</v>
      </c>
      <c r="G77" s="5">
        <v>28083</v>
      </c>
      <c r="H77" s="7">
        <f>VLOOKUP(G77,'FI txn'!$G:$H,2,0)</f>
        <v>5</v>
      </c>
      <c r="I77" s="7">
        <f t="shared" si="6"/>
        <v>1500</v>
      </c>
      <c r="J77" s="8">
        <v>23</v>
      </c>
      <c r="K77" s="8">
        <v>21</v>
      </c>
      <c r="L77" s="8">
        <v>21</v>
      </c>
      <c r="M77" s="8">
        <v>20</v>
      </c>
      <c r="N77" s="8">
        <v>10</v>
      </c>
      <c r="O77" s="8"/>
      <c r="P77" s="8"/>
      <c r="Q77" s="8"/>
      <c r="R77" s="8"/>
      <c r="S77" s="8"/>
      <c r="T77" s="8"/>
      <c r="U77" s="8"/>
      <c r="V77" s="8">
        <f t="shared" si="7"/>
        <v>95</v>
      </c>
      <c r="W77" s="9">
        <f t="shared" si="9"/>
        <v>19</v>
      </c>
    </row>
    <row r="78" spans="1:23" x14ac:dyDescent="0.3">
      <c r="A78" s="4" t="str">
        <f>VLOOKUP(G78,Data!$A:$G,2,0)</f>
        <v>Souvik Maity</v>
      </c>
      <c r="B78" s="4" t="str">
        <f>VLOOKUP(G78,Data!$A:$G,3,0)</f>
        <v>Active</v>
      </c>
      <c r="C78" s="4" t="str">
        <f>VLOOKUP(G78,Data!$A:$G,4,0)</f>
        <v>Hooghly</v>
      </c>
      <c r="D78" s="4" t="str">
        <f>VLOOKUP(G78,Data!$A:$G,5,0)</f>
        <v>Saidpur</v>
      </c>
      <c r="E78" s="4" t="str">
        <f>VLOOKUP(G78,Data!$A:$G,6,0)</f>
        <v>Puja Manna</v>
      </c>
      <c r="F78" s="10" t="str">
        <f>VLOOKUP(G78,Data!$A:$G,7,0)</f>
        <v>3390311696</v>
      </c>
      <c r="G78" s="5">
        <v>22453</v>
      </c>
      <c r="H78" s="7">
        <f>VLOOKUP(G78,'FI txn'!$G:$H,2,0)</f>
        <v>6</v>
      </c>
      <c r="I78" s="7">
        <f t="shared" si="6"/>
        <v>1800</v>
      </c>
      <c r="J78" s="8">
        <v>5</v>
      </c>
      <c r="K78" s="8">
        <v>11</v>
      </c>
      <c r="L78" s="8">
        <v>14</v>
      </c>
      <c r="M78" s="8">
        <v>16</v>
      </c>
      <c r="N78" s="8">
        <v>15</v>
      </c>
      <c r="O78" s="8"/>
      <c r="P78" s="8"/>
      <c r="Q78" s="8"/>
      <c r="R78" s="8"/>
      <c r="S78" s="8"/>
      <c r="T78" s="8"/>
      <c r="U78" s="8"/>
      <c r="V78" s="8">
        <f t="shared" si="7"/>
        <v>61</v>
      </c>
      <c r="W78" s="9">
        <f t="shared" si="9"/>
        <v>10.166666666666666</v>
      </c>
    </row>
    <row r="79" spans="1:23" x14ac:dyDescent="0.3">
      <c r="A79" s="4" t="str">
        <f>VLOOKUP(G79,Data!$A:$G,2,0)</f>
        <v>Sunil Biswas</v>
      </c>
      <c r="B79" s="4" t="str">
        <f>VLOOKUP(G79,Data!$A:$G,3,0)</f>
        <v>Inactive</v>
      </c>
      <c r="C79" s="4" t="str">
        <f>VLOOKUP(G79,Data!$A:$G,4,0)</f>
        <v>Durgapur</v>
      </c>
      <c r="D79" s="4" t="str">
        <f>VLOOKUP(G79,Data!$A:$G,5,0)</f>
        <v>Santipur</v>
      </c>
      <c r="E79" s="4" t="str">
        <f>VLOOKUP(G79,Data!$A:$G,6,0)</f>
        <v>Dipanwita Das</v>
      </c>
      <c r="F79" s="10" t="str">
        <f>VLOOKUP(G79,Data!$A:$G,7,0)</f>
        <v>2430315569</v>
      </c>
      <c r="G79" s="5">
        <v>28483</v>
      </c>
      <c r="H79" s="7">
        <f>VLOOKUP(G79,'FI txn'!$G:$H,2,0)</f>
        <v>5</v>
      </c>
      <c r="I79" s="7">
        <f t="shared" si="6"/>
        <v>1500</v>
      </c>
      <c r="J79" s="8">
        <v>4</v>
      </c>
      <c r="K79" s="8">
        <v>3</v>
      </c>
      <c r="L79" s="8">
        <v>13</v>
      </c>
      <c r="M79" s="8">
        <v>15</v>
      </c>
      <c r="N79" s="8">
        <v>13</v>
      </c>
      <c r="O79" s="8"/>
      <c r="P79" s="8"/>
      <c r="Q79" s="8"/>
      <c r="R79" s="8"/>
      <c r="S79" s="8"/>
      <c r="T79" s="8"/>
      <c r="U79" s="8"/>
      <c r="V79" s="8">
        <f t="shared" si="7"/>
        <v>48</v>
      </c>
      <c r="W79" s="9">
        <f t="shared" si="9"/>
        <v>9.6</v>
      </c>
    </row>
    <row r="80" spans="1:23" x14ac:dyDescent="0.3">
      <c r="A80" s="4" t="str">
        <f>VLOOKUP(G80,Data!$A:$G,2,0)</f>
        <v>Santanu Bera</v>
      </c>
      <c r="B80" s="4" t="str">
        <f>VLOOKUP(G80,Data!$A:$G,3,0)</f>
        <v>Active</v>
      </c>
      <c r="C80" s="4" t="str">
        <f>VLOOKUP(G80,Data!$A:$G,4,0)</f>
        <v>Hooghly</v>
      </c>
      <c r="D80" s="4" t="str">
        <f>VLOOKUP(G80,Data!$A:$G,5,0)</f>
        <v>Tamluk</v>
      </c>
      <c r="E80" s="4" t="str">
        <f>VLOOKUP(G80,Data!$A:$G,6,0)</f>
        <v>Soumen Baichar</v>
      </c>
      <c r="F80" s="10" t="str">
        <f>VLOOKUP(G80,Data!$A:$G,7,0)</f>
        <v>2390314474</v>
      </c>
      <c r="G80" s="5">
        <v>26530</v>
      </c>
      <c r="H80" s="7">
        <f>VLOOKUP(G80,'FI txn'!$G:$H,2,0)</f>
        <v>6</v>
      </c>
      <c r="I80" s="7">
        <f t="shared" si="6"/>
        <v>1800</v>
      </c>
      <c r="J80" s="8">
        <v>17</v>
      </c>
      <c r="K80" s="8">
        <v>19</v>
      </c>
      <c r="L80" s="8">
        <v>18</v>
      </c>
      <c r="M80" s="8">
        <v>16</v>
      </c>
      <c r="N80" s="8">
        <v>10</v>
      </c>
      <c r="O80" s="8"/>
      <c r="P80" s="8"/>
      <c r="Q80" s="8"/>
      <c r="R80" s="8"/>
      <c r="S80" s="8"/>
      <c r="T80" s="8"/>
      <c r="U80" s="8"/>
      <c r="V80" s="8">
        <f t="shared" si="7"/>
        <v>80</v>
      </c>
      <c r="W80" s="9">
        <f t="shared" si="9"/>
        <v>13.333333333333334</v>
      </c>
    </row>
    <row r="81" spans="1:23" x14ac:dyDescent="0.3">
      <c r="A81" s="4" t="str">
        <f>VLOOKUP(G81,Data!$A:$G,2,0)</f>
        <v>Santanu Bera</v>
      </c>
      <c r="B81" s="4" t="str">
        <f>VLOOKUP(G81,Data!$A:$G,3,0)</f>
        <v>Active</v>
      </c>
      <c r="C81" s="4" t="str">
        <f>VLOOKUP(G81,Data!$A:$G,4,0)</f>
        <v>Hooghly</v>
      </c>
      <c r="D81" s="4" t="str">
        <f>VLOOKUP(G81,Data!$A:$G,5,0)</f>
        <v>Contai</v>
      </c>
      <c r="E81" s="4" t="str">
        <f>VLOOKUP(G81,Data!$A:$G,6,0)</f>
        <v>Subhankar Sahoo</v>
      </c>
      <c r="F81" s="10" t="str">
        <f>VLOOKUP(G81,Data!$A:$G,7,0)</f>
        <v>2380314983</v>
      </c>
      <c r="G81" s="5">
        <v>27249</v>
      </c>
      <c r="H81" s="7">
        <f>VLOOKUP(G81,'FI txn'!$G:$H,2,0)</f>
        <v>6</v>
      </c>
      <c r="I81" s="7">
        <f t="shared" si="6"/>
        <v>1800</v>
      </c>
      <c r="J81" s="8">
        <v>18</v>
      </c>
      <c r="K81" s="8">
        <v>14</v>
      </c>
      <c r="L81" s="8">
        <v>8</v>
      </c>
      <c r="M81" s="8">
        <v>19</v>
      </c>
      <c r="N81" s="8">
        <v>12</v>
      </c>
      <c r="O81" s="8"/>
      <c r="P81" s="8"/>
      <c r="Q81" s="8"/>
      <c r="R81" s="8"/>
      <c r="S81" s="8"/>
      <c r="T81" s="8"/>
      <c r="U81" s="8"/>
      <c r="V81" s="8">
        <f t="shared" si="7"/>
        <v>71</v>
      </c>
      <c r="W81" s="9">
        <f t="shared" si="9"/>
        <v>11.833333333333334</v>
      </c>
    </row>
    <row r="82" spans="1:23" x14ac:dyDescent="0.3">
      <c r="A82" s="4" t="str">
        <f>VLOOKUP(G82,Data!$A:$G,2,0)</f>
        <v>Santanu Bera</v>
      </c>
      <c r="B82" s="4" t="str">
        <f>VLOOKUP(G82,Data!$A:$G,3,0)</f>
        <v>Active</v>
      </c>
      <c r="C82" s="4" t="str">
        <f>VLOOKUP(G82,Data!$A:$G,4,0)</f>
        <v>Hooghly</v>
      </c>
      <c r="D82" s="4" t="str">
        <f>VLOOKUP(G82,Data!$A:$G,5,0)</f>
        <v>Panskura</v>
      </c>
      <c r="E82" s="4" t="str">
        <f>VLOOKUP(G82,Data!$A:$G,6,0)</f>
        <v>Prasanta Ghorai</v>
      </c>
      <c r="F82" s="10" t="str">
        <f>VLOOKUP(G82,Data!$A:$G,7,0)</f>
        <v>9635383167</v>
      </c>
      <c r="G82" s="5">
        <v>29527</v>
      </c>
      <c r="H82" s="7">
        <f>VLOOKUP(G82,'FI txn'!$G:$H,2,0)</f>
        <v>4</v>
      </c>
      <c r="I82" s="7">
        <f t="shared" si="6"/>
        <v>1200</v>
      </c>
      <c r="J82" s="8"/>
      <c r="K82" s="8"/>
      <c r="L82" s="8">
        <v>10</v>
      </c>
      <c r="M82" s="8">
        <v>9</v>
      </c>
      <c r="N82" s="8">
        <v>13</v>
      </c>
      <c r="O82" s="8"/>
      <c r="P82" s="8"/>
      <c r="Q82" s="8"/>
      <c r="R82" s="8"/>
      <c r="S82" s="8"/>
      <c r="T82" s="8"/>
      <c r="U82" s="8"/>
      <c r="V82" s="8">
        <f t="shared" si="7"/>
        <v>32</v>
      </c>
      <c r="W82" s="9">
        <f t="shared" si="9"/>
        <v>8</v>
      </c>
    </row>
    <row r="83" spans="1:23" x14ac:dyDescent="0.3">
      <c r="A83" s="4" t="str">
        <f>VLOOKUP(G83,Data!$A:$G,2,0)</f>
        <v>Manindra Nath Barman</v>
      </c>
      <c r="B83" s="4" t="str">
        <f>VLOOKUP(G83,Data!$A:$G,3,0)</f>
        <v>Inactive</v>
      </c>
      <c r="C83" s="4" t="str">
        <f>VLOOKUP(G83,Data!$A:$G,4,0)</f>
        <v>Siliguri</v>
      </c>
      <c r="D83" s="4" t="str">
        <f>VLOOKUP(G83,Data!$A:$G,5,0)</f>
        <v>Buxa Forest Craja</v>
      </c>
      <c r="E83" s="4" t="str">
        <f>VLOOKUP(G83,Data!$A:$G,6,0)</f>
        <v>Pankaj Tiwari</v>
      </c>
      <c r="F83" s="10" t="str">
        <f>VLOOKUP(G83,Data!$A:$G,7,0)</f>
        <v>9490310077</v>
      </c>
      <c r="G83" s="12">
        <v>20503</v>
      </c>
      <c r="H83" s="7">
        <f>VLOOKUP(G83,'FI txn'!$G:$H,2,0)</f>
        <v>4</v>
      </c>
      <c r="I83" s="7">
        <f t="shared" si="6"/>
        <v>1200</v>
      </c>
      <c r="J83" s="8"/>
      <c r="K83" s="8">
        <v>4</v>
      </c>
      <c r="L83" s="8">
        <v>4</v>
      </c>
      <c r="M83" s="8">
        <v>8</v>
      </c>
      <c r="N83" s="8">
        <v>8</v>
      </c>
      <c r="O83" s="8"/>
      <c r="P83" s="8"/>
      <c r="Q83" s="8"/>
      <c r="R83" s="8"/>
      <c r="S83" s="8"/>
      <c r="T83" s="8"/>
      <c r="U83" s="8"/>
      <c r="V83" s="8">
        <f t="shared" si="7"/>
        <v>24</v>
      </c>
      <c r="W83" s="9">
        <f t="shared" si="9"/>
        <v>6</v>
      </c>
    </row>
    <row r="84" spans="1:23" x14ac:dyDescent="0.3">
      <c r="A84" s="4" t="str">
        <f>VLOOKUP(G84,Data!$A:$G,2,0)</f>
        <v>Mousumi Sarkar</v>
      </c>
      <c r="B84" s="4" t="str">
        <f>VLOOKUP(G84,Data!$A:$G,3,0)</f>
        <v>Active</v>
      </c>
      <c r="C84" s="4" t="str">
        <f>VLOOKUP(G84,Data!$A:$G,4,0)</f>
        <v>Saltlake</v>
      </c>
      <c r="D84" s="4" t="str">
        <f>VLOOKUP(G84,Data!$A:$G,5,0)</f>
        <v>Hingalganj</v>
      </c>
      <c r="E84" s="4" t="str">
        <f>VLOOKUP(G84,Data!$A:$G,6,0)</f>
        <v>Khairulla Mistri</v>
      </c>
      <c r="F84" s="10" t="str">
        <f>VLOOKUP(G84,Data!$A:$G,7,0)</f>
        <v>8410316210</v>
      </c>
      <c r="G84" s="5">
        <v>29799</v>
      </c>
      <c r="H84" s="7">
        <f>VLOOKUP(G84,'FI txn'!$G:$H,2,0)</f>
        <v>2</v>
      </c>
      <c r="I84" s="7">
        <f t="shared" si="6"/>
        <v>600</v>
      </c>
      <c r="J84" s="8"/>
      <c r="K84" s="8"/>
      <c r="L84" s="8"/>
      <c r="M84" s="8"/>
      <c r="N84" s="8">
        <v>13</v>
      </c>
      <c r="O84" s="8"/>
      <c r="P84" s="8"/>
      <c r="Q84" s="8"/>
      <c r="R84" s="8"/>
      <c r="S84" s="8"/>
      <c r="T84" s="8"/>
      <c r="U84" s="8"/>
      <c r="V84" s="8">
        <f t="shared" si="7"/>
        <v>13</v>
      </c>
      <c r="W84" s="9">
        <f t="shared" si="9"/>
        <v>6.5</v>
      </c>
    </row>
    <row r="85" spans="1:23" x14ac:dyDescent="0.3">
      <c r="A85" s="4" t="str">
        <f>VLOOKUP(G85,Data!$A:$G,2,0)</f>
        <v>Souvik Maity</v>
      </c>
      <c r="B85" s="4" t="str">
        <f>VLOOKUP(G85,Data!$A:$G,3,0)</f>
        <v>Active</v>
      </c>
      <c r="C85" s="4" t="str">
        <f>VLOOKUP(G85,Data!$A:$G,4,0)</f>
        <v>Hooghly</v>
      </c>
      <c r="D85" s="4" t="str">
        <f>VLOOKUP(G85,Data!$A:$G,5,0)</f>
        <v>Mayapur</v>
      </c>
      <c r="E85" s="4" t="str">
        <f>VLOOKUP(G85,Data!$A:$G,6,0)</f>
        <v>Ruma Rana</v>
      </c>
      <c r="F85" s="10" t="str">
        <f>VLOOKUP(G85,Data!$A:$G,7,0)</f>
        <v>8410316172</v>
      </c>
      <c r="G85" s="5">
        <v>29749</v>
      </c>
      <c r="H85" s="7">
        <f>VLOOKUP(G85,'FI txn'!$G:$H,2,0)</f>
        <v>1</v>
      </c>
      <c r="I85" s="7">
        <f t="shared" si="6"/>
        <v>300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>
        <f t="shared" si="7"/>
        <v>0</v>
      </c>
      <c r="W85" s="9">
        <f t="shared" si="9"/>
        <v>0</v>
      </c>
    </row>
    <row r="86" spans="1:23" x14ac:dyDescent="0.3">
      <c r="A86" s="4" t="str">
        <f>VLOOKUP(G86,Data!$A:$G,2,0)</f>
        <v>Chandi Charan Mahato</v>
      </c>
      <c r="B86" s="4" t="s">
        <v>274</v>
      </c>
      <c r="C86" s="4" t="str">
        <f>VLOOKUP(G86,Data!$A:$G,4,0)</f>
        <v>Durgapur</v>
      </c>
      <c r="D86" s="4" t="str">
        <f>VLOOKUP(G86,Data!$A:$G,5,0)</f>
        <v>Patrasayer</v>
      </c>
      <c r="E86" s="4" t="str">
        <f>VLOOKUP(G86,Data!$A:$G,6,0)</f>
        <v xml:space="preserve">Manorama Chakraborty Roy </v>
      </c>
      <c r="F86" s="10" t="str">
        <f>VLOOKUP(G86,Data!$A:$G,7,0)</f>
        <v>2160315496</v>
      </c>
      <c r="G86" s="5">
        <v>28305</v>
      </c>
      <c r="H86" s="7">
        <f>VLOOKUP(G86,'FI txn'!$G:$H,2,0)</f>
        <v>4</v>
      </c>
      <c r="I86" s="7">
        <f t="shared" si="6"/>
        <v>1200</v>
      </c>
      <c r="J86" s="8">
        <v>6</v>
      </c>
      <c r="K86" s="8">
        <v>2</v>
      </c>
      <c r="L86" s="8"/>
      <c r="M86" s="8">
        <v>4</v>
      </c>
      <c r="N86" s="8">
        <v>4</v>
      </c>
      <c r="O86" s="8"/>
      <c r="P86" s="8"/>
      <c r="Q86" s="8"/>
      <c r="R86" s="8"/>
      <c r="S86" s="8"/>
      <c r="T86" s="8"/>
      <c r="U86" s="8"/>
      <c r="V86" s="8">
        <f t="shared" si="7"/>
        <v>16</v>
      </c>
      <c r="W86" s="9">
        <f t="shared" si="9"/>
        <v>4</v>
      </c>
    </row>
    <row r="87" spans="1:23" x14ac:dyDescent="0.3">
      <c r="A87" s="4" t="str">
        <f>VLOOKUP(G87,Data!$A:$G,2,0)</f>
        <v>Under Office (Birbhum)</v>
      </c>
      <c r="B87" s="4" t="s">
        <v>274</v>
      </c>
      <c r="C87" s="4" t="str">
        <f>VLOOKUP(G87,Data!$A:$G,4,0)</f>
        <v>Siliguri</v>
      </c>
      <c r="D87" s="4" t="str">
        <f>VLOOKUP(G87,Data!$A:$G,5,0)</f>
        <v>Lohapur</v>
      </c>
      <c r="E87" s="4" t="str">
        <f>VLOOKUP(G87,Data!$A:$G,6,0)</f>
        <v>Suraj Fulmali</v>
      </c>
      <c r="F87" s="10" t="str">
        <f>VLOOKUP(G87,Data!$A:$G,7,0)</f>
        <v>0140311327</v>
      </c>
      <c r="G87" s="5">
        <v>27437</v>
      </c>
      <c r="H87" s="7">
        <f>VLOOKUP(G87,'FI txn'!$G:$H,2,0)</f>
        <v>2</v>
      </c>
      <c r="I87" s="7">
        <f t="shared" si="6"/>
        <v>600</v>
      </c>
      <c r="J87" s="8">
        <v>5</v>
      </c>
      <c r="K87" s="8"/>
      <c r="L87" s="8"/>
      <c r="M87" s="8"/>
      <c r="N87" s="8">
        <v>3</v>
      </c>
      <c r="O87" s="8"/>
      <c r="P87" s="8"/>
      <c r="Q87" s="8"/>
      <c r="R87" s="8"/>
      <c r="S87" s="8"/>
      <c r="T87" s="8"/>
      <c r="U87" s="8"/>
      <c r="V87" s="8">
        <f t="shared" si="7"/>
        <v>8</v>
      </c>
      <c r="W87" s="9">
        <f t="shared" si="9"/>
        <v>4</v>
      </c>
    </row>
    <row r="88" spans="1:23" x14ac:dyDescent="0.3">
      <c r="A88" s="4" t="str">
        <f>VLOOKUP(G88,Data!$A:$G,2,0)</f>
        <v>Manindra Nath Barman</v>
      </c>
      <c r="B88" s="4" t="str">
        <f>VLOOKUP(G88,Data!$A:$G,3,0)</f>
        <v>Active</v>
      </c>
      <c r="C88" s="4" t="str">
        <f>VLOOKUP(G88,Data!$A:$G,4,0)</f>
        <v>Siliguri</v>
      </c>
      <c r="D88" s="4" t="str">
        <f>VLOOKUP(G88,Data!$A:$G,5,0)</f>
        <v>Ethelbari</v>
      </c>
      <c r="E88" s="4" t="str">
        <f>VLOOKUP(G88,Data!$A:$G,6,0)</f>
        <v>Tarif Baxla</v>
      </c>
      <c r="F88" s="10" t="str">
        <f>VLOOKUP(G88,Data!$A:$G,7,0)</f>
        <v>8410316211</v>
      </c>
      <c r="G88" s="5">
        <v>29798</v>
      </c>
      <c r="H88" s="7">
        <f>VLOOKUP(G88,'FI txn'!$G:$H,2,0)</f>
        <v>2</v>
      </c>
      <c r="I88" s="7">
        <f t="shared" si="6"/>
        <v>600</v>
      </c>
      <c r="J88" s="8"/>
      <c r="K88" s="8"/>
      <c r="L88" s="8"/>
      <c r="M88" s="8"/>
      <c r="N88" s="8">
        <v>6</v>
      </c>
      <c r="O88" s="8"/>
      <c r="P88" s="8"/>
      <c r="Q88" s="8"/>
      <c r="R88" s="8"/>
      <c r="S88" s="8"/>
      <c r="T88" s="8"/>
      <c r="U88" s="8"/>
      <c r="V88" s="8">
        <f t="shared" si="7"/>
        <v>6</v>
      </c>
      <c r="W88" s="9">
        <f t="shared" si="9"/>
        <v>3</v>
      </c>
    </row>
    <row r="89" spans="1:23" x14ac:dyDescent="0.3">
      <c r="A89" s="4" t="str">
        <f>VLOOKUP(G89,Data!$A:$G,2,0)</f>
        <v>Sunil Biswas</v>
      </c>
      <c r="B89" s="4" t="str">
        <f>VLOOKUP(G89,Data!$A:$G,3,0)</f>
        <v>Inactive</v>
      </c>
      <c r="C89" s="4" t="str">
        <f>VLOOKUP(G89,Data!$A:$G,4,0)</f>
        <v>Durgapur</v>
      </c>
      <c r="D89" s="4" t="str">
        <f>VLOOKUP(G89,Data!$A:$G,5,0)</f>
        <v>Badkulla</v>
      </c>
      <c r="E89" s="4" t="str">
        <f>VLOOKUP(G89,Data!$A:$G,6,0)</f>
        <v>Amit Sikder</v>
      </c>
      <c r="F89" s="10" t="str">
        <f>VLOOKUP(G89,Data!$A:$G,7,0)</f>
        <v>2430315185</v>
      </c>
      <c r="G89" s="5">
        <v>27731</v>
      </c>
      <c r="H89" s="7">
        <f>VLOOKUP(G89,'FI txn'!$G:$H,2,0)</f>
        <v>2</v>
      </c>
      <c r="I89" s="7">
        <f t="shared" si="6"/>
        <v>600</v>
      </c>
      <c r="J89" s="8">
        <v>18</v>
      </c>
      <c r="K89" s="8">
        <v>14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>
        <f t="shared" si="7"/>
        <v>32</v>
      </c>
      <c r="W89" s="9">
        <f t="shared" si="9"/>
        <v>16</v>
      </c>
    </row>
    <row r="90" spans="1:23" x14ac:dyDescent="0.3">
      <c r="A90" s="4" t="str">
        <f>VLOOKUP(G90,Data!$A:$G,2,0)</f>
        <v>Sunil Biswas</v>
      </c>
      <c r="B90" s="4" t="str">
        <f>VLOOKUP(G90,Data!$A:$G,3,0)</f>
        <v>Inactive</v>
      </c>
      <c r="C90" s="4" t="str">
        <f>VLOOKUP(G90,Data!$A:$G,4,0)</f>
        <v>Durgapur</v>
      </c>
      <c r="D90" s="4" t="str">
        <f>VLOOKUP(G90,Data!$A:$G,5,0)</f>
        <v>Hridaypur</v>
      </c>
      <c r="E90" s="4" t="str">
        <f>VLOOKUP(G90,Data!$A:$G,6,0)</f>
        <v>Asim Halder</v>
      </c>
      <c r="F90" s="10" t="str">
        <f>VLOOKUP(G90,Data!$A:$G,7,0)</f>
        <v>2430315807</v>
      </c>
      <c r="G90" s="5">
        <v>29052</v>
      </c>
      <c r="H90" s="7">
        <f>VLOOKUP(G90,'FI txn'!$G:$H,2,0)</f>
        <v>3</v>
      </c>
      <c r="I90" s="7">
        <f t="shared" si="6"/>
        <v>900</v>
      </c>
      <c r="J90" s="8">
        <v>6</v>
      </c>
      <c r="K90" s="8">
        <v>3</v>
      </c>
      <c r="L90" s="8">
        <v>1</v>
      </c>
      <c r="M90" s="8"/>
      <c r="N90" s="8"/>
      <c r="O90" s="8"/>
      <c r="P90" s="8"/>
      <c r="Q90" s="8"/>
      <c r="R90" s="8"/>
      <c r="S90" s="8"/>
      <c r="T90" s="8"/>
      <c r="U90" s="8"/>
      <c r="V90" s="8">
        <f t="shared" si="7"/>
        <v>10</v>
      </c>
      <c r="W90" s="9">
        <f t="shared" si="9"/>
        <v>3.3333333333333335</v>
      </c>
    </row>
    <row r="91" spans="1:23" x14ac:dyDescent="0.3">
      <c r="A91" s="4" t="str">
        <f>VLOOKUP(G91,Data!$A:$G,2,0)</f>
        <v>Souvik Maity</v>
      </c>
      <c r="B91" s="4" t="s">
        <v>274</v>
      </c>
      <c r="C91" s="4" t="str">
        <f>VLOOKUP(G91,Data!$A:$G,4,0)</f>
        <v>Hooghly</v>
      </c>
      <c r="D91" s="4" t="str">
        <f>VLOOKUP(G91,Data!$A:$G,5,0)</f>
        <v>Batanal</v>
      </c>
      <c r="E91" s="4" t="str">
        <f>VLOOKUP(G91,Data!$A:$G,6,0)</f>
        <v>Chaitali Shit Malik</v>
      </c>
      <c r="F91" s="10" t="str">
        <f>VLOOKUP(G91,Data!$A:$G,7,0)</f>
        <v>3390311948</v>
      </c>
      <c r="G91" s="12">
        <v>22775</v>
      </c>
      <c r="H91" s="7">
        <f>VLOOKUP(G91,'FI txn'!$G:$H,2,0)</f>
        <v>1</v>
      </c>
      <c r="I91" s="7">
        <f t="shared" si="6"/>
        <v>300</v>
      </c>
      <c r="J91" s="8">
        <v>2</v>
      </c>
      <c r="K91" s="8">
        <v>2</v>
      </c>
      <c r="L91" s="8">
        <v>2</v>
      </c>
      <c r="M91" s="8"/>
      <c r="N91" s="8"/>
      <c r="O91" s="8"/>
      <c r="P91" s="8"/>
      <c r="Q91" s="8"/>
      <c r="R91" s="8"/>
      <c r="S91" s="8"/>
      <c r="T91" s="8"/>
      <c r="U91" s="8"/>
      <c r="V91" s="8">
        <f t="shared" si="7"/>
        <v>6</v>
      </c>
      <c r="W91" s="9">
        <f t="shared" si="9"/>
        <v>6</v>
      </c>
    </row>
    <row r="92" spans="1:23" x14ac:dyDescent="0.3">
      <c r="A92" s="4" t="str">
        <f>VLOOKUP(G92,Data!$A:$G,2,0)</f>
        <v>Sunil Biswas</v>
      </c>
      <c r="B92" s="4" t="str">
        <f>VLOOKUP(G92,Data!$A:$G,3,0)</f>
        <v>Inactive</v>
      </c>
      <c r="C92" s="4" t="str">
        <f>VLOOKUP(G92,Data!$A:$G,4,0)</f>
        <v>Durgapur</v>
      </c>
      <c r="D92" s="4" t="str">
        <f>VLOOKUP(G92,Data!$A:$G,5,0)</f>
        <v>Hridaypur</v>
      </c>
      <c r="E92" s="4" t="str">
        <f>VLOOKUP(G92,Data!$A:$G,6,0)</f>
        <v>Nitish Mondal</v>
      </c>
      <c r="F92" s="10" t="str">
        <f>VLOOKUP(G92,Data!$A:$G,7,0)</f>
        <v>8942919438</v>
      </c>
      <c r="G92" s="5">
        <v>29524</v>
      </c>
      <c r="H92" s="7">
        <f>VLOOKUP(G92,'FI txn'!$G:$H,2,0)</f>
        <v>1</v>
      </c>
      <c r="I92" s="7">
        <f t="shared" si="6"/>
        <v>300</v>
      </c>
      <c r="J92" s="8"/>
      <c r="K92" s="8"/>
      <c r="L92" s="8"/>
      <c r="M92" s="8">
        <v>4</v>
      </c>
      <c r="N92" s="8"/>
      <c r="O92" s="8"/>
      <c r="P92" s="8"/>
      <c r="Q92" s="8"/>
      <c r="R92" s="8"/>
      <c r="S92" s="8"/>
      <c r="T92" s="8"/>
      <c r="U92" s="8"/>
      <c r="V92" s="8">
        <f t="shared" si="7"/>
        <v>4</v>
      </c>
      <c r="W92" s="9">
        <f t="shared" si="9"/>
        <v>4</v>
      </c>
    </row>
    <row r="93" spans="1:23" x14ac:dyDescent="0.3">
      <c r="A93" s="4" t="str">
        <f>VLOOKUP(G93,Data!$A:$G,2,0)</f>
        <v>Chandi Charan Mahato</v>
      </c>
      <c r="B93" s="4" t="str">
        <f>VLOOKUP(G93,Data!$A:$G,3,0)</f>
        <v>Inactive</v>
      </c>
      <c r="C93" s="4" t="str">
        <f>VLOOKUP(G93,Data!$A:$G,4,0)</f>
        <v>Durgapur</v>
      </c>
      <c r="D93" s="4" t="str">
        <f>VLOOKUP(G93,Data!$A:$G,5,0)</f>
        <v>Kotulpur</v>
      </c>
      <c r="E93" s="4" t="str">
        <f>VLOOKUP(G93,Data!$A:$G,6,0)</f>
        <v>Sayan Dutta</v>
      </c>
      <c r="F93" s="10" t="str">
        <f>VLOOKUP(G93,Data!$A:$G,7,0)</f>
        <v>2160315608</v>
      </c>
      <c r="G93" s="12">
        <v>28601</v>
      </c>
      <c r="H93" s="7">
        <f>VLOOKUP(G93,'FI txn'!$G:$H,2,0)</f>
        <v>1</v>
      </c>
      <c r="I93" s="7">
        <f t="shared" si="6"/>
        <v>300</v>
      </c>
      <c r="J93" s="8"/>
      <c r="K93" s="8">
        <v>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>
        <f t="shared" si="7"/>
        <v>3</v>
      </c>
      <c r="W93" s="9">
        <f t="shared" si="9"/>
        <v>3</v>
      </c>
    </row>
    <row r="94" spans="1:23" x14ac:dyDescent="0.3">
      <c r="A94" s="4" t="str">
        <f>VLOOKUP(G94,Data!$A:$G,2,0)</f>
        <v>Souvik Maity</v>
      </c>
      <c r="B94" s="4" t="str">
        <f>VLOOKUP(G94,Data!$A:$G,3,0)</f>
        <v>Inactive</v>
      </c>
      <c r="C94" s="4" t="str">
        <f>VLOOKUP(G94,Data!$A:$G,4,0)</f>
        <v>Hooghly</v>
      </c>
      <c r="D94" s="4" t="str">
        <f>VLOOKUP(G94,Data!$A:$G,5,0)</f>
        <v>Mangrul</v>
      </c>
      <c r="E94" s="4" t="str">
        <f>VLOOKUP(G94,Data!$A:$G,6,0)</f>
        <v>Prasenjit Ghosh</v>
      </c>
      <c r="F94" s="10" t="str">
        <f>VLOOKUP(G94,Data!$A:$G,7,0)</f>
        <v>2390311944</v>
      </c>
      <c r="G94" s="5">
        <v>22771</v>
      </c>
      <c r="H94" s="7">
        <f>VLOOKUP(G94,'FI txn'!$G:$H,2,0)</f>
        <v>0</v>
      </c>
      <c r="I94" s="7">
        <f t="shared" si="6"/>
        <v>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 t="e">
        <f t="shared" si="9"/>
        <v>#DIV/0!</v>
      </c>
    </row>
    <row r="95" spans="1:23" x14ac:dyDescent="0.3">
      <c r="A95" s="4" t="str">
        <f>VLOOKUP(G95,Data!$A:$G,2,0)</f>
        <v>Under Office (Birbhum)</v>
      </c>
      <c r="B95" s="4" t="str">
        <f>VLOOKUP(G95,Data!$A:$G,3,0)</f>
        <v>Inactive</v>
      </c>
      <c r="C95" s="4" t="str">
        <f>VLOOKUP(G95,Data!$A:$G,4,0)</f>
        <v>Siliguri</v>
      </c>
      <c r="D95" s="4" t="str">
        <f>VLOOKUP(G95,Data!$A:$G,5,0)</f>
        <v>Mangaldihi</v>
      </c>
      <c r="E95" s="4" t="str">
        <f>VLOOKUP(G95,Data!$A:$G,6,0)</f>
        <v>Swarup Sadhu</v>
      </c>
      <c r="F95" s="10" t="str">
        <f>VLOOKUP(G95,Data!$A:$G,7,0)</f>
        <v>0140311670</v>
      </c>
      <c r="G95" s="5">
        <v>22424</v>
      </c>
      <c r="H95" s="7">
        <f>VLOOKUP(G95,'FI txn'!$G:$H,2,0)</f>
        <v>0</v>
      </c>
      <c r="I95" s="7">
        <f t="shared" si="6"/>
        <v>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 t="e">
        <f t="shared" si="9"/>
        <v>#DIV/0!</v>
      </c>
    </row>
    <row r="96" spans="1:23" x14ac:dyDescent="0.3">
      <c r="A96" s="4" t="str">
        <f>VLOOKUP(G96,Data!$A:$G,2,0)</f>
        <v>Under Office (Birbhum)</v>
      </c>
      <c r="B96" s="4" t="s">
        <v>274</v>
      </c>
      <c r="C96" s="4" t="str">
        <f>VLOOKUP(G96,Data!$A:$G,4,0)</f>
        <v>Siliguri</v>
      </c>
      <c r="D96" s="4" t="str">
        <f>VLOOKUP(G96,Data!$A:$G,5,0)</f>
        <v>Mangaldihi</v>
      </c>
      <c r="E96" s="4" t="str">
        <f>VLOOKUP(G96,Data!$A:$G,6,0)</f>
        <v>Sk Khairul Hossain</v>
      </c>
      <c r="F96" s="10" t="str">
        <f>VLOOKUP(G96,Data!$A:$G,7,0)</f>
        <v>0140310490</v>
      </c>
      <c r="G96" s="12">
        <v>20983</v>
      </c>
      <c r="H96" s="7">
        <f>VLOOKUP(G96,'FI txn'!$G:$H,2,0)</f>
        <v>0</v>
      </c>
      <c r="I96" s="7">
        <f t="shared" si="6"/>
        <v>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 t="e">
        <f t="shared" si="9"/>
        <v>#DIV/0!</v>
      </c>
    </row>
    <row r="97" spans="1:23" x14ac:dyDescent="0.3">
      <c r="A97" s="4" t="str">
        <f>VLOOKUP(G97,Data!$A:$G,2,0)</f>
        <v>Souvik Maity</v>
      </c>
      <c r="B97" s="4" t="s">
        <v>274</v>
      </c>
      <c r="C97" s="4" t="str">
        <f>VLOOKUP(G97,Data!$A:$G,4,0)</f>
        <v>Hooghly</v>
      </c>
      <c r="D97" s="4" t="str">
        <f>VLOOKUP(G97,Data!$A:$G,5,0)</f>
        <v>Mayapur</v>
      </c>
      <c r="E97" s="4" t="str">
        <f>VLOOKUP(G97,Data!$A:$G,6,0)</f>
        <v>Falguni Samanta</v>
      </c>
      <c r="F97" s="10" t="str">
        <f>VLOOKUP(G97,Data!$A:$G,7,0)</f>
        <v>3390311256</v>
      </c>
      <c r="G97" s="12">
        <v>21925</v>
      </c>
      <c r="H97" s="7">
        <f>VLOOKUP(G97,'FI txn'!$G:$H,2,0)</f>
        <v>0</v>
      </c>
      <c r="I97" s="7">
        <f t="shared" si="6"/>
        <v>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 t="e">
        <f t="shared" si="9"/>
        <v>#DIV/0!</v>
      </c>
    </row>
    <row r="98" spans="1:23" x14ac:dyDescent="0.3">
      <c r="A98" s="4" t="str">
        <f>VLOOKUP(G98,Data!$A:$G,2,0)</f>
        <v>Manindra Nath Barman</v>
      </c>
      <c r="B98" s="4" t="s">
        <v>274</v>
      </c>
      <c r="C98" s="4" t="str">
        <f>VLOOKUP(G98,Data!$A:$G,4,0)</f>
        <v>Siliguri</v>
      </c>
      <c r="D98" s="4" t="str">
        <f>VLOOKUP(G98,Data!$A:$G,5,0)</f>
        <v>Maynaguri</v>
      </c>
      <c r="E98" s="4" t="str">
        <f>VLOOKUP(G98,Data!$A:$G,6,0)</f>
        <v>Biswajit Roy</v>
      </c>
      <c r="F98" s="10" t="str">
        <f>VLOOKUP(G98,Data!$A:$G,7,0)</f>
        <v>2310311260</v>
      </c>
      <c r="G98" s="12">
        <v>21929</v>
      </c>
      <c r="H98" s="7">
        <f>VLOOKUP(G98,'FI txn'!$G:$H,2,0)</f>
        <v>0</v>
      </c>
      <c r="I98" s="7">
        <f t="shared" ref="I98:I104" si="10">H98*300</f>
        <v>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 t="e">
        <f t="shared" si="9"/>
        <v>#DIV/0!</v>
      </c>
    </row>
    <row r="99" spans="1:23" x14ac:dyDescent="0.3">
      <c r="A99" s="4" t="str">
        <f>VLOOKUP(G99,Data!$A:$G,2,0)</f>
        <v>Under Office (Birbhum)</v>
      </c>
      <c r="B99" s="4" t="s">
        <v>274</v>
      </c>
      <c r="C99" s="4" t="str">
        <f>VLOOKUP(G99,Data!$A:$G,4,0)</f>
        <v>Siliguri</v>
      </c>
      <c r="D99" s="4" t="str">
        <f>VLOOKUP(G99,Data!$A:$G,5,0)</f>
        <v>Koytha</v>
      </c>
      <c r="E99" s="4" t="str">
        <f>VLOOKUP(G99,Data!$A:$G,6,0)</f>
        <v>Tamarul Sk</v>
      </c>
      <c r="F99" s="10" t="str">
        <f>VLOOKUP(G99,Data!$A:$G,7,0)</f>
        <v>0140311624</v>
      </c>
      <c r="G99" s="12">
        <v>22361</v>
      </c>
      <c r="H99" s="7">
        <f>VLOOKUP(G99,'FI txn'!$G:$H,2,0)</f>
        <v>0</v>
      </c>
      <c r="I99" s="7">
        <f t="shared" si="10"/>
        <v>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 t="e">
        <f t="shared" si="9"/>
        <v>#DIV/0!</v>
      </c>
    </row>
    <row r="100" spans="1:23" x14ac:dyDescent="0.3">
      <c r="A100" s="4" t="str">
        <f>VLOOKUP(G100,Data!$A:$G,2,0)</f>
        <v>Souvik Maity</v>
      </c>
      <c r="B100" s="4" t="s">
        <v>274</v>
      </c>
      <c r="C100" s="4" t="str">
        <f>VLOOKUP(G100,Data!$A:$G,4,0)</f>
        <v>Hooghly</v>
      </c>
      <c r="D100" s="4" t="str">
        <f>VLOOKUP(G100,Data!$A:$G,5,0)</f>
        <v>Arambagh</v>
      </c>
      <c r="E100" s="4" t="str">
        <f>VLOOKUP(G100,Data!$A:$G,6,0)</f>
        <v>Sk Momin Uddin</v>
      </c>
      <c r="F100" s="10" t="str">
        <f>VLOOKUP(G100,Data!$A:$G,7,0)</f>
        <v>3390313207</v>
      </c>
      <c r="G100" s="12">
        <v>24527</v>
      </c>
      <c r="H100" s="7">
        <f>VLOOKUP(G100,'FI txn'!$G:$H,2,0)</f>
        <v>0</v>
      </c>
      <c r="I100" s="7">
        <f t="shared" si="10"/>
        <v>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 t="e">
        <f t="shared" si="9"/>
        <v>#DIV/0!</v>
      </c>
    </row>
    <row r="101" spans="1:23" x14ac:dyDescent="0.3">
      <c r="A101" s="4" t="str">
        <f>VLOOKUP(G101,Data!$A:$G,2,0)</f>
        <v>Santanu Bera</v>
      </c>
      <c r="B101" s="4" t="s">
        <v>274</v>
      </c>
      <c r="C101" s="4" t="str">
        <f>VLOOKUP(G101,Data!$A:$G,4,0)</f>
        <v>Hooghly</v>
      </c>
      <c r="D101" s="4" t="str">
        <f>VLOOKUP(G101,Data!$A:$G,5,0)</f>
        <v>Contai</v>
      </c>
      <c r="E101" s="4" t="str">
        <f>VLOOKUP(G101,Data!$A:$G,6,0)</f>
        <v>Narayan Ojha</v>
      </c>
      <c r="F101" s="10" t="str">
        <f>VLOOKUP(G101,Data!$A:$G,7,0)</f>
        <v>2380314459</v>
      </c>
      <c r="G101" s="12">
        <v>26507</v>
      </c>
      <c r="H101" s="7">
        <f>VLOOKUP(G101,'FI txn'!$G:$H,2,0)</f>
        <v>0</v>
      </c>
      <c r="I101" s="7">
        <f t="shared" si="10"/>
        <v>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 t="e">
        <f t="shared" si="9"/>
        <v>#DIV/0!</v>
      </c>
    </row>
    <row r="102" spans="1:23" x14ac:dyDescent="0.3">
      <c r="A102" s="4" t="str">
        <f>VLOOKUP(G102,Data!$A:$G,2,0)</f>
        <v>Sunil Biswas</v>
      </c>
      <c r="B102" s="4" t="s">
        <v>274</v>
      </c>
      <c r="C102" s="4" t="str">
        <f>VLOOKUP(G102,Data!$A:$G,4,0)</f>
        <v>Durgapur</v>
      </c>
      <c r="D102" s="4" t="str">
        <f>VLOOKUP(G102,Data!$A:$G,5,0)</f>
        <v>Hridaypur</v>
      </c>
      <c r="E102" s="4" t="str">
        <f>VLOOKUP(G102,Data!$A:$G,6,0)</f>
        <v>Saiful Sekh</v>
      </c>
      <c r="F102" s="10" t="str">
        <f>VLOOKUP(G102,Data!$A:$G,7,0)</f>
        <v>2430314735</v>
      </c>
      <c r="G102" s="12">
        <v>26881</v>
      </c>
      <c r="H102" s="7">
        <f>VLOOKUP(G102,'FI txn'!$G:$H,2,0)</f>
        <v>0</v>
      </c>
      <c r="I102" s="7">
        <f t="shared" si="10"/>
        <v>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 t="e">
        <f t="shared" si="9"/>
        <v>#DIV/0!</v>
      </c>
    </row>
    <row r="103" spans="1:23" x14ac:dyDescent="0.3">
      <c r="A103" s="4" t="str">
        <f>VLOOKUP(G103,Data!$A:$G,2,0)</f>
        <v>Santanu Bera</v>
      </c>
      <c r="B103" s="4" t="s">
        <v>274</v>
      </c>
      <c r="C103" s="4" t="str">
        <f>VLOOKUP(G103,Data!$A:$G,4,0)</f>
        <v>Hooghly</v>
      </c>
      <c r="D103" s="4" t="str">
        <f>VLOOKUP(G103,Data!$A:$G,5,0)</f>
        <v>Contai</v>
      </c>
      <c r="E103" s="4" t="str">
        <f>VLOOKUP(G103,Data!$A:$G,6,0)</f>
        <v>Sulekha Das</v>
      </c>
      <c r="F103" s="10" t="str">
        <f>VLOOKUP(G103,Data!$A:$G,7,0)</f>
        <v>2380314986</v>
      </c>
      <c r="G103" s="12">
        <v>27252</v>
      </c>
      <c r="H103" s="7">
        <f>VLOOKUP(G103,'FI txn'!$G:$H,2,0)</f>
        <v>0</v>
      </c>
      <c r="I103" s="7">
        <f t="shared" si="10"/>
        <v>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 t="e">
        <f t="shared" si="9"/>
        <v>#DIV/0!</v>
      </c>
    </row>
    <row r="104" spans="1:23" x14ac:dyDescent="0.3">
      <c r="A104" s="4" t="str">
        <f>VLOOKUP(G104,Data!$A:$G,2,0)</f>
        <v>Chandi Charan Mahato</v>
      </c>
      <c r="B104" s="4" t="s">
        <v>274</v>
      </c>
      <c r="C104" s="4" t="str">
        <f>VLOOKUP(G104,Data!$A:$G,4,0)</f>
        <v>Durgapur</v>
      </c>
      <c r="D104" s="4" t="str">
        <f>VLOOKUP(G104,Data!$A:$G,5,0)</f>
        <v>Layekbandh</v>
      </c>
      <c r="E104" s="4" t="str">
        <f>VLOOKUP(G104,Data!$A:$G,6,0)</f>
        <v>Debasis Dey</v>
      </c>
      <c r="F104" s="10" t="str">
        <f>VLOOKUP(G104,Data!$A:$G,7,0)</f>
        <v>2160315158</v>
      </c>
      <c r="G104" s="12">
        <v>27632</v>
      </c>
      <c r="H104" s="7">
        <f>VLOOKUP(G104,'FI txn'!$G:$H,2,0)</f>
        <v>0</v>
      </c>
      <c r="I104" s="7">
        <f t="shared" si="10"/>
        <v>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 t="e">
        <f t="shared" si="9"/>
        <v>#DIV/0!</v>
      </c>
    </row>
  </sheetData>
  <conditionalFormatting sqref="E1">
    <cfRule type="duplicateValues" dxfId="48" priority="25"/>
    <cfRule type="duplicateValues" dxfId="47" priority="26"/>
    <cfRule type="duplicateValues" dxfId="46" priority="27"/>
    <cfRule type="duplicateValues" dxfId="45" priority="28"/>
    <cfRule type="duplicateValues" dxfId="44" priority="29"/>
    <cfRule type="duplicateValues" dxfId="43" priority="30"/>
    <cfRule type="duplicateValues" dxfId="42" priority="31"/>
  </conditionalFormatting>
  <conditionalFormatting sqref="E105:E1048576">
    <cfRule type="duplicateValues" dxfId="41" priority="45"/>
    <cfRule type="duplicateValues" dxfId="40" priority="46"/>
  </conditionalFormatting>
  <conditionalFormatting sqref="F105:F1048576">
    <cfRule type="duplicateValues" dxfId="39" priority="32"/>
  </conditionalFormatting>
  <conditionalFormatting sqref="G1:G105 G191:G1048576">
    <cfRule type="duplicateValues" dxfId="38" priority="21"/>
  </conditionalFormatting>
  <conditionalFormatting sqref="G105 G191:G1048576">
    <cfRule type="duplicateValues" dxfId="37" priority="33"/>
    <cfRule type="duplicateValues" dxfId="36" priority="34"/>
  </conditionalFormatting>
  <conditionalFormatting sqref="G105">
    <cfRule type="duplicateValues" dxfId="35" priority="35"/>
    <cfRule type="duplicateValues" dxfId="34" priority="42"/>
  </conditionalFormatting>
  <conditionalFormatting sqref="G191:G1048576">
    <cfRule type="duplicateValues" dxfId="33" priority="36"/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  <cfRule type="duplicateValues" dxfId="27" priority="43"/>
    <cfRule type="duplicateValues" dxfId="26" priority="44"/>
  </conditionalFormatting>
  <conditionalFormatting sqref="J2:U104">
    <cfRule type="top10" dxfId="25" priority="259" rank="1"/>
    <cfRule type="cellIs" dxfId="24" priority="260" operator="greaterThan">
      <formula>0</formula>
    </cfRule>
  </conditionalFormatting>
  <conditionalFormatting sqref="V2:V104">
    <cfRule type="top10" dxfId="23" priority="263" rank="3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A05B-A741-4406-BD42-29C0B6F0CD63}">
  <dimension ref="A3:D19"/>
  <sheetViews>
    <sheetView workbookViewId="0">
      <selection activeCell="F12" sqref="F12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7.6640625" bestFit="1" customWidth="1"/>
    <col min="4" max="5" width="10.77734375" bestFit="1" customWidth="1"/>
  </cols>
  <sheetData>
    <row r="3" spans="1:4" x14ac:dyDescent="0.3">
      <c r="A3" s="31" t="s">
        <v>327</v>
      </c>
      <c r="B3" s="31" t="s">
        <v>326</v>
      </c>
    </row>
    <row r="4" spans="1:4" x14ac:dyDescent="0.3">
      <c r="A4" s="31" t="s">
        <v>289</v>
      </c>
      <c r="B4" t="s">
        <v>275</v>
      </c>
      <c r="C4" t="s">
        <v>274</v>
      </c>
      <c r="D4" t="s">
        <v>283</v>
      </c>
    </row>
    <row r="5" spans="1:4" x14ac:dyDescent="0.3">
      <c r="A5" s="32" t="s">
        <v>99</v>
      </c>
      <c r="B5" s="276">
        <v>3</v>
      </c>
      <c r="C5" s="276"/>
      <c r="D5" s="276">
        <v>3</v>
      </c>
    </row>
    <row r="6" spans="1:4" x14ac:dyDescent="0.3">
      <c r="A6" s="32" t="s">
        <v>97</v>
      </c>
      <c r="B6" s="276">
        <v>3</v>
      </c>
      <c r="C6" s="276">
        <v>4</v>
      </c>
      <c r="D6" s="276">
        <v>7</v>
      </c>
    </row>
    <row r="7" spans="1:4" x14ac:dyDescent="0.3">
      <c r="A7" s="32" t="s">
        <v>93</v>
      </c>
      <c r="B7" s="276">
        <v>4</v>
      </c>
      <c r="C7" s="276">
        <v>4</v>
      </c>
      <c r="D7" s="276">
        <v>8</v>
      </c>
    </row>
    <row r="8" spans="1:4" x14ac:dyDescent="0.3">
      <c r="A8" s="32" t="s">
        <v>101</v>
      </c>
      <c r="B8" s="276">
        <v>2</v>
      </c>
      <c r="C8" s="276"/>
      <c r="D8" s="276">
        <v>2</v>
      </c>
    </row>
    <row r="9" spans="1:4" x14ac:dyDescent="0.3">
      <c r="A9" s="32" t="s">
        <v>102</v>
      </c>
      <c r="B9" s="276">
        <v>3</v>
      </c>
      <c r="C9" s="276"/>
      <c r="D9" s="276">
        <v>3</v>
      </c>
    </row>
    <row r="10" spans="1:4" x14ac:dyDescent="0.3">
      <c r="A10" s="32" t="s">
        <v>100</v>
      </c>
      <c r="B10" s="276">
        <v>2</v>
      </c>
      <c r="C10" s="276"/>
      <c r="D10" s="276">
        <v>2</v>
      </c>
    </row>
    <row r="11" spans="1:4" x14ac:dyDescent="0.3">
      <c r="A11" s="32" t="s">
        <v>103</v>
      </c>
      <c r="B11" s="276">
        <v>1</v>
      </c>
      <c r="C11" s="276"/>
      <c r="D11" s="276">
        <v>1</v>
      </c>
    </row>
    <row r="12" spans="1:4" x14ac:dyDescent="0.3">
      <c r="A12" s="32" t="s">
        <v>95</v>
      </c>
      <c r="B12" s="276">
        <v>6</v>
      </c>
      <c r="C12" s="276">
        <v>2</v>
      </c>
      <c r="D12" s="276">
        <v>8</v>
      </c>
    </row>
    <row r="13" spans="1:4" x14ac:dyDescent="0.3">
      <c r="A13" s="32" t="s">
        <v>98</v>
      </c>
      <c r="B13" s="276">
        <v>3</v>
      </c>
      <c r="C13" s="276"/>
      <c r="D13" s="276">
        <v>3</v>
      </c>
    </row>
    <row r="14" spans="1:4" x14ac:dyDescent="0.3">
      <c r="A14" s="32" t="s">
        <v>96</v>
      </c>
      <c r="B14" s="276">
        <v>10</v>
      </c>
      <c r="C14" s="276">
        <v>6</v>
      </c>
      <c r="D14" s="276">
        <v>16</v>
      </c>
    </row>
    <row r="15" spans="1:4" x14ac:dyDescent="0.3">
      <c r="A15" s="32" t="s">
        <v>345</v>
      </c>
      <c r="B15" s="276">
        <v>6</v>
      </c>
      <c r="C15" s="276">
        <v>4</v>
      </c>
      <c r="D15" s="276">
        <v>10</v>
      </c>
    </row>
    <row r="16" spans="1:4" x14ac:dyDescent="0.3">
      <c r="A16" s="32" t="s">
        <v>449</v>
      </c>
      <c r="B16" s="276">
        <v>1</v>
      </c>
      <c r="C16" s="276"/>
      <c r="D16" s="276">
        <v>1</v>
      </c>
    </row>
    <row r="17" spans="1:4" x14ac:dyDescent="0.3">
      <c r="A17" s="32" t="s">
        <v>455</v>
      </c>
      <c r="B17" s="276">
        <v>16</v>
      </c>
      <c r="C17" s="276">
        <v>4</v>
      </c>
      <c r="D17" s="276">
        <v>20</v>
      </c>
    </row>
    <row r="18" spans="1:4" x14ac:dyDescent="0.3">
      <c r="A18" s="32" t="s">
        <v>457</v>
      </c>
      <c r="B18" s="276">
        <v>19</v>
      </c>
      <c r="C18" s="276"/>
      <c r="D18" s="276">
        <v>19</v>
      </c>
    </row>
    <row r="19" spans="1:4" x14ac:dyDescent="0.3">
      <c r="A19" s="32" t="s">
        <v>283</v>
      </c>
      <c r="B19" s="276">
        <v>79</v>
      </c>
      <c r="C19" s="276">
        <v>24</v>
      </c>
      <c r="D19" s="276">
        <v>103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642D-EC4D-4F04-B95B-D6CB29AD72E0}">
  <dimension ref="A3:D9"/>
  <sheetViews>
    <sheetView workbookViewId="0">
      <selection activeCell="M21" sqref="M21"/>
    </sheetView>
  </sheetViews>
  <sheetFormatPr defaultRowHeight="14.4" x14ac:dyDescent="0.3"/>
  <cols>
    <col min="1" max="1" width="16.109375" bestFit="1" customWidth="1"/>
    <col min="2" max="2" width="15.5546875" bestFit="1" customWidth="1"/>
    <col min="3" max="3" width="7.6640625" bestFit="1" customWidth="1"/>
    <col min="4" max="4" width="10.77734375" bestFit="1" customWidth="1"/>
  </cols>
  <sheetData>
    <row r="3" spans="1:4" x14ac:dyDescent="0.3">
      <c r="A3" s="31" t="s">
        <v>327</v>
      </c>
      <c r="B3" s="31" t="s">
        <v>326</v>
      </c>
    </row>
    <row r="4" spans="1:4" x14ac:dyDescent="0.3">
      <c r="A4" s="31" t="s">
        <v>289</v>
      </c>
      <c r="B4" t="s">
        <v>275</v>
      </c>
      <c r="C4" t="s">
        <v>274</v>
      </c>
      <c r="D4" t="s">
        <v>283</v>
      </c>
    </row>
    <row r="5" spans="1:4" x14ac:dyDescent="0.3">
      <c r="A5" s="32" t="s">
        <v>278</v>
      </c>
      <c r="B5" s="276">
        <v>16</v>
      </c>
      <c r="C5" s="276">
        <v>10</v>
      </c>
      <c r="D5" s="276">
        <v>26</v>
      </c>
    </row>
    <row r="6" spans="1:4" x14ac:dyDescent="0.3">
      <c r="A6" s="32" t="s">
        <v>276</v>
      </c>
      <c r="B6" s="276">
        <v>41</v>
      </c>
      <c r="C6" s="276">
        <v>6</v>
      </c>
      <c r="D6" s="276">
        <v>47</v>
      </c>
    </row>
    <row r="7" spans="1:4" x14ac:dyDescent="0.3">
      <c r="A7" s="32" t="s">
        <v>277</v>
      </c>
      <c r="B7" s="276">
        <v>21</v>
      </c>
      <c r="C7" s="276">
        <v>8</v>
      </c>
      <c r="D7" s="276">
        <v>29</v>
      </c>
    </row>
    <row r="8" spans="1:4" x14ac:dyDescent="0.3">
      <c r="A8" s="32" t="s">
        <v>450</v>
      </c>
      <c r="B8" s="276">
        <v>1</v>
      </c>
      <c r="C8" s="276"/>
      <c r="D8" s="276">
        <v>1</v>
      </c>
    </row>
    <row r="9" spans="1:4" x14ac:dyDescent="0.3">
      <c r="A9" s="32" t="s">
        <v>283</v>
      </c>
      <c r="B9" s="276">
        <v>79</v>
      </c>
      <c r="C9" s="276">
        <v>24</v>
      </c>
      <c r="D9" s="276">
        <v>103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8A41-EFEB-482C-A960-85B8A2183A43}">
  <dimension ref="A1:J190"/>
  <sheetViews>
    <sheetView workbookViewId="0">
      <pane ySplit="1" topLeftCell="A61" activePane="bottomLeft" state="frozen"/>
      <selection pane="bottomLeft" activeCell="B63" sqref="B63"/>
    </sheetView>
  </sheetViews>
  <sheetFormatPr defaultRowHeight="14.4" x14ac:dyDescent="0.3"/>
  <cols>
    <col min="1" max="1" width="8.33203125" bestFit="1" customWidth="1"/>
    <col min="2" max="2" width="21.5546875" bestFit="1" customWidth="1"/>
    <col min="3" max="3" width="7.77734375" bestFit="1" customWidth="1"/>
    <col min="4" max="4" width="8.88671875" bestFit="1" customWidth="1"/>
    <col min="5" max="5" width="16.33203125" bestFit="1" customWidth="1"/>
    <col min="6" max="6" width="25.5546875" bestFit="1" customWidth="1"/>
    <col min="7" max="7" width="11" style="50" bestFit="1" customWidth="1"/>
    <col min="8" max="8" width="13.33203125" bestFit="1" customWidth="1"/>
    <col min="9" max="9" width="12.77734375" bestFit="1" customWidth="1"/>
    <col min="10" max="10" width="4.44140625" bestFit="1" customWidth="1"/>
  </cols>
  <sheetData>
    <row r="1" spans="1:10" s="34" customFormat="1" x14ac:dyDescent="0.3">
      <c r="A1" s="90" t="s">
        <v>267</v>
      </c>
      <c r="B1" s="90" t="s">
        <v>264</v>
      </c>
      <c r="C1" s="90" t="s">
        <v>271</v>
      </c>
      <c r="D1" s="90" t="s">
        <v>272</v>
      </c>
      <c r="E1" s="90" t="s">
        <v>263</v>
      </c>
      <c r="F1" s="90" t="s">
        <v>265</v>
      </c>
      <c r="G1" s="91" t="s">
        <v>266</v>
      </c>
      <c r="H1" s="90" t="s">
        <v>355</v>
      </c>
      <c r="I1" s="90" t="s">
        <v>356</v>
      </c>
      <c r="J1" s="90" t="s">
        <v>357</v>
      </c>
    </row>
    <row r="2" spans="1:10" x14ac:dyDescent="0.3">
      <c r="A2" s="82">
        <v>27731</v>
      </c>
      <c r="B2" s="82" t="s">
        <v>96</v>
      </c>
      <c r="C2" s="82" t="s">
        <v>274</v>
      </c>
      <c r="D2" s="82" t="s">
        <v>278</v>
      </c>
      <c r="E2" s="82" t="s">
        <v>159</v>
      </c>
      <c r="F2" s="82" t="s">
        <v>240</v>
      </c>
      <c r="G2" s="83" t="s">
        <v>71</v>
      </c>
      <c r="H2" s="84">
        <v>45775</v>
      </c>
      <c r="I2" s="84">
        <f t="shared" ref="I2:I33" ca="1" si="0">TODAY()</f>
        <v>46272</v>
      </c>
      <c r="J2" s="85">
        <f t="shared" ref="J2:J33" ca="1" si="1">(I2-H2)/365</f>
        <v>1.3616438356164384</v>
      </c>
    </row>
    <row r="3" spans="1:10" x14ac:dyDescent="0.3">
      <c r="A3" s="82">
        <v>29052</v>
      </c>
      <c r="B3" s="82" t="s">
        <v>96</v>
      </c>
      <c r="C3" s="82" t="s">
        <v>274</v>
      </c>
      <c r="D3" s="82" t="s">
        <v>278</v>
      </c>
      <c r="E3" s="82" t="s">
        <v>111</v>
      </c>
      <c r="F3" s="82" t="s">
        <v>258</v>
      </c>
      <c r="G3" s="83" t="s">
        <v>88</v>
      </c>
      <c r="H3" s="84">
        <v>46077</v>
      </c>
      <c r="I3" s="84">
        <f t="shared" ca="1" si="0"/>
        <v>46272</v>
      </c>
      <c r="J3" s="85">
        <f t="shared" ca="1" si="1"/>
        <v>0.53424657534246578</v>
      </c>
    </row>
    <row r="4" spans="1:10" x14ac:dyDescent="0.3">
      <c r="A4" s="82">
        <v>27632</v>
      </c>
      <c r="B4" s="82" t="s">
        <v>97</v>
      </c>
      <c r="C4" s="82" t="s">
        <v>274</v>
      </c>
      <c r="D4" s="82" t="s">
        <v>278</v>
      </c>
      <c r="E4" s="82" t="s">
        <v>154</v>
      </c>
      <c r="F4" s="82" t="s">
        <v>232</v>
      </c>
      <c r="G4" s="83" t="s">
        <v>63</v>
      </c>
      <c r="H4" s="84">
        <v>45755</v>
      </c>
      <c r="I4" s="84">
        <f t="shared" ca="1" si="0"/>
        <v>46272</v>
      </c>
      <c r="J4" s="85">
        <f t="shared" ca="1" si="1"/>
        <v>1.4164383561643836</v>
      </c>
    </row>
    <row r="5" spans="1:10" x14ac:dyDescent="0.3">
      <c r="A5" s="82">
        <v>29524</v>
      </c>
      <c r="B5" s="82" t="s">
        <v>96</v>
      </c>
      <c r="C5" s="82" t="s">
        <v>274</v>
      </c>
      <c r="D5" s="82" t="s">
        <v>278</v>
      </c>
      <c r="E5" s="82" t="s">
        <v>111</v>
      </c>
      <c r="F5" s="82" t="s">
        <v>375</v>
      </c>
      <c r="G5" s="83" t="s">
        <v>397</v>
      </c>
      <c r="H5" s="84">
        <v>46178</v>
      </c>
      <c r="I5" s="84">
        <f t="shared" ca="1" si="0"/>
        <v>46272</v>
      </c>
      <c r="J5" s="85">
        <f t="shared" ca="1" si="1"/>
        <v>0.25753424657534246</v>
      </c>
    </row>
    <row r="6" spans="1:10" x14ac:dyDescent="0.3">
      <c r="A6" s="82">
        <v>26881</v>
      </c>
      <c r="B6" s="82" t="s">
        <v>96</v>
      </c>
      <c r="C6" s="82" t="s">
        <v>274</v>
      </c>
      <c r="D6" s="82" t="s">
        <v>278</v>
      </c>
      <c r="E6" s="82" t="s">
        <v>111</v>
      </c>
      <c r="F6" s="82" t="s">
        <v>177</v>
      </c>
      <c r="G6" s="83" t="s">
        <v>8</v>
      </c>
      <c r="H6" s="84">
        <v>45598</v>
      </c>
      <c r="I6" s="84">
        <f t="shared" ca="1" si="0"/>
        <v>46272</v>
      </c>
      <c r="J6" s="85">
        <f t="shared" ca="1" si="1"/>
        <v>1.8465753424657534</v>
      </c>
    </row>
    <row r="7" spans="1:10" x14ac:dyDescent="0.3">
      <c r="A7" s="82">
        <v>28601</v>
      </c>
      <c r="B7" s="82" t="s">
        <v>97</v>
      </c>
      <c r="C7" s="82" t="s">
        <v>274</v>
      </c>
      <c r="D7" s="82" t="s">
        <v>278</v>
      </c>
      <c r="E7" s="82" t="s">
        <v>165</v>
      </c>
      <c r="F7" s="82" t="s">
        <v>251</v>
      </c>
      <c r="G7" s="83" t="s">
        <v>82</v>
      </c>
      <c r="H7" s="84">
        <v>45948</v>
      </c>
      <c r="I7" s="84">
        <f t="shared" ca="1" si="0"/>
        <v>46272</v>
      </c>
      <c r="J7" s="85">
        <f t="shared" ca="1" si="1"/>
        <v>0.88767123287671235</v>
      </c>
    </row>
    <row r="8" spans="1:10" x14ac:dyDescent="0.3">
      <c r="A8" s="86">
        <v>29069</v>
      </c>
      <c r="B8" s="86" t="s">
        <v>97</v>
      </c>
      <c r="C8" s="86" t="s">
        <v>274</v>
      </c>
      <c r="D8" s="86" t="s">
        <v>278</v>
      </c>
      <c r="E8" s="86" t="s">
        <v>112</v>
      </c>
      <c r="F8" s="86" t="s">
        <v>257</v>
      </c>
      <c r="G8" s="87" t="s">
        <v>87</v>
      </c>
      <c r="H8" s="88">
        <v>46077</v>
      </c>
      <c r="I8" s="88">
        <f t="shared" ca="1" si="0"/>
        <v>46272</v>
      </c>
      <c r="J8" s="89">
        <f t="shared" ca="1" si="1"/>
        <v>0.53424657534246578</v>
      </c>
    </row>
    <row r="9" spans="1:10" x14ac:dyDescent="0.3">
      <c r="A9" s="86">
        <v>28483</v>
      </c>
      <c r="B9" s="86" t="s">
        <v>96</v>
      </c>
      <c r="C9" s="86" t="s">
        <v>274</v>
      </c>
      <c r="D9" s="86" t="s">
        <v>278</v>
      </c>
      <c r="E9" s="86" t="s">
        <v>158</v>
      </c>
      <c r="F9" s="86" t="s">
        <v>255</v>
      </c>
      <c r="G9" s="87" t="s">
        <v>86</v>
      </c>
      <c r="H9" s="88">
        <v>45922</v>
      </c>
      <c r="I9" s="88">
        <f t="shared" ca="1" si="0"/>
        <v>46272</v>
      </c>
      <c r="J9" s="89">
        <f t="shared" ca="1" si="1"/>
        <v>0.95890410958904104</v>
      </c>
    </row>
    <row r="10" spans="1:10" x14ac:dyDescent="0.3">
      <c r="A10" s="86">
        <v>28083</v>
      </c>
      <c r="B10" s="86" t="s">
        <v>96</v>
      </c>
      <c r="C10" s="86" t="s">
        <v>274</v>
      </c>
      <c r="D10" s="86" t="s">
        <v>278</v>
      </c>
      <c r="E10" s="86" t="s">
        <v>162</v>
      </c>
      <c r="F10" s="86" t="s">
        <v>248</v>
      </c>
      <c r="G10" s="87" t="s">
        <v>79</v>
      </c>
      <c r="H10" s="88">
        <v>45852</v>
      </c>
      <c r="I10" s="88">
        <f t="shared" ca="1" si="0"/>
        <v>46272</v>
      </c>
      <c r="J10" s="89">
        <f t="shared" ca="1" si="1"/>
        <v>1.1506849315068493</v>
      </c>
    </row>
    <row r="11" spans="1:10" x14ac:dyDescent="0.3">
      <c r="A11" s="86">
        <v>28305</v>
      </c>
      <c r="B11" s="86" t="s">
        <v>97</v>
      </c>
      <c r="C11" s="86" t="s">
        <v>274</v>
      </c>
      <c r="D11" s="86" t="s">
        <v>278</v>
      </c>
      <c r="E11" s="86" t="s">
        <v>112</v>
      </c>
      <c r="F11" s="86" t="s">
        <v>233</v>
      </c>
      <c r="G11" s="87" t="s">
        <v>64</v>
      </c>
      <c r="H11" s="88">
        <v>45894</v>
      </c>
      <c r="I11" s="88">
        <f t="shared" ca="1" si="0"/>
        <v>46272</v>
      </c>
      <c r="J11" s="89">
        <f t="shared" ca="1" si="1"/>
        <v>1.0356164383561643</v>
      </c>
    </row>
    <row r="12" spans="1:10" x14ac:dyDescent="0.3">
      <c r="A12" s="86">
        <v>28485</v>
      </c>
      <c r="B12" s="86" t="s">
        <v>96</v>
      </c>
      <c r="C12" s="86" t="s">
        <v>275</v>
      </c>
      <c r="D12" s="86" t="s">
        <v>278</v>
      </c>
      <c r="E12" s="86" t="s">
        <v>167</v>
      </c>
      <c r="F12" s="86" t="s">
        <v>253</v>
      </c>
      <c r="G12" s="87" t="s">
        <v>84</v>
      </c>
      <c r="H12" s="88">
        <v>45922</v>
      </c>
      <c r="I12" s="88">
        <f t="shared" ca="1" si="0"/>
        <v>46272</v>
      </c>
      <c r="J12" s="89">
        <f t="shared" ca="1" si="1"/>
        <v>0.95890410958904104</v>
      </c>
    </row>
    <row r="13" spans="1:10" x14ac:dyDescent="0.3">
      <c r="A13" s="86">
        <v>27220</v>
      </c>
      <c r="B13" s="86" t="s">
        <v>97</v>
      </c>
      <c r="C13" s="86" t="s">
        <v>275</v>
      </c>
      <c r="D13" s="86" t="s">
        <v>278</v>
      </c>
      <c r="E13" s="86" t="s">
        <v>151</v>
      </c>
      <c r="F13" s="86" t="s">
        <v>228</v>
      </c>
      <c r="G13" s="87" t="s">
        <v>59</v>
      </c>
      <c r="H13" s="88">
        <v>45649</v>
      </c>
      <c r="I13" s="88">
        <f t="shared" ca="1" si="0"/>
        <v>46272</v>
      </c>
      <c r="J13" s="89">
        <f t="shared" ca="1" si="1"/>
        <v>1.7068493150684931</v>
      </c>
    </row>
    <row r="14" spans="1:10" x14ac:dyDescent="0.3">
      <c r="A14" s="86">
        <v>27219</v>
      </c>
      <c r="B14" s="86" t="s">
        <v>97</v>
      </c>
      <c r="C14" s="86" t="s">
        <v>275</v>
      </c>
      <c r="D14" s="86" t="s">
        <v>278</v>
      </c>
      <c r="E14" s="86" t="s">
        <v>113</v>
      </c>
      <c r="F14" s="86" t="s">
        <v>179</v>
      </c>
      <c r="G14" s="87" t="s">
        <v>10</v>
      </c>
      <c r="H14" s="88">
        <v>45649</v>
      </c>
      <c r="I14" s="88">
        <f t="shared" ca="1" si="0"/>
        <v>46272</v>
      </c>
      <c r="J14" s="89">
        <f t="shared" ca="1" si="1"/>
        <v>1.7068493150684931</v>
      </c>
    </row>
    <row r="15" spans="1:10" x14ac:dyDescent="0.3">
      <c r="A15" s="86">
        <v>28085</v>
      </c>
      <c r="B15" s="86" t="s">
        <v>96</v>
      </c>
      <c r="C15" s="86" t="s">
        <v>275</v>
      </c>
      <c r="D15" s="86" t="s">
        <v>278</v>
      </c>
      <c r="E15" s="86" t="s">
        <v>163</v>
      </c>
      <c r="F15" s="86" t="s">
        <v>249</v>
      </c>
      <c r="G15" s="87" t="s">
        <v>80</v>
      </c>
      <c r="H15" s="88">
        <v>45852</v>
      </c>
      <c r="I15" s="88">
        <f t="shared" ca="1" si="0"/>
        <v>46272</v>
      </c>
      <c r="J15" s="89">
        <f t="shared" ca="1" si="1"/>
        <v>1.1506849315068493</v>
      </c>
    </row>
    <row r="16" spans="1:10" x14ac:dyDescent="0.3">
      <c r="A16" s="86">
        <v>26588</v>
      </c>
      <c r="B16" s="86" t="s">
        <v>96</v>
      </c>
      <c r="C16" s="86" t="s">
        <v>275</v>
      </c>
      <c r="D16" s="86" t="s">
        <v>278</v>
      </c>
      <c r="E16" s="86" t="s">
        <v>111</v>
      </c>
      <c r="F16" s="86" t="s">
        <v>456</v>
      </c>
      <c r="G16" s="87" t="s">
        <v>57</v>
      </c>
      <c r="H16" s="88">
        <v>45556</v>
      </c>
      <c r="I16" s="88">
        <f t="shared" ca="1" si="0"/>
        <v>46272</v>
      </c>
      <c r="J16" s="89">
        <f t="shared" ca="1" si="1"/>
        <v>1.9616438356164383</v>
      </c>
    </row>
    <row r="17" spans="1:10" x14ac:dyDescent="0.3">
      <c r="A17" s="86">
        <v>28482</v>
      </c>
      <c r="B17" s="86" t="s">
        <v>96</v>
      </c>
      <c r="C17" s="86" t="s">
        <v>275</v>
      </c>
      <c r="D17" s="86" t="s">
        <v>278</v>
      </c>
      <c r="E17" s="86" t="s">
        <v>150</v>
      </c>
      <c r="F17" s="86" t="s">
        <v>254</v>
      </c>
      <c r="G17" s="87" t="s">
        <v>85</v>
      </c>
      <c r="H17" s="88">
        <v>45922</v>
      </c>
      <c r="I17" s="88">
        <f t="shared" ca="1" si="0"/>
        <v>46272</v>
      </c>
      <c r="J17" s="89">
        <f t="shared" ca="1" si="1"/>
        <v>0.95890410958904104</v>
      </c>
    </row>
    <row r="18" spans="1:10" x14ac:dyDescent="0.3">
      <c r="A18" s="86">
        <v>28075</v>
      </c>
      <c r="B18" s="86" t="s">
        <v>96</v>
      </c>
      <c r="C18" s="86" t="s">
        <v>275</v>
      </c>
      <c r="D18" s="86" t="s">
        <v>278</v>
      </c>
      <c r="E18" s="86" t="s">
        <v>158</v>
      </c>
      <c r="F18" s="86" t="s">
        <v>247</v>
      </c>
      <c r="G18" s="87" t="s">
        <v>78</v>
      </c>
      <c r="H18" s="88">
        <v>45852</v>
      </c>
      <c r="I18" s="88">
        <f t="shared" ca="1" si="0"/>
        <v>46272</v>
      </c>
      <c r="J18" s="89">
        <f t="shared" ca="1" si="1"/>
        <v>1.1506849315068493</v>
      </c>
    </row>
    <row r="19" spans="1:10" x14ac:dyDescent="0.3">
      <c r="A19" s="86">
        <v>29089</v>
      </c>
      <c r="B19" s="86" t="s">
        <v>96</v>
      </c>
      <c r="C19" s="86" t="s">
        <v>275</v>
      </c>
      <c r="D19" s="86" t="s">
        <v>278</v>
      </c>
      <c r="E19" s="86" t="s">
        <v>158</v>
      </c>
      <c r="F19" s="86" t="s">
        <v>259</v>
      </c>
      <c r="G19" s="87" t="s">
        <v>89</v>
      </c>
      <c r="H19" s="88">
        <v>46078</v>
      </c>
      <c r="I19" s="88">
        <f t="shared" ca="1" si="0"/>
        <v>46272</v>
      </c>
      <c r="J19" s="89">
        <f t="shared" ca="1" si="1"/>
        <v>0.53150684931506853</v>
      </c>
    </row>
    <row r="20" spans="1:10" x14ac:dyDescent="0.3">
      <c r="A20" s="86">
        <v>28176</v>
      </c>
      <c r="B20" s="86" t="s">
        <v>102</v>
      </c>
      <c r="C20" s="86" t="s">
        <v>275</v>
      </c>
      <c r="D20" s="86" t="s">
        <v>278</v>
      </c>
      <c r="E20" s="86" t="s">
        <v>161</v>
      </c>
      <c r="F20" s="86" t="s">
        <v>243</v>
      </c>
      <c r="G20" s="87" t="s">
        <v>74</v>
      </c>
      <c r="H20" s="88">
        <v>45870</v>
      </c>
      <c r="I20" s="88">
        <f t="shared" ca="1" si="0"/>
        <v>46272</v>
      </c>
      <c r="J20" s="89">
        <f t="shared" ca="1" si="1"/>
        <v>1.1013698630136985</v>
      </c>
    </row>
    <row r="21" spans="1:10" x14ac:dyDescent="0.3">
      <c r="A21" s="86">
        <v>28170</v>
      </c>
      <c r="B21" s="86" t="s">
        <v>102</v>
      </c>
      <c r="C21" s="86" t="s">
        <v>275</v>
      </c>
      <c r="D21" s="86" t="s">
        <v>278</v>
      </c>
      <c r="E21" s="86" t="s">
        <v>161</v>
      </c>
      <c r="F21" s="86" t="s">
        <v>244</v>
      </c>
      <c r="G21" s="87" t="s">
        <v>75</v>
      </c>
      <c r="H21" s="88">
        <v>45870</v>
      </c>
      <c r="I21" s="88">
        <f t="shared" ca="1" si="0"/>
        <v>46272</v>
      </c>
      <c r="J21" s="89">
        <f t="shared" ca="1" si="1"/>
        <v>1.1013698630136985</v>
      </c>
    </row>
    <row r="22" spans="1:10" x14ac:dyDescent="0.3">
      <c r="A22" s="86">
        <v>26595</v>
      </c>
      <c r="B22" s="86" t="s">
        <v>96</v>
      </c>
      <c r="C22" s="86" t="s">
        <v>275</v>
      </c>
      <c r="D22" s="86" t="s">
        <v>278</v>
      </c>
      <c r="E22" s="86" t="s">
        <v>150</v>
      </c>
      <c r="F22" s="86" t="s">
        <v>227</v>
      </c>
      <c r="G22" s="87" t="s">
        <v>58</v>
      </c>
      <c r="H22" s="88">
        <v>45556</v>
      </c>
      <c r="I22" s="88">
        <f t="shared" ca="1" si="0"/>
        <v>46272</v>
      </c>
      <c r="J22" s="89">
        <f t="shared" ca="1" si="1"/>
        <v>1.9616438356164383</v>
      </c>
    </row>
    <row r="23" spans="1:10" x14ac:dyDescent="0.3">
      <c r="A23" s="86">
        <v>27630</v>
      </c>
      <c r="B23" s="86" t="s">
        <v>96</v>
      </c>
      <c r="C23" s="86" t="s">
        <v>275</v>
      </c>
      <c r="D23" s="86" t="s">
        <v>278</v>
      </c>
      <c r="E23" s="86" t="s">
        <v>158</v>
      </c>
      <c r="F23" s="86" t="s">
        <v>239</v>
      </c>
      <c r="G23" s="87" t="s">
        <v>70</v>
      </c>
      <c r="H23" s="88">
        <v>45755</v>
      </c>
      <c r="I23" s="88">
        <f t="shared" ca="1" si="0"/>
        <v>46272</v>
      </c>
      <c r="J23" s="89">
        <f t="shared" ca="1" si="1"/>
        <v>1.4164383561643836</v>
      </c>
    </row>
    <row r="24" spans="1:10" x14ac:dyDescent="0.3">
      <c r="A24" s="86">
        <v>26810</v>
      </c>
      <c r="B24" s="86" t="s">
        <v>97</v>
      </c>
      <c r="C24" s="86" t="s">
        <v>275</v>
      </c>
      <c r="D24" s="86" t="s">
        <v>278</v>
      </c>
      <c r="E24" s="86" t="s">
        <v>112</v>
      </c>
      <c r="F24" s="86" t="s">
        <v>178</v>
      </c>
      <c r="G24" s="87" t="s">
        <v>9</v>
      </c>
      <c r="H24" s="88">
        <v>45590</v>
      </c>
      <c r="I24" s="88">
        <f t="shared" ca="1" si="0"/>
        <v>46272</v>
      </c>
      <c r="J24" s="89">
        <f t="shared" ca="1" si="1"/>
        <v>1.8684931506849316</v>
      </c>
    </row>
    <row r="25" spans="1:10" x14ac:dyDescent="0.3">
      <c r="A25" s="86">
        <v>27154</v>
      </c>
      <c r="B25" s="86" t="s">
        <v>102</v>
      </c>
      <c r="C25" s="86" t="s">
        <v>275</v>
      </c>
      <c r="D25" s="86" t="s">
        <v>278</v>
      </c>
      <c r="E25" s="86" t="s">
        <v>153</v>
      </c>
      <c r="F25" s="86" t="s">
        <v>231</v>
      </c>
      <c r="G25" s="87" t="s">
        <v>62</v>
      </c>
      <c r="H25" s="88">
        <v>45641</v>
      </c>
      <c r="I25" s="88">
        <f t="shared" ca="1" si="0"/>
        <v>46272</v>
      </c>
      <c r="J25" s="89">
        <f t="shared" ca="1" si="1"/>
        <v>1.7287671232876711</v>
      </c>
    </row>
    <row r="26" spans="1:10" x14ac:dyDescent="0.3">
      <c r="A26" s="86">
        <v>29525</v>
      </c>
      <c r="B26" s="86" t="s">
        <v>96</v>
      </c>
      <c r="C26" s="86" t="s">
        <v>275</v>
      </c>
      <c r="D26" s="86" t="s">
        <v>278</v>
      </c>
      <c r="E26" s="86" t="s">
        <v>111</v>
      </c>
      <c r="F26" s="86" t="s">
        <v>376</v>
      </c>
      <c r="G26" s="87" t="s">
        <v>396</v>
      </c>
      <c r="H26" s="88">
        <v>46178</v>
      </c>
      <c r="I26" s="88">
        <f t="shared" ca="1" si="0"/>
        <v>46272</v>
      </c>
      <c r="J26" s="89">
        <f t="shared" ca="1" si="1"/>
        <v>0.25753424657534246</v>
      </c>
    </row>
    <row r="27" spans="1:10" x14ac:dyDescent="0.3">
      <c r="A27" s="86">
        <v>27732</v>
      </c>
      <c r="B27" s="86" t="s">
        <v>96</v>
      </c>
      <c r="C27" s="86" t="s">
        <v>275</v>
      </c>
      <c r="D27" s="86" t="s">
        <v>278</v>
      </c>
      <c r="E27" s="86" t="s">
        <v>159</v>
      </c>
      <c r="F27" s="86" t="s">
        <v>241</v>
      </c>
      <c r="G27" s="87" t="s">
        <v>72</v>
      </c>
      <c r="H27" s="88">
        <v>45775</v>
      </c>
      <c r="I27" s="88">
        <f t="shared" ca="1" si="0"/>
        <v>46272</v>
      </c>
      <c r="J27" s="89">
        <f t="shared" ca="1" si="1"/>
        <v>1.3616438356164384</v>
      </c>
    </row>
    <row r="28" spans="1:10" x14ac:dyDescent="0.3">
      <c r="A28" s="82">
        <v>26507</v>
      </c>
      <c r="B28" s="82" t="s">
        <v>95</v>
      </c>
      <c r="C28" s="82" t="s">
        <v>274</v>
      </c>
      <c r="D28" s="82" t="s">
        <v>276</v>
      </c>
      <c r="E28" s="82" t="s">
        <v>106</v>
      </c>
      <c r="F28" s="82" t="s">
        <v>176</v>
      </c>
      <c r="G28" s="83" t="s">
        <v>7</v>
      </c>
      <c r="H28" s="84">
        <v>45590</v>
      </c>
      <c r="I28" s="84">
        <f t="shared" ca="1" si="0"/>
        <v>46272</v>
      </c>
      <c r="J28" s="85">
        <f t="shared" ca="1" si="1"/>
        <v>1.8684931506849316</v>
      </c>
    </row>
    <row r="29" spans="1:10" x14ac:dyDescent="0.3">
      <c r="A29" s="82">
        <v>27252</v>
      </c>
      <c r="B29" s="82" t="s">
        <v>95</v>
      </c>
      <c r="C29" s="82" t="s">
        <v>274</v>
      </c>
      <c r="D29" s="82" t="s">
        <v>276</v>
      </c>
      <c r="E29" s="82" t="s">
        <v>106</v>
      </c>
      <c r="F29" s="82" t="s">
        <v>171</v>
      </c>
      <c r="G29" s="83" t="s">
        <v>2</v>
      </c>
      <c r="H29" s="84">
        <v>45657</v>
      </c>
      <c r="I29" s="84">
        <f t="shared" ca="1" si="0"/>
        <v>46272</v>
      </c>
      <c r="J29" s="85">
        <f t="shared" ca="1" si="1"/>
        <v>1.6849315068493151</v>
      </c>
    </row>
    <row r="30" spans="1:10" x14ac:dyDescent="0.3">
      <c r="A30" s="82">
        <v>24527</v>
      </c>
      <c r="B30" s="82" t="s">
        <v>455</v>
      </c>
      <c r="C30" s="82" t="s">
        <v>274</v>
      </c>
      <c r="D30" s="82" t="s">
        <v>276</v>
      </c>
      <c r="E30" s="82" t="s">
        <v>146</v>
      </c>
      <c r="F30" s="82" t="s">
        <v>221</v>
      </c>
      <c r="G30" s="83" t="s">
        <v>52</v>
      </c>
      <c r="H30" s="84">
        <v>45250</v>
      </c>
      <c r="I30" s="84">
        <f t="shared" ca="1" si="0"/>
        <v>46272</v>
      </c>
      <c r="J30" s="85">
        <f t="shared" ca="1" si="1"/>
        <v>2.8</v>
      </c>
    </row>
    <row r="31" spans="1:10" x14ac:dyDescent="0.3">
      <c r="A31" s="82">
        <v>22775</v>
      </c>
      <c r="B31" s="82" t="s">
        <v>455</v>
      </c>
      <c r="C31" s="82" t="s">
        <v>274</v>
      </c>
      <c r="D31" s="82" t="s">
        <v>276</v>
      </c>
      <c r="E31" s="82" t="s">
        <v>132</v>
      </c>
      <c r="F31" s="82" t="s">
        <v>203</v>
      </c>
      <c r="G31" s="83" t="s">
        <v>34</v>
      </c>
      <c r="H31" s="84">
        <v>45080</v>
      </c>
      <c r="I31" s="84">
        <f t="shared" ca="1" si="0"/>
        <v>46272</v>
      </c>
      <c r="J31" s="85">
        <f t="shared" ca="1" si="1"/>
        <v>3.2657534246575342</v>
      </c>
    </row>
    <row r="32" spans="1:10" x14ac:dyDescent="0.3">
      <c r="A32" s="82">
        <v>22771</v>
      </c>
      <c r="B32" s="82" t="s">
        <v>455</v>
      </c>
      <c r="C32" s="82" t="s">
        <v>274</v>
      </c>
      <c r="D32" s="82" t="s">
        <v>276</v>
      </c>
      <c r="E32" s="82" t="s">
        <v>431</v>
      </c>
      <c r="F32" s="82" t="s">
        <v>429</v>
      </c>
      <c r="G32" s="83" t="s">
        <v>91</v>
      </c>
      <c r="H32" s="84">
        <v>45080</v>
      </c>
      <c r="I32" s="84">
        <f t="shared" ca="1" si="0"/>
        <v>46272</v>
      </c>
      <c r="J32" s="85">
        <f t="shared" ca="1" si="1"/>
        <v>3.2657534246575342</v>
      </c>
    </row>
    <row r="33" spans="1:10" x14ac:dyDescent="0.3">
      <c r="A33" s="82">
        <v>21925</v>
      </c>
      <c r="B33" s="82" t="s">
        <v>455</v>
      </c>
      <c r="C33" s="82" t="s">
        <v>274</v>
      </c>
      <c r="D33" s="82" t="s">
        <v>276</v>
      </c>
      <c r="E33" s="82" t="s">
        <v>105</v>
      </c>
      <c r="F33" s="82" t="s">
        <v>170</v>
      </c>
      <c r="G33" s="83" t="s">
        <v>1</v>
      </c>
      <c r="H33" s="84">
        <v>45026</v>
      </c>
      <c r="I33" s="84">
        <f t="shared" ca="1" si="0"/>
        <v>46272</v>
      </c>
      <c r="J33" s="85">
        <f t="shared" ca="1" si="1"/>
        <v>3.4136986301369863</v>
      </c>
    </row>
    <row r="34" spans="1:10" x14ac:dyDescent="0.3">
      <c r="A34" s="86">
        <v>23214</v>
      </c>
      <c r="B34" s="86" t="s">
        <v>455</v>
      </c>
      <c r="C34" s="86" t="s">
        <v>275</v>
      </c>
      <c r="D34" s="86" t="s">
        <v>276</v>
      </c>
      <c r="E34" s="86" t="s">
        <v>135</v>
      </c>
      <c r="F34" s="86" t="s">
        <v>206</v>
      </c>
      <c r="G34" s="87" t="s">
        <v>37</v>
      </c>
      <c r="H34" s="88">
        <v>45109</v>
      </c>
      <c r="I34" s="88">
        <f t="shared" ref="I34:I65" ca="1" si="2">TODAY()</f>
        <v>46272</v>
      </c>
      <c r="J34" s="89">
        <f t="shared" ref="J34:J65" ca="1" si="3">(I34-H34)/365</f>
        <v>3.1863013698630138</v>
      </c>
    </row>
    <row r="35" spans="1:10" x14ac:dyDescent="0.3">
      <c r="A35" s="86">
        <v>22773</v>
      </c>
      <c r="B35" s="86" t="s">
        <v>455</v>
      </c>
      <c r="C35" s="86" t="s">
        <v>275</v>
      </c>
      <c r="D35" s="86" t="s">
        <v>276</v>
      </c>
      <c r="E35" s="86" t="s">
        <v>131</v>
      </c>
      <c r="F35" s="86" t="s">
        <v>201</v>
      </c>
      <c r="G35" s="87" t="s">
        <v>32</v>
      </c>
      <c r="H35" s="88">
        <v>45080</v>
      </c>
      <c r="I35" s="88">
        <f t="shared" ca="1" si="2"/>
        <v>46272</v>
      </c>
      <c r="J35" s="89">
        <f t="shared" ca="1" si="3"/>
        <v>3.2657534246575342</v>
      </c>
    </row>
    <row r="36" spans="1:10" x14ac:dyDescent="0.3">
      <c r="A36" s="86">
        <v>23669</v>
      </c>
      <c r="B36" s="86" t="s">
        <v>455</v>
      </c>
      <c r="C36" s="86" t="s">
        <v>275</v>
      </c>
      <c r="D36" s="86" t="s">
        <v>276</v>
      </c>
      <c r="E36" s="86" t="s">
        <v>142</v>
      </c>
      <c r="F36" s="86" t="s">
        <v>215</v>
      </c>
      <c r="G36" s="87" t="s">
        <v>46</v>
      </c>
      <c r="H36" s="88">
        <v>45156</v>
      </c>
      <c r="I36" s="88">
        <f t="shared" ca="1" si="2"/>
        <v>46272</v>
      </c>
      <c r="J36" s="89">
        <f t="shared" ca="1" si="3"/>
        <v>3.0575342465753423</v>
      </c>
    </row>
    <row r="37" spans="1:10" x14ac:dyDescent="0.3">
      <c r="A37" s="86">
        <v>26084</v>
      </c>
      <c r="B37" s="86" t="s">
        <v>455</v>
      </c>
      <c r="C37" s="86" t="s">
        <v>275</v>
      </c>
      <c r="D37" s="86" t="s">
        <v>276</v>
      </c>
      <c r="E37" s="86" t="s">
        <v>148</v>
      </c>
      <c r="F37" s="86" t="s">
        <v>223</v>
      </c>
      <c r="G37" s="87" t="s">
        <v>54</v>
      </c>
      <c r="H37" s="88">
        <v>45497</v>
      </c>
      <c r="I37" s="88">
        <f t="shared" ca="1" si="2"/>
        <v>46272</v>
      </c>
      <c r="J37" s="89">
        <f t="shared" ca="1" si="3"/>
        <v>2.1232876712328768</v>
      </c>
    </row>
    <row r="38" spans="1:10" x14ac:dyDescent="0.3">
      <c r="A38" s="86">
        <v>22131</v>
      </c>
      <c r="B38" s="86" t="s">
        <v>457</v>
      </c>
      <c r="C38" s="86" t="s">
        <v>275</v>
      </c>
      <c r="D38" s="86" t="s">
        <v>276</v>
      </c>
      <c r="E38" s="86" t="s">
        <v>123</v>
      </c>
      <c r="F38" s="86" t="s">
        <v>191</v>
      </c>
      <c r="G38" s="87" t="s">
        <v>22</v>
      </c>
      <c r="H38" s="88">
        <v>45041</v>
      </c>
      <c r="I38" s="88">
        <f t="shared" ca="1" si="2"/>
        <v>46272</v>
      </c>
      <c r="J38" s="89">
        <f t="shared" ca="1" si="3"/>
        <v>3.3726027397260272</v>
      </c>
    </row>
    <row r="39" spans="1:10" x14ac:dyDescent="0.3">
      <c r="A39" s="86">
        <v>24495</v>
      </c>
      <c r="B39" s="86" t="s">
        <v>457</v>
      </c>
      <c r="C39" s="86" t="s">
        <v>275</v>
      </c>
      <c r="D39" s="86" t="s">
        <v>276</v>
      </c>
      <c r="E39" s="86" t="s">
        <v>144</v>
      </c>
      <c r="F39" s="86" t="s">
        <v>219</v>
      </c>
      <c r="G39" s="87" t="s">
        <v>50</v>
      </c>
      <c r="H39" s="88">
        <v>45244</v>
      </c>
      <c r="I39" s="88">
        <f t="shared" ca="1" si="2"/>
        <v>46272</v>
      </c>
      <c r="J39" s="89">
        <f t="shared" ca="1" si="3"/>
        <v>2.8164383561643835</v>
      </c>
    </row>
    <row r="40" spans="1:10" x14ac:dyDescent="0.3">
      <c r="A40" s="86">
        <v>22126</v>
      </c>
      <c r="B40" s="86" t="s">
        <v>457</v>
      </c>
      <c r="C40" s="86" t="s">
        <v>275</v>
      </c>
      <c r="D40" s="86" t="s">
        <v>276</v>
      </c>
      <c r="E40" s="86" t="s">
        <v>118</v>
      </c>
      <c r="F40" s="86" t="s">
        <v>185</v>
      </c>
      <c r="G40" s="87" t="s">
        <v>16</v>
      </c>
      <c r="H40" s="88">
        <v>45041</v>
      </c>
      <c r="I40" s="88">
        <f t="shared" ca="1" si="2"/>
        <v>46272</v>
      </c>
      <c r="J40" s="89">
        <f t="shared" ca="1" si="3"/>
        <v>3.3726027397260272</v>
      </c>
    </row>
    <row r="41" spans="1:10" x14ac:dyDescent="0.3">
      <c r="A41" s="86">
        <v>22400</v>
      </c>
      <c r="B41" s="86" t="s">
        <v>457</v>
      </c>
      <c r="C41" s="86" t="s">
        <v>275</v>
      </c>
      <c r="D41" s="86" t="s">
        <v>276</v>
      </c>
      <c r="E41" s="86" t="s">
        <v>125</v>
      </c>
      <c r="F41" s="86" t="s">
        <v>193</v>
      </c>
      <c r="G41" s="87" t="s">
        <v>24</v>
      </c>
      <c r="H41" s="88">
        <v>45102</v>
      </c>
      <c r="I41" s="88">
        <f t="shared" ca="1" si="2"/>
        <v>46272</v>
      </c>
      <c r="J41" s="89">
        <f t="shared" ca="1" si="3"/>
        <v>3.2054794520547945</v>
      </c>
    </row>
    <row r="42" spans="1:10" x14ac:dyDescent="0.3">
      <c r="A42" s="86">
        <v>22789</v>
      </c>
      <c r="B42" s="86" t="s">
        <v>457</v>
      </c>
      <c r="C42" s="86" t="s">
        <v>275</v>
      </c>
      <c r="D42" s="86" t="s">
        <v>276</v>
      </c>
      <c r="E42" s="86" t="s">
        <v>133</v>
      </c>
      <c r="F42" s="86" t="s">
        <v>204</v>
      </c>
      <c r="G42" s="87" t="s">
        <v>35</v>
      </c>
      <c r="H42" s="88">
        <v>45082</v>
      </c>
      <c r="I42" s="88">
        <f t="shared" ca="1" si="2"/>
        <v>46272</v>
      </c>
      <c r="J42" s="89">
        <f t="shared" ca="1" si="3"/>
        <v>3.2602739726027399</v>
      </c>
    </row>
    <row r="43" spans="1:10" x14ac:dyDescent="0.3">
      <c r="A43" s="86">
        <v>27629</v>
      </c>
      <c r="B43" s="86" t="s">
        <v>457</v>
      </c>
      <c r="C43" s="86" t="s">
        <v>275</v>
      </c>
      <c r="D43" s="86" t="s">
        <v>276</v>
      </c>
      <c r="E43" s="86" t="s">
        <v>123</v>
      </c>
      <c r="F43" s="86" t="s">
        <v>246</v>
      </c>
      <c r="G43" s="87" t="s">
        <v>77</v>
      </c>
      <c r="H43" s="88">
        <v>45755</v>
      </c>
      <c r="I43" s="88">
        <f t="shared" ca="1" si="2"/>
        <v>46272</v>
      </c>
      <c r="J43" s="89">
        <f t="shared" ca="1" si="3"/>
        <v>1.4164383561643836</v>
      </c>
    </row>
    <row r="44" spans="1:10" x14ac:dyDescent="0.3">
      <c r="A44" s="86">
        <v>24494</v>
      </c>
      <c r="B44" s="86" t="s">
        <v>457</v>
      </c>
      <c r="C44" s="86" t="s">
        <v>275</v>
      </c>
      <c r="D44" s="86" t="s">
        <v>276</v>
      </c>
      <c r="E44" s="86" t="s">
        <v>144</v>
      </c>
      <c r="F44" s="86" t="s">
        <v>218</v>
      </c>
      <c r="G44" s="87" t="s">
        <v>49</v>
      </c>
      <c r="H44" s="88">
        <v>45244</v>
      </c>
      <c r="I44" s="88">
        <f t="shared" ca="1" si="2"/>
        <v>46272</v>
      </c>
      <c r="J44" s="89">
        <f t="shared" ca="1" si="3"/>
        <v>2.8164383561643835</v>
      </c>
    </row>
    <row r="45" spans="1:10" x14ac:dyDescent="0.3">
      <c r="A45" s="86">
        <v>22401</v>
      </c>
      <c r="B45" s="86" t="s">
        <v>457</v>
      </c>
      <c r="C45" s="86" t="s">
        <v>275</v>
      </c>
      <c r="D45" s="86" t="s">
        <v>276</v>
      </c>
      <c r="E45" s="86" t="s">
        <v>351</v>
      </c>
      <c r="F45" s="86" t="s">
        <v>194</v>
      </c>
      <c r="G45" s="87" t="s">
        <v>25</v>
      </c>
      <c r="H45" s="88">
        <v>45061</v>
      </c>
      <c r="I45" s="88">
        <f t="shared" ca="1" si="2"/>
        <v>46272</v>
      </c>
      <c r="J45" s="89">
        <f t="shared" ca="1" si="3"/>
        <v>3.3178082191780822</v>
      </c>
    </row>
    <row r="46" spans="1:10" x14ac:dyDescent="0.3">
      <c r="A46" s="86">
        <v>29123</v>
      </c>
      <c r="B46" s="86" t="s">
        <v>457</v>
      </c>
      <c r="C46" s="86" t="s">
        <v>275</v>
      </c>
      <c r="D46" s="86" t="s">
        <v>276</v>
      </c>
      <c r="E46" s="86" t="s">
        <v>152</v>
      </c>
      <c r="F46" s="86" t="s">
        <v>260</v>
      </c>
      <c r="G46" s="87" t="s">
        <v>90</v>
      </c>
      <c r="H46" s="88">
        <v>46087</v>
      </c>
      <c r="I46" s="88">
        <f t="shared" ca="1" si="2"/>
        <v>46272</v>
      </c>
      <c r="J46" s="89">
        <f t="shared" ca="1" si="3"/>
        <v>0.50684931506849318</v>
      </c>
    </row>
    <row r="47" spans="1:10" x14ac:dyDescent="0.3">
      <c r="A47" s="86">
        <v>23142</v>
      </c>
      <c r="B47" s="86" t="s">
        <v>457</v>
      </c>
      <c r="C47" s="86" t="s">
        <v>275</v>
      </c>
      <c r="D47" s="86" t="s">
        <v>276</v>
      </c>
      <c r="E47" s="86" t="s">
        <v>134</v>
      </c>
      <c r="F47" s="86" t="s">
        <v>205</v>
      </c>
      <c r="G47" s="87" t="s">
        <v>36</v>
      </c>
      <c r="H47" s="88">
        <v>45104</v>
      </c>
      <c r="I47" s="88">
        <f t="shared" ca="1" si="2"/>
        <v>46272</v>
      </c>
      <c r="J47" s="89">
        <f t="shared" ca="1" si="3"/>
        <v>3.2</v>
      </c>
    </row>
    <row r="48" spans="1:10" x14ac:dyDescent="0.3">
      <c r="A48" s="86">
        <v>29368</v>
      </c>
      <c r="B48" s="86" t="s">
        <v>457</v>
      </c>
      <c r="C48" s="86" t="s">
        <v>275</v>
      </c>
      <c r="D48" s="86" t="s">
        <v>276</v>
      </c>
      <c r="E48" s="86" t="s">
        <v>168</v>
      </c>
      <c r="F48" s="86" t="s">
        <v>261</v>
      </c>
      <c r="G48" s="87" t="s">
        <v>91</v>
      </c>
      <c r="H48" s="88">
        <v>46122</v>
      </c>
      <c r="I48" s="88">
        <f t="shared" ca="1" si="2"/>
        <v>46272</v>
      </c>
      <c r="J48" s="89">
        <f t="shared" ca="1" si="3"/>
        <v>0.41095890410958902</v>
      </c>
    </row>
    <row r="49" spans="1:10" x14ac:dyDescent="0.3">
      <c r="A49" s="86">
        <v>22130</v>
      </c>
      <c r="B49" s="86" t="s">
        <v>457</v>
      </c>
      <c r="C49" s="86" t="s">
        <v>275</v>
      </c>
      <c r="D49" s="86" t="s">
        <v>276</v>
      </c>
      <c r="E49" s="86" t="s">
        <v>122</v>
      </c>
      <c r="F49" s="86" t="s">
        <v>190</v>
      </c>
      <c r="G49" s="87" t="s">
        <v>21</v>
      </c>
      <c r="H49" s="88">
        <v>45041</v>
      </c>
      <c r="I49" s="88">
        <f t="shared" ca="1" si="2"/>
        <v>46272</v>
      </c>
      <c r="J49" s="89">
        <f t="shared" ca="1" si="3"/>
        <v>3.3726027397260272</v>
      </c>
    </row>
    <row r="50" spans="1:10" x14ac:dyDescent="0.3">
      <c r="A50" s="86">
        <v>26501</v>
      </c>
      <c r="B50" s="86" t="s">
        <v>457</v>
      </c>
      <c r="C50" s="86" t="s">
        <v>275</v>
      </c>
      <c r="D50" s="86" t="s">
        <v>276</v>
      </c>
      <c r="E50" s="86" t="s">
        <v>110</v>
      </c>
      <c r="F50" s="86" t="s">
        <v>238</v>
      </c>
      <c r="G50" s="87" t="s">
        <v>69</v>
      </c>
      <c r="H50" s="88">
        <v>45590</v>
      </c>
      <c r="I50" s="88">
        <f t="shared" ca="1" si="2"/>
        <v>46272</v>
      </c>
      <c r="J50" s="89">
        <f t="shared" ca="1" si="3"/>
        <v>1.8684931506849316</v>
      </c>
    </row>
    <row r="51" spans="1:10" x14ac:dyDescent="0.3">
      <c r="A51" s="86">
        <v>23431</v>
      </c>
      <c r="B51" s="86" t="s">
        <v>457</v>
      </c>
      <c r="C51" s="86" t="s">
        <v>275</v>
      </c>
      <c r="D51" s="86" t="s">
        <v>276</v>
      </c>
      <c r="E51" s="86" t="s">
        <v>139</v>
      </c>
      <c r="F51" s="86" t="s">
        <v>210</v>
      </c>
      <c r="G51" s="87" t="s">
        <v>41</v>
      </c>
      <c r="H51" s="88">
        <v>45134</v>
      </c>
      <c r="I51" s="88">
        <f t="shared" ca="1" si="2"/>
        <v>46272</v>
      </c>
      <c r="J51" s="89">
        <f t="shared" ca="1" si="3"/>
        <v>3.117808219178082</v>
      </c>
    </row>
    <row r="52" spans="1:10" x14ac:dyDescent="0.3">
      <c r="A52" s="86">
        <v>22073</v>
      </c>
      <c r="B52" s="86" t="s">
        <v>457</v>
      </c>
      <c r="C52" s="86" t="s">
        <v>275</v>
      </c>
      <c r="D52" s="86" t="s">
        <v>276</v>
      </c>
      <c r="E52" s="86" t="s">
        <v>110</v>
      </c>
      <c r="F52" s="86" t="s">
        <v>175</v>
      </c>
      <c r="G52" s="87" t="s">
        <v>6</v>
      </c>
      <c r="H52" s="88">
        <v>45035</v>
      </c>
      <c r="I52" s="88">
        <f t="shared" ca="1" si="2"/>
        <v>46272</v>
      </c>
      <c r="J52" s="89">
        <f t="shared" ca="1" si="3"/>
        <v>3.3890410958904109</v>
      </c>
    </row>
    <row r="53" spans="1:10" x14ac:dyDescent="0.3">
      <c r="A53" s="86">
        <v>22452</v>
      </c>
      <c r="B53" s="86" t="s">
        <v>457</v>
      </c>
      <c r="C53" s="86" t="s">
        <v>275</v>
      </c>
      <c r="D53" s="86" t="s">
        <v>276</v>
      </c>
      <c r="E53" s="86" t="s">
        <v>129</v>
      </c>
      <c r="F53" s="86" t="s">
        <v>199</v>
      </c>
      <c r="G53" s="87" t="s">
        <v>30</v>
      </c>
      <c r="H53" s="88">
        <v>45064</v>
      </c>
      <c r="I53" s="88">
        <f t="shared" ca="1" si="2"/>
        <v>46272</v>
      </c>
      <c r="J53" s="89">
        <f t="shared" ca="1" si="3"/>
        <v>3.3095890410958906</v>
      </c>
    </row>
    <row r="54" spans="1:10" x14ac:dyDescent="0.3">
      <c r="A54" s="86">
        <v>26403</v>
      </c>
      <c r="B54" s="86" t="s">
        <v>457</v>
      </c>
      <c r="C54" s="86" t="s">
        <v>275</v>
      </c>
      <c r="D54" s="86" t="s">
        <v>276</v>
      </c>
      <c r="E54" s="86" t="s">
        <v>152</v>
      </c>
      <c r="F54" s="86" t="s">
        <v>229</v>
      </c>
      <c r="G54" s="87" t="s">
        <v>60</v>
      </c>
      <c r="H54" s="88">
        <v>45545</v>
      </c>
      <c r="I54" s="88">
        <f t="shared" ca="1" si="2"/>
        <v>46272</v>
      </c>
      <c r="J54" s="89">
        <f t="shared" ca="1" si="3"/>
        <v>1.9917808219178081</v>
      </c>
    </row>
    <row r="55" spans="1:10" x14ac:dyDescent="0.3">
      <c r="A55" s="86">
        <v>23429</v>
      </c>
      <c r="B55" s="86" t="s">
        <v>457</v>
      </c>
      <c r="C55" s="86" t="s">
        <v>275</v>
      </c>
      <c r="D55" s="86" t="s">
        <v>276</v>
      </c>
      <c r="E55" s="86" t="s">
        <v>137</v>
      </c>
      <c r="F55" s="86" t="s">
        <v>208</v>
      </c>
      <c r="G55" s="87" t="s">
        <v>39</v>
      </c>
      <c r="H55" s="88">
        <v>45134</v>
      </c>
      <c r="I55" s="88">
        <f t="shared" ca="1" si="2"/>
        <v>46272</v>
      </c>
      <c r="J55" s="89">
        <f t="shared" ca="1" si="3"/>
        <v>3.117808219178082</v>
      </c>
    </row>
    <row r="56" spans="1:10" x14ac:dyDescent="0.3">
      <c r="A56" s="86">
        <v>23560</v>
      </c>
      <c r="B56" s="86" t="s">
        <v>457</v>
      </c>
      <c r="C56" s="86" t="s">
        <v>275</v>
      </c>
      <c r="D56" s="86" t="s">
        <v>276</v>
      </c>
      <c r="E56" s="86" t="s">
        <v>139</v>
      </c>
      <c r="F56" s="86" t="s">
        <v>213</v>
      </c>
      <c r="G56" s="87" t="s">
        <v>44</v>
      </c>
      <c r="H56" s="88">
        <v>45149</v>
      </c>
      <c r="I56" s="88">
        <f t="shared" ca="1" si="2"/>
        <v>46272</v>
      </c>
      <c r="J56" s="89">
        <f t="shared" ca="1" si="3"/>
        <v>3.0767123287671234</v>
      </c>
    </row>
    <row r="57" spans="1:10" x14ac:dyDescent="0.3">
      <c r="A57" s="86">
        <v>22128</v>
      </c>
      <c r="B57" s="86" t="s">
        <v>455</v>
      </c>
      <c r="C57" s="86" t="s">
        <v>275</v>
      </c>
      <c r="D57" s="86" t="s">
        <v>276</v>
      </c>
      <c r="E57" s="86" t="s">
        <v>121</v>
      </c>
      <c r="F57" s="86" t="s">
        <v>189</v>
      </c>
      <c r="G57" s="87" t="s">
        <v>20</v>
      </c>
      <c r="H57" s="88">
        <v>45041</v>
      </c>
      <c r="I57" s="88">
        <f t="shared" ca="1" si="2"/>
        <v>46272</v>
      </c>
      <c r="J57" s="89">
        <f t="shared" ca="1" si="3"/>
        <v>3.3726027397260272</v>
      </c>
    </row>
    <row r="58" spans="1:10" x14ac:dyDescent="0.3">
      <c r="A58" s="86">
        <v>23433</v>
      </c>
      <c r="B58" s="86" t="s">
        <v>455</v>
      </c>
      <c r="C58" s="86" t="s">
        <v>275</v>
      </c>
      <c r="D58" s="86" t="s">
        <v>276</v>
      </c>
      <c r="E58" s="86" t="s">
        <v>140</v>
      </c>
      <c r="F58" s="86" t="s">
        <v>212</v>
      </c>
      <c r="G58" s="87" t="s">
        <v>43</v>
      </c>
      <c r="H58" s="88">
        <v>45134</v>
      </c>
      <c r="I58" s="88">
        <f t="shared" ca="1" si="2"/>
        <v>46272</v>
      </c>
      <c r="J58" s="89">
        <f t="shared" ca="1" si="3"/>
        <v>3.117808219178082</v>
      </c>
    </row>
    <row r="59" spans="1:10" x14ac:dyDescent="0.3">
      <c r="A59" s="86">
        <v>23432</v>
      </c>
      <c r="B59" s="86" t="s">
        <v>455</v>
      </c>
      <c r="C59" s="86" t="s">
        <v>275</v>
      </c>
      <c r="D59" s="86" t="s">
        <v>276</v>
      </c>
      <c r="E59" s="86" t="s">
        <v>140</v>
      </c>
      <c r="F59" s="86" t="s">
        <v>211</v>
      </c>
      <c r="G59" s="87" t="s">
        <v>42</v>
      </c>
      <c r="H59" s="88">
        <v>45134</v>
      </c>
      <c r="I59" s="88">
        <f t="shared" ca="1" si="2"/>
        <v>46272</v>
      </c>
      <c r="J59" s="89">
        <f t="shared" ca="1" si="3"/>
        <v>3.117808219178082</v>
      </c>
    </row>
    <row r="60" spans="1:10" x14ac:dyDescent="0.3">
      <c r="A60" s="86">
        <v>23969</v>
      </c>
      <c r="B60" s="86" t="s">
        <v>455</v>
      </c>
      <c r="C60" s="86" t="s">
        <v>275</v>
      </c>
      <c r="D60" s="86" t="s">
        <v>276</v>
      </c>
      <c r="E60" s="86" t="s">
        <v>143</v>
      </c>
      <c r="F60" s="86" t="s">
        <v>216</v>
      </c>
      <c r="G60" s="87" t="s">
        <v>47</v>
      </c>
      <c r="H60" s="88">
        <v>45194</v>
      </c>
      <c r="I60" s="88">
        <f t="shared" ca="1" si="2"/>
        <v>46272</v>
      </c>
      <c r="J60" s="89">
        <f t="shared" ca="1" si="3"/>
        <v>2.9534246575342467</v>
      </c>
    </row>
    <row r="61" spans="1:10" x14ac:dyDescent="0.3">
      <c r="A61" s="86">
        <v>24153</v>
      </c>
      <c r="B61" s="86" t="s">
        <v>455</v>
      </c>
      <c r="C61" s="86" t="s">
        <v>275</v>
      </c>
      <c r="D61" s="86" t="s">
        <v>276</v>
      </c>
      <c r="E61" s="86" t="s">
        <v>143</v>
      </c>
      <c r="F61" s="86" t="s">
        <v>217</v>
      </c>
      <c r="G61" s="87" t="s">
        <v>48</v>
      </c>
      <c r="H61" s="88">
        <v>44995</v>
      </c>
      <c r="I61" s="88">
        <f t="shared" ca="1" si="2"/>
        <v>46272</v>
      </c>
      <c r="J61" s="89">
        <f t="shared" ca="1" si="3"/>
        <v>3.4986301369863013</v>
      </c>
    </row>
    <row r="62" spans="1:10" x14ac:dyDescent="0.3">
      <c r="A62" s="86">
        <v>29749</v>
      </c>
      <c r="B62" s="86" t="s">
        <v>455</v>
      </c>
      <c r="C62" s="86" t="s">
        <v>275</v>
      </c>
      <c r="D62" s="86" t="s">
        <v>276</v>
      </c>
      <c r="E62" s="86" t="s">
        <v>105</v>
      </c>
      <c r="F62" s="86" t="s">
        <v>448</v>
      </c>
      <c r="G62" s="87" t="s">
        <v>445</v>
      </c>
      <c r="H62" s="88">
        <v>46231</v>
      </c>
      <c r="I62" s="88">
        <f t="shared" ca="1" si="2"/>
        <v>46272</v>
      </c>
      <c r="J62" s="89">
        <f t="shared" ca="1" si="3"/>
        <v>0.11232876712328767</v>
      </c>
    </row>
    <row r="63" spans="1:10" x14ac:dyDescent="0.3">
      <c r="A63" s="86">
        <v>28201</v>
      </c>
      <c r="B63" s="86" t="s">
        <v>455</v>
      </c>
      <c r="C63" s="86" t="s">
        <v>275</v>
      </c>
      <c r="D63" s="86" t="s">
        <v>276</v>
      </c>
      <c r="E63" s="86" t="s">
        <v>166</v>
      </c>
      <c r="F63" s="86" t="s">
        <v>252</v>
      </c>
      <c r="G63" s="87" t="s">
        <v>83</v>
      </c>
      <c r="H63" s="88">
        <v>45899</v>
      </c>
      <c r="I63" s="88">
        <f t="shared" ca="1" si="2"/>
        <v>46272</v>
      </c>
      <c r="J63" s="89">
        <f t="shared" ca="1" si="3"/>
        <v>1.021917808219178</v>
      </c>
    </row>
    <row r="64" spans="1:10" x14ac:dyDescent="0.3">
      <c r="A64" s="86">
        <v>26015</v>
      </c>
      <c r="B64" s="86" t="s">
        <v>455</v>
      </c>
      <c r="C64" s="86" t="s">
        <v>275</v>
      </c>
      <c r="D64" s="86" t="s">
        <v>276</v>
      </c>
      <c r="E64" s="86" t="s">
        <v>147</v>
      </c>
      <c r="F64" s="86" t="s">
        <v>222</v>
      </c>
      <c r="G64" s="87" t="s">
        <v>53</v>
      </c>
      <c r="H64" s="88">
        <v>45497</v>
      </c>
      <c r="I64" s="88">
        <f t="shared" ca="1" si="2"/>
        <v>46272</v>
      </c>
      <c r="J64" s="89">
        <f t="shared" ca="1" si="3"/>
        <v>2.1232876712328768</v>
      </c>
    </row>
    <row r="65" spans="1:10" x14ac:dyDescent="0.3">
      <c r="A65" s="86">
        <v>22346</v>
      </c>
      <c r="B65" s="86" t="s">
        <v>455</v>
      </c>
      <c r="C65" s="86" t="s">
        <v>275</v>
      </c>
      <c r="D65" s="86" t="s">
        <v>276</v>
      </c>
      <c r="E65" s="86" t="s">
        <v>124</v>
      </c>
      <c r="F65" s="86" t="s">
        <v>192</v>
      </c>
      <c r="G65" s="87" t="s">
        <v>23</v>
      </c>
      <c r="H65" s="88">
        <v>45057</v>
      </c>
      <c r="I65" s="88">
        <f t="shared" ca="1" si="2"/>
        <v>46272</v>
      </c>
      <c r="J65" s="89">
        <f t="shared" ca="1" si="3"/>
        <v>3.3287671232876712</v>
      </c>
    </row>
    <row r="66" spans="1:10" x14ac:dyDescent="0.3">
      <c r="A66" s="86">
        <v>26399</v>
      </c>
      <c r="B66" s="86" t="s">
        <v>455</v>
      </c>
      <c r="C66" s="86" t="s">
        <v>275</v>
      </c>
      <c r="D66" s="86" t="s">
        <v>276</v>
      </c>
      <c r="E66" s="86" t="s">
        <v>124</v>
      </c>
      <c r="F66" s="86" t="s">
        <v>224</v>
      </c>
      <c r="G66" s="87" t="s">
        <v>55</v>
      </c>
      <c r="H66" s="88">
        <v>45545</v>
      </c>
      <c r="I66" s="88">
        <f t="shared" ref="I66:I97" ca="1" si="4">TODAY()</f>
        <v>46272</v>
      </c>
      <c r="J66" s="89">
        <f t="shared" ref="J66:J97" ca="1" si="5">(I66-H66)/365</f>
        <v>1.9917808219178081</v>
      </c>
    </row>
    <row r="67" spans="1:10" x14ac:dyDescent="0.3">
      <c r="A67" s="86">
        <v>23565</v>
      </c>
      <c r="B67" s="86" t="s">
        <v>455</v>
      </c>
      <c r="C67" s="86" t="s">
        <v>275</v>
      </c>
      <c r="D67" s="86" t="s">
        <v>276</v>
      </c>
      <c r="E67" s="86" t="s">
        <v>141</v>
      </c>
      <c r="F67" s="86" t="s">
        <v>214</v>
      </c>
      <c r="G67" s="87" t="s">
        <v>45</v>
      </c>
      <c r="H67" s="88">
        <v>45149</v>
      </c>
      <c r="I67" s="88">
        <f t="shared" ca="1" si="4"/>
        <v>46272</v>
      </c>
      <c r="J67" s="89">
        <f t="shared" ca="1" si="5"/>
        <v>3.0767123287671234</v>
      </c>
    </row>
    <row r="68" spans="1:10" x14ac:dyDescent="0.3">
      <c r="A68" s="86">
        <v>22453</v>
      </c>
      <c r="B68" s="86" t="s">
        <v>455</v>
      </c>
      <c r="C68" s="86" t="s">
        <v>275</v>
      </c>
      <c r="D68" s="86" t="s">
        <v>276</v>
      </c>
      <c r="E68" s="86" t="s">
        <v>130</v>
      </c>
      <c r="F68" s="86" t="s">
        <v>200</v>
      </c>
      <c r="G68" s="87" t="s">
        <v>31</v>
      </c>
      <c r="H68" s="88">
        <v>45064</v>
      </c>
      <c r="I68" s="88">
        <f t="shared" ca="1" si="4"/>
        <v>46272</v>
      </c>
      <c r="J68" s="89">
        <f t="shared" ca="1" si="5"/>
        <v>3.3095890410958906</v>
      </c>
    </row>
    <row r="69" spans="1:10" x14ac:dyDescent="0.3">
      <c r="A69" s="86">
        <v>22404</v>
      </c>
      <c r="B69" s="86" t="s">
        <v>95</v>
      </c>
      <c r="C69" s="86" t="s">
        <v>275</v>
      </c>
      <c r="D69" s="86" t="s">
        <v>276</v>
      </c>
      <c r="E69" s="86" t="s">
        <v>352</v>
      </c>
      <c r="F69" s="86" t="s">
        <v>198</v>
      </c>
      <c r="G69" s="87" t="s">
        <v>29</v>
      </c>
      <c r="H69" s="88">
        <v>45061</v>
      </c>
      <c r="I69" s="88">
        <f t="shared" ca="1" si="4"/>
        <v>46272</v>
      </c>
      <c r="J69" s="89">
        <f t="shared" ca="1" si="5"/>
        <v>3.3178082191780822</v>
      </c>
    </row>
    <row r="70" spans="1:10" x14ac:dyDescent="0.3">
      <c r="A70" s="86">
        <v>29527</v>
      </c>
      <c r="B70" s="86" t="s">
        <v>95</v>
      </c>
      <c r="C70" s="86" t="s">
        <v>275</v>
      </c>
      <c r="D70" s="86" t="s">
        <v>276</v>
      </c>
      <c r="E70" s="86" t="s">
        <v>352</v>
      </c>
      <c r="F70" s="86" t="s">
        <v>378</v>
      </c>
      <c r="G70" s="87" t="s">
        <v>399</v>
      </c>
      <c r="H70" s="88">
        <v>46178</v>
      </c>
      <c r="I70" s="88">
        <f t="shared" ca="1" si="4"/>
        <v>46272</v>
      </c>
      <c r="J70" s="89">
        <f t="shared" ca="1" si="5"/>
        <v>0.25753424657534246</v>
      </c>
    </row>
    <row r="71" spans="1:10" x14ac:dyDescent="0.3">
      <c r="A71" s="86">
        <v>26530</v>
      </c>
      <c r="B71" s="86" t="s">
        <v>95</v>
      </c>
      <c r="C71" s="86" t="s">
        <v>275</v>
      </c>
      <c r="D71" s="86" t="s">
        <v>276</v>
      </c>
      <c r="E71" s="86" t="s">
        <v>149</v>
      </c>
      <c r="F71" s="86" t="s">
        <v>225</v>
      </c>
      <c r="G71" s="87" t="s">
        <v>56</v>
      </c>
      <c r="H71" s="88">
        <v>45551</v>
      </c>
      <c r="I71" s="88">
        <f t="shared" ca="1" si="4"/>
        <v>46272</v>
      </c>
      <c r="J71" s="89">
        <f t="shared" ca="1" si="5"/>
        <v>1.9753424657534246</v>
      </c>
    </row>
    <row r="72" spans="1:10" x14ac:dyDescent="0.3">
      <c r="A72" s="86">
        <v>27249</v>
      </c>
      <c r="B72" s="86" t="s">
        <v>95</v>
      </c>
      <c r="C72" s="86" t="s">
        <v>275</v>
      </c>
      <c r="D72" s="86" t="s">
        <v>276</v>
      </c>
      <c r="E72" s="86" t="s">
        <v>106</v>
      </c>
      <c r="F72" s="86" t="s">
        <v>234</v>
      </c>
      <c r="G72" s="87" t="s">
        <v>65</v>
      </c>
      <c r="H72" s="88">
        <v>45657</v>
      </c>
      <c r="I72" s="88">
        <f t="shared" ca="1" si="4"/>
        <v>46272</v>
      </c>
      <c r="J72" s="89">
        <f t="shared" ca="1" si="5"/>
        <v>1.6849315068493151</v>
      </c>
    </row>
    <row r="73" spans="1:10" x14ac:dyDescent="0.3">
      <c r="A73" s="86">
        <v>22402</v>
      </c>
      <c r="B73" s="86" t="s">
        <v>95</v>
      </c>
      <c r="C73" s="86" t="s">
        <v>275</v>
      </c>
      <c r="D73" s="86" t="s">
        <v>276</v>
      </c>
      <c r="E73" s="86" t="s">
        <v>128</v>
      </c>
      <c r="F73" s="86" t="s">
        <v>197</v>
      </c>
      <c r="G73" s="87" t="s">
        <v>28</v>
      </c>
      <c r="H73" s="88">
        <v>45061</v>
      </c>
      <c r="I73" s="88">
        <f t="shared" ca="1" si="4"/>
        <v>46272</v>
      </c>
      <c r="J73" s="89">
        <f t="shared" ca="1" si="5"/>
        <v>3.3178082191780822</v>
      </c>
    </row>
    <row r="74" spans="1:10" x14ac:dyDescent="0.3">
      <c r="A74" s="86">
        <v>27637</v>
      </c>
      <c r="B74" s="86" t="s">
        <v>95</v>
      </c>
      <c r="C74" s="86" t="s">
        <v>275</v>
      </c>
      <c r="D74" s="86" t="s">
        <v>276</v>
      </c>
      <c r="E74" s="86" t="s">
        <v>157</v>
      </c>
      <c r="F74" s="86" t="s">
        <v>237</v>
      </c>
      <c r="G74" s="87" t="s">
        <v>68</v>
      </c>
      <c r="H74" s="88">
        <v>45755</v>
      </c>
      <c r="I74" s="88">
        <f t="shared" ca="1" si="4"/>
        <v>46272</v>
      </c>
      <c r="J74" s="89">
        <f t="shared" ca="1" si="5"/>
        <v>1.4164383561643836</v>
      </c>
    </row>
    <row r="75" spans="1:10" x14ac:dyDescent="0.3">
      <c r="A75" s="86">
        <v>29799</v>
      </c>
      <c r="B75" s="86" t="s">
        <v>449</v>
      </c>
      <c r="C75" s="86" t="s">
        <v>275</v>
      </c>
      <c r="D75" s="86" t="s">
        <v>450</v>
      </c>
      <c r="E75" s="86" t="s">
        <v>451</v>
      </c>
      <c r="F75" s="86" t="s">
        <v>452</v>
      </c>
      <c r="G75" s="87" t="s">
        <v>446</v>
      </c>
      <c r="H75" s="88">
        <v>46217</v>
      </c>
      <c r="I75" s="88">
        <f t="shared" ca="1" si="4"/>
        <v>46272</v>
      </c>
      <c r="J75" s="89">
        <f t="shared" ca="1" si="5"/>
        <v>0.15068493150684931</v>
      </c>
    </row>
    <row r="76" spans="1:10" x14ac:dyDescent="0.3">
      <c r="A76" s="82">
        <v>21929</v>
      </c>
      <c r="B76" s="82" t="s">
        <v>93</v>
      </c>
      <c r="C76" s="82" t="s">
        <v>274</v>
      </c>
      <c r="D76" s="82" t="s">
        <v>277</v>
      </c>
      <c r="E76" s="82" t="s">
        <v>108</v>
      </c>
      <c r="F76" s="82" t="s">
        <v>173</v>
      </c>
      <c r="G76" s="83" t="s">
        <v>4</v>
      </c>
      <c r="H76" s="84">
        <v>45026</v>
      </c>
      <c r="I76" s="84">
        <f t="shared" ca="1" si="4"/>
        <v>46272</v>
      </c>
      <c r="J76" s="85">
        <f t="shared" ca="1" si="5"/>
        <v>3.4136986301369863</v>
      </c>
    </row>
    <row r="77" spans="1:10" x14ac:dyDescent="0.3">
      <c r="A77" s="82">
        <v>20983</v>
      </c>
      <c r="B77" s="82" t="s">
        <v>345</v>
      </c>
      <c r="C77" s="82" t="s">
        <v>274</v>
      </c>
      <c r="D77" s="82" t="s">
        <v>277</v>
      </c>
      <c r="E77" s="82" t="s">
        <v>107</v>
      </c>
      <c r="F77" s="82" t="s">
        <v>172</v>
      </c>
      <c r="G77" s="83" t="s">
        <v>3</v>
      </c>
      <c r="H77" s="84">
        <v>44959</v>
      </c>
      <c r="I77" s="84">
        <f t="shared" ca="1" si="4"/>
        <v>46272</v>
      </c>
      <c r="J77" s="85">
        <f t="shared" ca="1" si="5"/>
        <v>3.5972602739726027</v>
      </c>
    </row>
    <row r="78" spans="1:10" x14ac:dyDescent="0.3">
      <c r="A78" s="82">
        <v>22424</v>
      </c>
      <c r="B78" s="82" t="s">
        <v>345</v>
      </c>
      <c r="C78" s="82" t="s">
        <v>274</v>
      </c>
      <c r="D78" s="82" t="s">
        <v>277</v>
      </c>
      <c r="E78" s="82" t="s">
        <v>107</v>
      </c>
      <c r="F78" s="82" t="s">
        <v>430</v>
      </c>
      <c r="G78" s="83" t="s">
        <v>61</v>
      </c>
      <c r="H78" s="84">
        <v>45063</v>
      </c>
      <c r="I78" s="84">
        <f t="shared" ca="1" si="4"/>
        <v>46272</v>
      </c>
      <c r="J78" s="85">
        <f t="shared" ca="1" si="5"/>
        <v>3.3123287671232875</v>
      </c>
    </row>
    <row r="79" spans="1:10" x14ac:dyDescent="0.3">
      <c r="A79" s="82">
        <v>22361</v>
      </c>
      <c r="B79" s="82" t="s">
        <v>345</v>
      </c>
      <c r="C79" s="82" t="s">
        <v>274</v>
      </c>
      <c r="D79" s="82" t="s">
        <v>277</v>
      </c>
      <c r="E79" s="82" t="s">
        <v>109</v>
      </c>
      <c r="F79" s="82" t="s">
        <v>174</v>
      </c>
      <c r="G79" s="83" t="s">
        <v>5</v>
      </c>
      <c r="H79" s="84">
        <v>45058</v>
      </c>
      <c r="I79" s="84">
        <f t="shared" ca="1" si="4"/>
        <v>46272</v>
      </c>
      <c r="J79" s="85">
        <f t="shared" ca="1" si="5"/>
        <v>3.3260273972602739</v>
      </c>
    </row>
    <row r="80" spans="1:10" x14ac:dyDescent="0.3">
      <c r="A80" s="86">
        <v>28825</v>
      </c>
      <c r="B80" s="86" t="s">
        <v>93</v>
      </c>
      <c r="C80" s="86" t="s">
        <v>274</v>
      </c>
      <c r="D80" s="86" t="s">
        <v>277</v>
      </c>
      <c r="E80" s="86" t="s">
        <v>104</v>
      </c>
      <c r="F80" s="86" t="s">
        <v>245</v>
      </c>
      <c r="G80" s="87" t="s">
        <v>76</v>
      </c>
      <c r="H80" s="88">
        <v>46010</v>
      </c>
      <c r="I80" s="88">
        <f t="shared" ca="1" si="4"/>
        <v>46272</v>
      </c>
      <c r="J80" s="89">
        <f t="shared" ca="1" si="5"/>
        <v>0.71780821917808224</v>
      </c>
    </row>
    <row r="81" spans="1:10" x14ac:dyDescent="0.3">
      <c r="A81" s="86">
        <v>20503</v>
      </c>
      <c r="B81" s="86" t="s">
        <v>93</v>
      </c>
      <c r="C81" s="86" t="s">
        <v>274</v>
      </c>
      <c r="D81" s="86" t="s">
        <v>277</v>
      </c>
      <c r="E81" s="86" t="s">
        <v>104</v>
      </c>
      <c r="F81" s="86" t="s">
        <v>169</v>
      </c>
      <c r="G81" s="87" t="s">
        <v>0</v>
      </c>
      <c r="H81" s="88">
        <v>44936</v>
      </c>
      <c r="I81" s="88">
        <f t="shared" ca="1" si="4"/>
        <v>46272</v>
      </c>
      <c r="J81" s="89">
        <f t="shared" ca="1" si="5"/>
        <v>3.6602739726027398</v>
      </c>
    </row>
    <row r="82" spans="1:10" x14ac:dyDescent="0.3">
      <c r="A82" s="86">
        <v>27437</v>
      </c>
      <c r="B82" s="86" t="s">
        <v>345</v>
      </c>
      <c r="C82" s="86" t="s">
        <v>274</v>
      </c>
      <c r="D82" s="86" t="s">
        <v>277</v>
      </c>
      <c r="E82" s="86" t="s">
        <v>156</v>
      </c>
      <c r="F82" s="86" t="s">
        <v>236</v>
      </c>
      <c r="G82" s="87" t="s">
        <v>67</v>
      </c>
      <c r="H82" s="88">
        <v>45692</v>
      </c>
      <c r="I82" s="88">
        <f t="shared" ca="1" si="4"/>
        <v>46272</v>
      </c>
      <c r="J82" s="89">
        <f t="shared" ca="1" si="5"/>
        <v>1.5890410958904109</v>
      </c>
    </row>
    <row r="83" spans="1:10" x14ac:dyDescent="0.3">
      <c r="A83" s="86">
        <v>29526</v>
      </c>
      <c r="B83" s="86" t="s">
        <v>93</v>
      </c>
      <c r="C83" s="86" t="s">
        <v>274</v>
      </c>
      <c r="D83" s="86" t="s">
        <v>277</v>
      </c>
      <c r="E83" s="86" t="s">
        <v>164</v>
      </c>
      <c r="F83" s="86" t="s">
        <v>377</v>
      </c>
      <c r="G83" s="87" t="s">
        <v>398</v>
      </c>
      <c r="H83" s="88">
        <v>46178</v>
      </c>
      <c r="I83" s="88">
        <f t="shared" ca="1" si="4"/>
        <v>46272</v>
      </c>
      <c r="J83" s="89">
        <f t="shared" ca="1" si="5"/>
        <v>0.25753424657534246</v>
      </c>
    </row>
    <row r="84" spans="1:10" x14ac:dyDescent="0.3">
      <c r="A84" s="86">
        <v>20322</v>
      </c>
      <c r="B84" s="86" t="s">
        <v>98</v>
      </c>
      <c r="C84" s="86" t="s">
        <v>275</v>
      </c>
      <c r="D84" s="86" t="s">
        <v>277</v>
      </c>
      <c r="E84" s="86" t="s">
        <v>114</v>
      </c>
      <c r="F84" s="86" t="s">
        <v>180</v>
      </c>
      <c r="G84" s="87" t="s">
        <v>11</v>
      </c>
      <c r="H84" s="88">
        <v>44929</v>
      </c>
      <c r="I84" s="88">
        <f t="shared" ca="1" si="4"/>
        <v>46272</v>
      </c>
      <c r="J84" s="89">
        <f t="shared" ca="1" si="5"/>
        <v>3.6794520547945204</v>
      </c>
    </row>
    <row r="85" spans="1:10" x14ac:dyDescent="0.3">
      <c r="A85" s="86">
        <v>21091</v>
      </c>
      <c r="B85" s="86" t="s">
        <v>93</v>
      </c>
      <c r="C85" s="86" t="s">
        <v>275</v>
      </c>
      <c r="D85" s="86" t="s">
        <v>277</v>
      </c>
      <c r="E85" s="86" t="s">
        <v>116</v>
      </c>
      <c r="F85" s="86" t="s">
        <v>183</v>
      </c>
      <c r="G85" s="87" t="s">
        <v>14</v>
      </c>
      <c r="H85" s="88">
        <v>44970</v>
      </c>
      <c r="I85" s="88">
        <f t="shared" ca="1" si="4"/>
        <v>46272</v>
      </c>
      <c r="J85" s="89">
        <f t="shared" ca="1" si="5"/>
        <v>3.5671232876712327</v>
      </c>
    </row>
    <row r="86" spans="1:10" x14ac:dyDescent="0.3">
      <c r="A86" s="86">
        <v>20509</v>
      </c>
      <c r="B86" s="86" t="s">
        <v>99</v>
      </c>
      <c r="C86" s="86" t="s">
        <v>275</v>
      </c>
      <c r="D86" s="86" t="s">
        <v>277</v>
      </c>
      <c r="E86" s="86" t="s">
        <v>115</v>
      </c>
      <c r="F86" s="86" t="s">
        <v>181</v>
      </c>
      <c r="G86" s="87" t="s">
        <v>12</v>
      </c>
      <c r="H86" s="88">
        <v>44936</v>
      </c>
      <c r="I86" s="88">
        <f t="shared" ca="1" si="4"/>
        <v>46272</v>
      </c>
      <c r="J86" s="89">
        <f t="shared" ca="1" si="5"/>
        <v>3.6602739726027398</v>
      </c>
    </row>
    <row r="87" spans="1:10" x14ac:dyDescent="0.3">
      <c r="A87" s="86">
        <v>28860</v>
      </c>
      <c r="B87" s="86" t="s">
        <v>99</v>
      </c>
      <c r="C87" s="86" t="s">
        <v>275</v>
      </c>
      <c r="D87" s="86" t="s">
        <v>277</v>
      </c>
      <c r="E87" s="86" t="s">
        <v>350</v>
      </c>
      <c r="F87" s="88" t="s">
        <v>262</v>
      </c>
      <c r="G87" s="87" t="s">
        <v>92</v>
      </c>
      <c r="H87" s="88">
        <v>46013</v>
      </c>
      <c r="I87" s="88">
        <f t="shared" ca="1" si="4"/>
        <v>46272</v>
      </c>
      <c r="J87" s="89">
        <f t="shared" ca="1" si="5"/>
        <v>0.70958904109589038</v>
      </c>
    </row>
    <row r="88" spans="1:10" x14ac:dyDescent="0.3">
      <c r="A88" s="86">
        <v>27372</v>
      </c>
      <c r="B88" s="86" t="s">
        <v>103</v>
      </c>
      <c r="C88" s="86" t="s">
        <v>275</v>
      </c>
      <c r="D88" s="86" t="s">
        <v>277</v>
      </c>
      <c r="E88" s="86" t="s">
        <v>155</v>
      </c>
      <c r="F88" s="86" t="s">
        <v>235</v>
      </c>
      <c r="G88" s="87" t="s">
        <v>66</v>
      </c>
      <c r="H88" s="88">
        <v>45679</v>
      </c>
      <c r="I88" s="88">
        <f t="shared" ca="1" si="4"/>
        <v>46272</v>
      </c>
      <c r="J88" s="89">
        <f t="shared" ca="1" si="5"/>
        <v>1.6246575342465754</v>
      </c>
    </row>
    <row r="89" spans="1:10" x14ac:dyDescent="0.3">
      <c r="A89" s="86">
        <v>22768</v>
      </c>
      <c r="B89" s="86" t="s">
        <v>98</v>
      </c>
      <c r="C89" s="86" t="s">
        <v>275</v>
      </c>
      <c r="D89" s="86" t="s">
        <v>277</v>
      </c>
      <c r="E89" s="86" t="s">
        <v>114</v>
      </c>
      <c r="F89" s="86" t="s">
        <v>202</v>
      </c>
      <c r="G89" s="87" t="s">
        <v>33</v>
      </c>
      <c r="H89" s="88">
        <v>45080</v>
      </c>
      <c r="I89" s="88">
        <f t="shared" ca="1" si="4"/>
        <v>46272</v>
      </c>
      <c r="J89" s="89">
        <f t="shared" ca="1" si="5"/>
        <v>3.2657534246575342</v>
      </c>
    </row>
    <row r="90" spans="1:10" x14ac:dyDescent="0.3">
      <c r="A90" s="86">
        <v>21583</v>
      </c>
      <c r="B90" s="86" t="s">
        <v>100</v>
      </c>
      <c r="C90" s="86" t="s">
        <v>275</v>
      </c>
      <c r="D90" s="86" t="s">
        <v>277</v>
      </c>
      <c r="E90" s="86" t="s">
        <v>117</v>
      </c>
      <c r="F90" s="86" t="s">
        <v>184</v>
      </c>
      <c r="G90" s="87" t="s">
        <v>15</v>
      </c>
      <c r="H90" s="88">
        <v>44980</v>
      </c>
      <c r="I90" s="88">
        <f t="shared" ca="1" si="4"/>
        <v>46272</v>
      </c>
      <c r="J90" s="89">
        <f t="shared" ca="1" si="5"/>
        <v>3.5397260273972604</v>
      </c>
    </row>
    <row r="91" spans="1:10" x14ac:dyDescent="0.3">
      <c r="A91" s="86">
        <v>28270</v>
      </c>
      <c r="B91" s="86" t="s">
        <v>93</v>
      </c>
      <c r="C91" s="86" t="s">
        <v>275</v>
      </c>
      <c r="D91" s="86" t="s">
        <v>277</v>
      </c>
      <c r="E91" s="86" t="s">
        <v>164</v>
      </c>
      <c r="F91" s="86" t="s">
        <v>250</v>
      </c>
      <c r="G91" s="87" t="s">
        <v>81</v>
      </c>
      <c r="H91" s="88">
        <v>45887</v>
      </c>
      <c r="I91" s="88">
        <f t="shared" ca="1" si="4"/>
        <v>46272</v>
      </c>
      <c r="J91" s="89">
        <f t="shared" ca="1" si="5"/>
        <v>1.0547945205479452</v>
      </c>
    </row>
    <row r="92" spans="1:10" x14ac:dyDescent="0.3">
      <c r="A92" s="86">
        <v>25557</v>
      </c>
      <c r="B92" s="86" t="s">
        <v>101</v>
      </c>
      <c r="C92" s="86" t="s">
        <v>275</v>
      </c>
      <c r="D92" s="86" t="s">
        <v>277</v>
      </c>
      <c r="E92" s="86" t="s">
        <v>145</v>
      </c>
      <c r="F92" s="86" t="s">
        <v>220</v>
      </c>
      <c r="G92" s="87" t="s">
        <v>51</v>
      </c>
      <c r="H92" s="88">
        <v>45370</v>
      </c>
      <c r="I92" s="88">
        <f t="shared" ca="1" si="4"/>
        <v>46272</v>
      </c>
      <c r="J92" s="89">
        <f t="shared" ca="1" si="5"/>
        <v>2.4712328767123286</v>
      </c>
    </row>
    <row r="93" spans="1:10" x14ac:dyDescent="0.3">
      <c r="A93" s="86">
        <v>27792</v>
      </c>
      <c r="B93" s="86" t="s">
        <v>345</v>
      </c>
      <c r="C93" s="86" t="s">
        <v>275</v>
      </c>
      <c r="D93" s="86" t="s">
        <v>277</v>
      </c>
      <c r="E93" s="86" t="s">
        <v>160</v>
      </c>
      <c r="F93" s="86" t="s">
        <v>242</v>
      </c>
      <c r="G93" s="87" t="s">
        <v>73</v>
      </c>
      <c r="H93" s="88">
        <v>45789</v>
      </c>
      <c r="I93" s="88">
        <f t="shared" ca="1" si="4"/>
        <v>46272</v>
      </c>
      <c r="J93" s="89">
        <f t="shared" ca="1" si="5"/>
        <v>1.3232876712328767</v>
      </c>
    </row>
    <row r="94" spans="1:10" x14ac:dyDescent="0.3">
      <c r="A94" s="86">
        <v>21998</v>
      </c>
      <c r="B94" s="86" t="s">
        <v>345</v>
      </c>
      <c r="C94" s="86" t="s">
        <v>275</v>
      </c>
      <c r="D94" s="86" t="s">
        <v>277</v>
      </c>
      <c r="E94" s="86" t="s">
        <v>119</v>
      </c>
      <c r="F94" s="86" t="s">
        <v>187</v>
      </c>
      <c r="G94" s="87" t="s">
        <v>18</v>
      </c>
      <c r="H94" s="88">
        <v>45031</v>
      </c>
      <c r="I94" s="88">
        <f t="shared" ca="1" si="4"/>
        <v>46272</v>
      </c>
      <c r="J94" s="89">
        <f t="shared" ca="1" si="5"/>
        <v>3.4</v>
      </c>
    </row>
    <row r="95" spans="1:10" x14ac:dyDescent="0.3">
      <c r="A95" s="86">
        <v>22365</v>
      </c>
      <c r="B95" s="86" t="s">
        <v>345</v>
      </c>
      <c r="C95" s="86" t="s">
        <v>275</v>
      </c>
      <c r="D95" s="86" t="s">
        <v>277</v>
      </c>
      <c r="E95" s="86" t="s">
        <v>127</v>
      </c>
      <c r="F95" s="86" t="s">
        <v>196</v>
      </c>
      <c r="G95" s="87" t="s">
        <v>27</v>
      </c>
      <c r="H95" s="88">
        <v>45058</v>
      </c>
      <c r="I95" s="88">
        <f t="shared" ca="1" si="4"/>
        <v>46272</v>
      </c>
      <c r="J95" s="89">
        <f t="shared" ca="1" si="5"/>
        <v>3.3260273972602739</v>
      </c>
    </row>
    <row r="96" spans="1:10" x14ac:dyDescent="0.3">
      <c r="A96" s="86">
        <v>20502</v>
      </c>
      <c r="B96" s="86" t="s">
        <v>98</v>
      </c>
      <c r="C96" s="86" t="s">
        <v>275</v>
      </c>
      <c r="D96" s="86" t="s">
        <v>277</v>
      </c>
      <c r="E96" s="86" t="s">
        <v>114</v>
      </c>
      <c r="F96" s="86" t="s">
        <v>182</v>
      </c>
      <c r="G96" s="87" t="s">
        <v>13</v>
      </c>
      <c r="H96" s="88">
        <v>44936</v>
      </c>
      <c r="I96" s="88">
        <f t="shared" ca="1" si="4"/>
        <v>46272</v>
      </c>
      <c r="J96" s="89">
        <f t="shared" ca="1" si="5"/>
        <v>3.6602739726027398</v>
      </c>
    </row>
    <row r="97" spans="1:10" x14ac:dyDescent="0.3">
      <c r="A97" s="86">
        <v>27028</v>
      </c>
      <c r="B97" s="86" t="s">
        <v>345</v>
      </c>
      <c r="C97" s="86" t="s">
        <v>275</v>
      </c>
      <c r="D97" s="86" t="s">
        <v>277</v>
      </c>
      <c r="E97" s="86" t="s">
        <v>107</v>
      </c>
      <c r="F97" s="86" t="s">
        <v>230</v>
      </c>
      <c r="G97" s="87" t="s">
        <v>61</v>
      </c>
      <c r="H97" s="88">
        <v>45621</v>
      </c>
      <c r="I97" s="88">
        <f t="shared" ca="1" si="4"/>
        <v>46272</v>
      </c>
      <c r="J97" s="89">
        <f t="shared" ca="1" si="5"/>
        <v>1.7835616438356163</v>
      </c>
    </row>
    <row r="98" spans="1:10" x14ac:dyDescent="0.3">
      <c r="A98" s="86">
        <v>23270</v>
      </c>
      <c r="B98" s="86" t="s">
        <v>101</v>
      </c>
      <c r="C98" s="86" t="s">
        <v>275</v>
      </c>
      <c r="D98" s="86" t="s">
        <v>277</v>
      </c>
      <c r="E98" s="86" t="s">
        <v>138</v>
      </c>
      <c r="F98" s="86" t="s">
        <v>209</v>
      </c>
      <c r="G98" s="87" t="s">
        <v>40</v>
      </c>
      <c r="H98" s="88">
        <v>45117</v>
      </c>
      <c r="I98" s="88">
        <f t="shared" ref="I98:I104" ca="1" si="6">TODAY()</f>
        <v>46272</v>
      </c>
      <c r="J98" s="89">
        <f t="shared" ref="J98:J129" ca="1" si="7">(I98-H98)/365</f>
        <v>3.1643835616438358</v>
      </c>
    </row>
    <row r="99" spans="1:10" x14ac:dyDescent="0.3">
      <c r="A99" s="86">
        <v>21999</v>
      </c>
      <c r="B99" s="86" t="s">
        <v>345</v>
      </c>
      <c r="C99" s="86" t="s">
        <v>275</v>
      </c>
      <c r="D99" s="86" t="s">
        <v>277</v>
      </c>
      <c r="E99" s="86" t="s">
        <v>120</v>
      </c>
      <c r="F99" s="86" t="s">
        <v>188</v>
      </c>
      <c r="G99" s="87" t="s">
        <v>19</v>
      </c>
      <c r="H99" s="88">
        <v>45031</v>
      </c>
      <c r="I99" s="88">
        <f t="shared" ca="1" si="6"/>
        <v>46272</v>
      </c>
      <c r="J99" s="89">
        <f t="shared" ca="1" si="7"/>
        <v>3.4</v>
      </c>
    </row>
    <row r="100" spans="1:10" x14ac:dyDescent="0.3">
      <c r="A100" s="86">
        <v>28692</v>
      </c>
      <c r="B100" s="86" t="s">
        <v>93</v>
      </c>
      <c r="C100" s="86" t="s">
        <v>275</v>
      </c>
      <c r="D100" s="86" t="s">
        <v>277</v>
      </c>
      <c r="E100" s="86" t="s">
        <v>164</v>
      </c>
      <c r="F100" s="86" t="s">
        <v>256</v>
      </c>
      <c r="G100" s="87" t="s">
        <v>358</v>
      </c>
      <c r="H100" s="88">
        <v>45978</v>
      </c>
      <c r="I100" s="88">
        <f t="shared" ca="1" si="6"/>
        <v>46272</v>
      </c>
      <c r="J100" s="89">
        <f t="shared" ca="1" si="7"/>
        <v>0.80547945205479454</v>
      </c>
    </row>
    <row r="101" spans="1:10" x14ac:dyDescent="0.3">
      <c r="A101" s="86">
        <v>21926</v>
      </c>
      <c r="B101" s="86" t="s">
        <v>99</v>
      </c>
      <c r="C101" s="86" t="s">
        <v>275</v>
      </c>
      <c r="D101" s="86" t="s">
        <v>277</v>
      </c>
      <c r="E101" s="86" t="s">
        <v>353</v>
      </c>
      <c r="F101" s="86" t="s">
        <v>186</v>
      </c>
      <c r="G101" s="87" t="s">
        <v>17</v>
      </c>
      <c r="H101" s="88">
        <v>45026</v>
      </c>
      <c r="I101" s="88">
        <f t="shared" ca="1" si="6"/>
        <v>46272</v>
      </c>
      <c r="J101" s="89">
        <f t="shared" ca="1" si="7"/>
        <v>3.4136986301369863</v>
      </c>
    </row>
    <row r="102" spans="1:10" x14ac:dyDescent="0.3">
      <c r="A102" s="86">
        <v>22366</v>
      </c>
      <c r="B102" s="86" t="s">
        <v>345</v>
      </c>
      <c r="C102" s="86" t="s">
        <v>275</v>
      </c>
      <c r="D102" s="86" t="s">
        <v>277</v>
      </c>
      <c r="E102" s="86" t="s">
        <v>126</v>
      </c>
      <c r="F102" s="86" t="s">
        <v>195</v>
      </c>
      <c r="G102" s="87" t="s">
        <v>26</v>
      </c>
      <c r="H102" s="88">
        <v>45058</v>
      </c>
      <c r="I102" s="88">
        <f t="shared" ca="1" si="6"/>
        <v>46272</v>
      </c>
      <c r="J102" s="89">
        <f t="shared" ca="1" si="7"/>
        <v>3.3260273972602739</v>
      </c>
    </row>
    <row r="103" spans="1:10" x14ac:dyDescent="0.3">
      <c r="A103" s="86">
        <v>29798</v>
      </c>
      <c r="B103" s="86" t="s">
        <v>93</v>
      </c>
      <c r="C103" s="86" t="s">
        <v>275</v>
      </c>
      <c r="D103" s="86" t="s">
        <v>277</v>
      </c>
      <c r="E103" s="86" t="s">
        <v>453</v>
      </c>
      <c r="F103" s="86" t="s">
        <v>454</v>
      </c>
      <c r="G103" s="87" t="s">
        <v>447</v>
      </c>
      <c r="H103" s="88">
        <v>46217</v>
      </c>
      <c r="I103" s="88">
        <f t="shared" ca="1" si="6"/>
        <v>46272</v>
      </c>
      <c r="J103" s="89">
        <f t="shared" ca="1" si="7"/>
        <v>0.15068493150684931</v>
      </c>
    </row>
    <row r="104" spans="1:10" x14ac:dyDescent="0.3">
      <c r="A104" s="86">
        <v>23178</v>
      </c>
      <c r="B104" s="86" t="s">
        <v>100</v>
      </c>
      <c r="C104" s="86" t="s">
        <v>275</v>
      </c>
      <c r="D104" s="86" t="s">
        <v>277</v>
      </c>
      <c r="E104" s="86" t="s">
        <v>136</v>
      </c>
      <c r="F104" s="86" t="s">
        <v>207</v>
      </c>
      <c r="G104" s="87" t="s">
        <v>38</v>
      </c>
      <c r="H104" s="88">
        <v>45106</v>
      </c>
      <c r="I104" s="88">
        <f t="shared" ca="1" si="6"/>
        <v>46272</v>
      </c>
      <c r="J104" s="89">
        <f t="shared" ca="1" si="7"/>
        <v>3.1945205479452055</v>
      </c>
    </row>
    <row r="106" spans="1:10" x14ac:dyDescent="0.3">
      <c r="A106" s="6"/>
      <c r="G106"/>
    </row>
    <row r="107" spans="1:10" x14ac:dyDescent="0.3">
      <c r="A107" s="6"/>
      <c r="G107"/>
    </row>
    <row r="108" spans="1:10" x14ac:dyDescent="0.3">
      <c r="A108" s="6"/>
      <c r="G108"/>
    </row>
    <row r="109" spans="1:10" x14ac:dyDescent="0.3">
      <c r="A109" s="6"/>
    </row>
    <row r="110" spans="1:10" x14ac:dyDescent="0.3">
      <c r="A110" s="6"/>
    </row>
    <row r="111" spans="1:10" x14ac:dyDescent="0.3">
      <c r="A111" s="6"/>
    </row>
    <row r="112" spans="1:10" x14ac:dyDescent="0.3">
      <c r="A112" s="6"/>
    </row>
    <row r="113" spans="1:1" x14ac:dyDescent="0.3">
      <c r="A113" s="6"/>
    </row>
    <row r="114" spans="1:1" x14ac:dyDescent="0.3">
      <c r="A114" s="6"/>
    </row>
    <row r="115" spans="1:1" x14ac:dyDescent="0.3">
      <c r="A115" s="6"/>
    </row>
    <row r="116" spans="1:1" x14ac:dyDescent="0.3">
      <c r="A116" s="6"/>
    </row>
    <row r="117" spans="1:1" x14ac:dyDescent="0.3">
      <c r="A117" s="6"/>
    </row>
    <row r="118" spans="1:1" x14ac:dyDescent="0.3">
      <c r="A118" s="6"/>
    </row>
    <row r="119" spans="1:1" x14ac:dyDescent="0.3">
      <c r="A119" s="6"/>
    </row>
    <row r="120" spans="1:1" x14ac:dyDescent="0.3">
      <c r="A120" s="6"/>
    </row>
    <row r="121" spans="1:1" x14ac:dyDescent="0.3">
      <c r="A121" s="6"/>
    </row>
    <row r="122" spans="1:1" x14ac:dyDescent="0.3">
      <c r="A122" s="6"/>
    </row>
    <row r="123" spans="1:1" x14ac:dyDescent="0.3">
      <c r="A123" s="6"/>
    </row>
    <row r="124" spans="1:1" x14ac:dyDescent="0.3">
      <c r="A124" s="6"/>
    </row>
    <row r="125" spans="1:1" x14ac:dyDescent="0.3">
      <c r="A125" s="6"/>
    </row>
    <row r="126" spans="1:1" x14ac:dyDescent="0.3">
      <c r="A126" s="6"/>
    </row>
    <row r="127" spans="1:1" x14ac:dyDescent="0.3">
      <c r="A127" s="6"/>
    </row>
    <row r="128" spans="1:1" x14ac:dyDescent="0.3">
      <c r="A128" s="6"/>
    </row>
    <row r="129" spans="1:1" x14ac:dyDescent="0.3">
      <c r="A129" s="6"/>
    </row>
    <row r="130" spans="1:1" x14ac:dyDescent="0.3">
      <c r="A130" s="6"/>
    </row>
    <row r="131" spans="1:1" x14ac:dyDescent="0.3">
      <c r="A131" s="6"/>
    </row>
    <row r="132" spans="1:1" x14ac:dyDescent="0.3">
      <c r="A132" s="6"/>
    </row>
    <row r="133" spans="1:1" x14ac:dyDescent="0.3">
      <c r="A133" s="6"/>
    </row>
    <row r="134" spans="1:1" x14ac:dyDescent="0.3">
      <c r="A134" s="6"/>
    </row>
    <row r="135" spans="1:1" x14ac:dyDescent="0.3">
      <c r="A135" s="6"/>
    </row>
    <row r="136" spans="1:1" x14ac:dyDescent="0.3">
      <c r="A136" s="6"/>
    </row>
    <row r="137" spans="1:1" x14ac:dyDescent="0.3">
      <c r="A137" s="6"/>
    </row>
    <row r="138" spans="1:1" x14ac:dyDescent="0.3">
      <c r="A138" s="6"/>
    </row>
    <row r="139" spans="1:1" x14ac:dyDescent="0.3">
      <c r="A139" s="6"/>
    </row>
    <row r="140" spans="1:1" x14ac:dyDescent="0.3">
      <c r="A140" s="6"/>
    </row>
    <row r="141" spans="1:1" x14ac:dyDescent="0.3">
      <c r="A141" s="6"/>
    </row>
    <row r="142" spans="1:1" x14ac:dyDescent="0.3">
      <c r="A142" s="6"/>
    </row>
    <row r="143" spans="1:1" x14ac:dyDescent="0.3">
      <c r="A143" s="6"/>
    </row>
    <row r="144" spans="1:1" x14ac:dyDescent="0.3">
      <c r="A144" s="6"/>
    </row>
    <row r="145" spans="1:1" x14ac:dyDescent="0.3">
      <c r="A145" s="6"/>
    </row>
    <row r="146" spans="1:1" x14ac:dyDescent="0.3">
      <c r="A146" s="6"/>
    </row>
    <row r="147" spans="1:1" x14ac:dyDescent="0.3">
      <c r="A147" s="6"/>
    </row>
    <row r="148" spans="1:1" x14ac:dyDescent="0.3">
      <c r="A148" s="6"/>
    </row>
    <row r="149" spans="1:1" x14ac:dyDescent="0.3">
      <c r="A149" s="6"/>
    </row>
    <row r="150" spans="1:1" x14ac:dyDescent="0.3">
      <c r="A150" s="6"/>
    </row>
    <row r="151" spans="1:1" x14ac:dyDescent="0.3">
      <c r="A151" s="6"/>
    </row>
    <row r="152" spans="1:1" x14ac:dyDescent="0.3">
      <c r="A152" s="6"/>
    </row>
    <row r="153" spans="1:1" x14ac:dyDescent="0.3">
      <c r="A153" s="6"/>
    </row>
    <row r="154" spans="1:1" x14ac:dyDescent="0.3">
      <c r="A154" s="6"/>
    </row>
    <row r="155" spans="1:1" x14ac:dyDescent="0.3">
      <c r="A155" s="6"/>
    </row>
    <row r="156" spans="1:1" x14ac:dyDescent="0.3">
      <c r="A156" s="6"/>
    </row>
    <row r="157" spans="1:1" x14ac:dyDescent="0.3">
      <c r="A157" s="6"/>
    </row>
    <row r="158" spans="1:1" x14ac:dyDescent="0.3">
      <c r="A158" s="6"/>
    </row>
    <row r="159" spans="1:1" x14ac:dyDescent="0.3">
      <c r="A159" s="6"/>
    </row>
    <row r="160" spans="1:1" x14ac:dyDescent="0.3">
      <c r="A160" s="6"/>
    </row>
    <row r="161" spans="1:1" x14ac:dyDescent="0.3">
      <c r="A161" s="6"/>
    </row>
    <row r="162" spans="1:1" x14ac:dyDescent="0.3">
      <c r="A162" s="6"/>
    </row>
    <row r="163" spans="1:1" x14ac:dyDescent="0.3">
      <c r="A163" s="6"/>
    </row>
    <row r="164" spans="1:1" x14ac:dyDescent="0.3">
      <c r="A164" s="6"/>
    </row>
    <row r="165" spans="1:1" x14ac:dyDescent="0.3">
      <c r="A165" s="6"/>
    </row>
    <row r="166" spans="1:1" x14ac:dyDescent="0.3">
      <c r="A166" s="6"/>
    </row>
    <row r="167" spans="1:1" x14ac:dyDescent="0.3">
      <c r="A167" s="6"/>
    </row>
    <row r="168" spans="1:1" x14ac:dyDescent="0.3">
      <c r="A168" s="6"/>
    </row>
    <row r="169" spans="1:1" x14ac:dyDescent="0.3">
      <c r="A169" s="6"/>
    </row>
    <row r="170" spans="1:1" x14ac:dyDescent="0.3">
      <c r="A170" s="6"/>
    </row>
    <row r="171" spans="1:1" x14ac:dyDescent="0.3">
      <c r="A171" s="6"/>
    </row>
    <row r="172" spans="1:1" x14ac:dyDescent="0.3">
      <c r="A172" s="6"/>
    </row>
    <row r="173" spans="1:1" x14ac:dyDescent="0.3">
      <c r="A173" s="6"/>
    </row>
    <row r="174" spans="1:1" x14ac:dyDescent="0.3">
      <c r="A174" s="6"/>
    </row>
    <row r="175" spans="1:1" x14ac:dyDescent="0.3">
      <c r="A175" s="6"/>
    </row>
    <row r="176" spans="1:1" x14ac:dyDescent="0.3">
      <c r="A176" s="6"/>
    </row>
    <row r="177" spans="1:1" x14ac:dyDescent="0.3">
      <c r="A177" s="6"/>
    </row>
    <row r="178" spans="1:1" x14ac:dyDescent="0.3">
      <c r="A178" s="6"/>
    </row>
    <row r="179" spans="1:1" x14ac:dyDescent="0.3">
      <c r="A179" s="6"/>
    </row>
    <row r="180" spans="1:1" x14ac:dyDescent="0.3">
      <c r="A180" s="6"/>
    </row>
    <row r="181" spans="1:1" x14ac:dyDescent="0.3">
      <c r="A181" s="6"/>
    </row>
    <row r="182" spans="1:1" x14ac:dyDescent="0.3">
      <c r="A182" s="6"/>
    </row>
    <row r="183" spans="1:1" x14ac:dyDescent="0.3">
      <c r="A183" s="6"/>
    </row>
    <row r="184" spans="1:1" x14ac:dyDescent="0.3">
      <c r="A184" s="6"/>
    </row>
    <row r="185" spans="1:1" x14ac:dyDescent="0.3">
      <c r="A185" s="6"/>
    </row>
    <row r="186" spans="1:1" x14ac:dyDescent="0.3">
      <c r="A186" s="6"/>
    </row>
    <row r="187" spans="1:1" x14ac:dyDescent="0.3">
      <c r="A187" s="6"/>
    </row>
    <row r="188" spans="1:1" x14ac:dyDescent="0.3">
      <c r="A188" s="6"/>
    </row>
    <row r="189" spans="1:1" x14ac:dyDescent="0.3">
      <c r="A189" s="6"/>
    </row>
    <row r="190" spans="1:1" x14ac:dyDescent="0.3">
      <c r="A190" s="6"/>
    </row>
  </sheetData>
  <conditionalFormatting sqref="A1:A105 A191:A1048576">
    <cfRule type="duplicateValues" dxfId="22" priority="22"/>
    <cfRule type="duplicateValues" dxfId="21" priority="219"/>
  </conditionalFormatting>
  <conditionalFormatting sqref="A1:A1048576">
    <cfRule type="duplicateValues" dxfId="20" priority="1"/>
  </conditionalFormatting>
  <conditionalFormatting sqref="A106:A184">
    <cfRule type="duplicateValues" dxfId="19" priority="12"/>
    <cfRule type="duplicateValues" dxfId="18" priority="19"/>
  </conditionalFormatting>
  <conditionalFormatting sqref="A106:A190"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</conditionalFormatting>
  <conditionalFormatting sqref="A185:A190">
    <cfRule type="duplicateValues" dxfId="7" priority="13"/>
    <cfRule type="duplicateValues" dxfId="6" priority="14"/>
    <cfRule type="duplicateValues" dxfId="5" priority="15"/>
    <cfRule type="duplicateValues" dxfId="4" priority="16"/>
    <cfRule type="duplicateValues" dxfId="3" priority="17"/>
    <cfRule type="duplicateValues" dxfId="2" priority="18"/>
    <cfRule type="duplicateValues" dxfId="1" priority="20"/>
    <cfRule type="duplicateValues" dxfId="0" priority="21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A227-5820-49E0-9394-110F4A5DC76D}">
  <dimension ref="B1:P36"/>
  <sheetViews>
    <sheetView workbookViewId="0">
      <selection activeCell="S7" sqref="S7"/>
    </sheetView>
  </sheetViews>
  <sheetFormatPr defaultRowHeight="14.4" x14ac:dyDescent="0.3"/>
  <cols>
    <col min="1" max="1" width="3.33203125" style="2" customWidth="1"/>
    <col min="2" max="2" width="8.21875" style="2" bestFit="1" customWidth="1"/>
    <col min="3" max="4" width="17.77734375" style="2" bestFit="1" customWidth="1"/>
    <col min="5" max="5" width="19.88671875" style="2" bestFit="1" customWidth="1"/>
    <col min="6" max="6" width="6.77734375" style="2" bestFit="1" customWidth="1"/>
    <col min="7" max="7" width="8.5546875" style="2" bestFit="1" customWidth="1"/>
    <col min="8" max="8" width="6" style="2" bestFit="1" customWidth="1"/>
    <col min="9" max="9" width="3.33203125" style="2" customWidth="1"/>
    <col min="10" max="10" width="8.21875" style="2" bestFit="1" customWidth="1"/>
    <col min="11" max="11" width="17.77734375" style="2" bestFit="1" customWidth="1"/>
    <col min="12" max="12" width="10.21875" style="2" bestFit="1" customWidth="1"/>
    <col min="13" max="13" width="19.88671875" style="2" bestFit="1" customWidth="1"/>
    <col min="14" max="14" width="6.77734375" style="6" bestFit="1" customWidth="1"/>
    <col min="15" max="15" width="8.5546875" style="2" bestFit="1" customWidth="1"/>
    <col min="16" max="16" width="6" style="2" bestFit="1" customWidth="1"/>
    <col min="17" max="17" width="3.33203125" style="2" customWidth="1"/>
    <col min="18" max="18" width="7.44140625" style="2" bestFit="1" customWidth="1"/>
    <col min="19" max="19" width="16.44140625" style="2" bestFit="1" customWidth="1"/>
    <col min="20" max="20" width="12.33203125" style="2" bestFit="1" customWidth="1"/>
    <col min="21" max="21" width="18.88671875" style="2" bestFit="1" customWidth="1"/>
    <col min="22" max="22" width="6" style="2" bestFit="1" customWidth="1"/>
    <col min="23" max="23" width="7.88671875" style="2" bestFit="1" customWidth="1"/>
    <col min="24" max="24" width="5.21875" style="2" bestFit="1" customWidth="1"/>
    <col min="25" max="25" width="3.33203125" style="2" customWidth="1"/>
    <col min="26" max="26" width="10.33203125" style="2" bestFit="1" customWidth="1"/>
    <col min="27" max="27" width="16.44140625" style="2" bestFit="1" customWidth="1"/>
    <col min="28" max="28" width="9.88671875" style="2" bestFit="1" customWidth="1"/>
    <col min="29" max="29" width="18.5546875" style="2" bestFit="1" customWidth="1"/>
    <col min="30" max="30" width="6" style="2" bestFit="1" customWidth="1"/>
    <col min="31" max="31" width="7.88671875" style="2" bestFit="1" customWidth="1"/>
    <col min="32" max="32" width="5.21875" style="2" bestFit="1" customWidth="1"/>
    <col min="33" max="16384" width="8.88671875" style="2"/>
  </cols>
  <sheetData>
    <row r="1" spans="2:16" ht="15" thickBot="1" x14ac:dyDescent="0.35"/>
    <row r="2" spans="2:16" ht="15" thickBot="1" x14ac:dyDescent="0.35">
      <c r="B2" s="254" t="s">
        <v>403</v>
      </c>
      <c r="C2" s="255"/>
      <c r="D2" s="255"/>
      <c r="E2" s="255"/>
      <c r="F2" s="255"/>
      <c r="G2" s="255"/>
      <c r="H2" s="256"/>
      <c r="J2" s="254" t="s">
        <v>405</v>
      </c>
      <c r="K2" s="255"/>
      <c r="L2" s="255"/>
      <c r="M2" s="255"/>
      <c r="N2" s="255"/>
      <c r="O2" s="255"/>
      <c r="P2" s="256"/>
    </row>
    <row r="3" spans="2:16" s="129" customFormat="1" ht="29.4" thickBot="1" x14ac:dyDescent="0.35">
      <c r="B3" s="125" t="s">
        <v>268</v>
      </c>
      <c r="C3" s="126" t="s">
        <v>407</v>
      </c>
      <c r="D3" s="127" t="s">
        <v>263</v>
      </c>
      <c r="E3" s="127" t="s">
        <v>265</v>
      </c>
      <c r="F3" s="127" t="s">
        <v>400</v>
      </c>
      <c r="G3" s="127" t="s">
        <v>401</v>
      </c>
      <c r="H3" s="128" t="s">
        <v>402</v>
      </c>
      <c r="J3" s="125" t="s">
        <v>268</v>
      </c>
      <c r="K3" s="126" t="s">
        <v>407</v>
      </c>
      <c r="L3" s="127" t="s">
        <v>263</v>
      </c>
      <c r="M3" s="127" t="s">
        <v>265</v>
      </c>
      <c r="N3" s="127" t="s">
        <v>400</v>
      </c>
      <c r="O3" s="127" t="s">
        <v>401</v>
      </c>
      <c r="P3" s="128" t="s">
        <v>402</v>
      </c>
    </row>
    <row r="4" spans="2:16" x14ac:dyDescent="0.3">
      <c r="B4" s="267">
        <v>46113</v>
      </c>
      <c r="C4" s="122" t="s">
        <v>410</v>
      </c>
      <c r="D4" s="113" t="s">
        <v>113</v>
      </c>
      <c r="E4" s="113" t="s">
        <v>179</v>
      </c>
      <c r="F4" s="114">
        <v>27219</v>
      </c>
      <c r="G4" s="115">
        <v>54</v>
      </c>
      <c r="H4" s="130" t="s">
        <v>418</v>
      </c>
      <c r="J4" s="267">
        <v>46113</v>
      </c>
      <c r="K4" s="122" t="s">
        <v>412</v>
      </c>
      <c r="L4" s="113" t="s">
        <v>134</v>
      </c>
      <c r="M4" s="113" t="s">
        <v>205</v>
      </c>
      <c r="N4" s="114">
        <v>23142</v>
      </c>
      <c r="O4" s="115">
        <v>27</v>
      </c>
      <c r="P4" s="130" t="s">
        <v>418</v>
      </c>
    </row>
    <row r="5" spans="2:16" x14ac:dyDescent="0.3">
      <c r="B5" s="268"/>
      <c r="C5" s="123" t="s">
        <v>408</v>
      </c>
      <c r="D5" s="116" t="s">
        <v>114</v>
      </c>
      <c r="E5" s="116" t="s">
        <v>182</v>
      </c>
      <c r="F5" s="117">
        <v>20502</v>
      </c>
      <c r="G5" s="118">
        <v>37</v>
      </c>
      <c r="H5" s="131" t="s">
        <v>419</v>
      </c>
      <c r="J5" s="268"/>
      <c r="K5" s="123" t="s">
        <v>409</v>
      </c>
      <c r="L5" s="116" t="s">
        <v>111</v>
      </c>
      <c r="M5" s="116" t="s">
        <v>226</v>
      </c>
      <c r="N5" s="117">
        <v>26588</v>
      </c>
      <c r="O5" s="118">
        <v>26</v>
      </c>
      <c r="P5" s="131" t="s">
        <v>419</v>
      </c>
    </row>
    <row r="6" spans="2:16" ht="15" thickBot="1" x14ac:dyDescent="0.35">
      <c r="B6" s="269"/>
      <c r="C6" s="124" t="s">
        <v>412</v>
      </c>
      <c r="D6" s="119" t="s">
        <v>152</v>
      </c>
      <c r="E6" s="119" t="s">
        <v>260</v>
      </c>
      <c r="F6" s="120">
        <v>29123</v>
      </c>
      <c r="G6" s="121">
        <v>28</v>
      </c>
      <c r="H6" s="132" t="s">
        <v>420</v>
      </c>
      <c r="J6" s="269"/>
      <c r="K6" s="124" t="s">
        <v>412</v>
      </c>
      <c r="L6" s="119" t="s">
        <v>152</v>
      </c>
      <c r="M6" s="119" t="s">
        <v>260</v>
      </c>
      <c r="N6" s="120">
        <v>29123</v>
      </c>
      <c r="O6" s="121">
        <v>15</v>
      </c>
      <c r="P6" s="132" t="s">
        <v>420</v>
      </c>
    </row>
    <row r="7" spans="2:16" x14ac:dyDescent="0.3">
      <c r="B7" s="267">
        <v>46143</v>
      </c>
      <c r="C7" s="122" t="s">
        <v>409</v>
      </c>
      <c r="D7" s="113" t="s">
        <v>163</v>
      </c>
      <c r="E7" s="113" t="s">
        <v>249</v>
      </c>
      <c r="F7" s="114">
        <v>28085</v>
      </c>
      <c r="G7" s="115">
        <v>170</v>
      </c>
      <c r="H7" s="130" t="s">
        <v>418</v>
      </c>
      <c r="J7" s="267">
        <v>46143</v>
      </c>
      <c r="K7" s="122" t="s">
        <v>409</v>
      </c>
      <c r="L7" s="113" t="s">
        <v>111</v>
      </c>
      <c r="M7" s="113" t="s">
        <v>226</v>
      </c>
      <c r="N7" s="114">
        <v>26588</v>
      </c>
      <c r="O7" s="115">
        <v>89</v>
      </c>
      <c r="P7" s="130" t="s">
        <v>418</v>
      </c>
    </row>
    <row r="8" spans="2:16" x14ac:dyDescent="0.3">
      <c r="B8" s="268"/>
      <c r="C8" s="123" t="s">
        <v>410</v>
      </c>
      <c r="D8" s="116" t="s">
        <v>113</v>
      </c>
      <c r="E8" s="116" t="s">
        <v>179</v>
      </c>
      <c r="F8" s="117">
        <v>27219</v>
      </c>
      <c r="G8" s="118">
        <v>96</v>
      </c>
      <c r="H8" s="131" t="s">
        <v>419</v>
      </c>
      <c r="J8" s="268"/>
      <c r="K8" s="123" t="s">
        <v>412</v>
      </c>
      <c r="L8" s="116" t="s">
        <v>152</v>
      </c>
      <c r="M8" s="116" t="s">
        <v>260</v>
      </c>
      <c r="N8" s="117">
        <v>29123</v>
      </c>
      <c r="O8" s="118">
        <v>36</v>
      </c>
      <c r="P8" s="131" t="s">
        <v>419</v>
      </c>
    </row>
    <row r="9" spans="2:16" ht="15" thickBot="1" x14ac:dyDescent="0.35">
      <c r="B9" s="269"/>
      <c r="C9" s="124" t="s">
        <v>409</v>
      </c>
      <c r="D9" s="119" t="s">
        <v>111</v>
      </c>
      <c r="E9" s="119" t="s">
        <v>226</v>
      </c>
      <c r="F9" s="120">
        <v>26588</v>
      </c>
      <c r="G9" s="121">
        <v>90</v>
      </c>
      <c r="H9" s="132" t="s">
        <v>420</v>
      </c>
      <c r="J9" s="269"/>
      <c r="K9" s="124" t="s">
        <v>276</v>
      </c>
      <c r="L9" s="119" t="s">
        <v>148</v>
      </c>
      <c r="M9" s="119" t="s">
        <v>223</v>
      </c>
      <c r="N9" s="120">
        <v>26084</v>
      </c>
      <c r="O9" s="121">
        <v>29</v>
      </c>
      <c r="P9" s="132" t="s">
        <v>420</v>
      </c>
    </row>
    <row r="10" spans="2:16" x14ac:dyDescent="0.3">
      <c r="B10" s="267">
        <v>46174</v>
      </c>
      <c r="C10" s="122" t="s">
        <v>408</v>
      </c>
      <c r="D10" s="113" t="s">
        <v>114</v>
      </c>
      <c r="E10" s="113" t="s">
        <v>182</v>
      </c>
      <c r="F10" s="114">
        <v>20502</v>
      </c>
      <c r="G10" s="115">
        <v>57</v>
      </c>
      <c r="H10" s="130" t="s">
        <v>418</v>
      </c>
      <c r="J10" s="267">
        <v>46174</v>
      </c>
      <c r="K10" s="122" t="s">
        <v>276</v>
      </c>
      <c r="L10" s="113" t="s">
        <v>148</v>
      </c>
      <c r="M10" s="113" t="s">
        <v>223</v>
      </c>
      <c r="N10" s="114">
        <v>26084</v>
      </c>
      <c r="O10" s="115">
        <v>26</v>
      </c>
      <c r="P10" s="130" t="s">
        <v>418</v>
      </c>
    </row>
    <row r="11" spans="2:16" x14ac:dyDescent="0.3">
      <c r="B11" s="268"/>
      <c r="C11" s="123" t="s">
        <v>410</v>
      </c>
      <c r="D11" s="116" t="s">
        <v>113</v>
      </c>
      <c r="E11" s="116" t="s">
        <v>179</v>
      </c>
      <c r="F11" s="117">
        <v>27219</v>
      </c>
      <c r="G11" s="118">
        <v>45</v>
      </c>
      <c r="H11" s="131" t="s">
        <v>419</v>
      </c>
      <c r="J11" s="268"/>
      <c r="K11" s="123" t="s">
        <v>412</v>
      </c>
      <c r="L11" s="116" t="s">
        <v>134</v>
      </c>
      <c r="M11" s="116" t="s">
        <v>205</v>
      </c>
      <c r="N11" s="117">
        <v>23142</v>
      </c>
      <c r="O11" s="118">
        <v>20</v>
      </c>
      <c r="P11" s="131" t="s">
        <v>419</v>
      </c>
    </row>
    <row r="12" spans="2:16" ht="15" thickBot="1" x14ac:dyDescent="0.35">
      <c r="B12" s="269"/>
      <c r="C12" s="124" t="s">
        <v>412</v>
      </c>
      <c r="D12" s="119" t="s">
        <v>129</v>
      </c>
      <c r="E12" s="119" t="s">
        <v>199</v>
      </c>
      <c r="F12" s="120">
        <v>22452</v>
      </c>
      <c r="G12" s="121">
        <v>38</v>
      </c>
      <c r="H12" s="132" t="s">
        <v>420</v>
      </c>
      <c r="J12" s="269"/>
      <c r="K12" s="124" t="s">
        <v>412</v>
      </c>
      <c r="L12" s="119" t="s">
        <v>133</v>
      </c>
      <c r="M12" s="119" t="s">
        <v>204</v>
      </c>
      <c r="N12" s="120">
        <v>22789</v>
      </c>
      <c r="O12" s="121">
        <v>17</v>
      </c>
      <c r="P12" s="132" t="s">
        <v>420</v>
      </c>
    </row>
    <row r="13" spans="2:16" ht="4.8" customHeight="1" thickBot="1" x14ac:dyDescent="0.35">
      <c r="N13" s="2"/>
    </row>
    <row r="14" spans="2:16" ht="15" thickBot="1" x14ac:dyDescent="0.35">
      <c r="B14" s="254" t="s">
        <v>414</v>
      </c>
      <c r="C14" s="255"/>
      <c r="D14" s="255"/>
      <c r="E14" s="255"/>
      <c r="F14" s="255"/>
      <c r="G14" s="255"/>
      <c r="H14" s="256"/>
      <c r="J14" s="254" t="s">
        <v>415</v>
      </c>
      <c r="K14" s="255"/>
      <c r="L14" s="255"/>
      <c r="M14" s="255"/>
      <c r="N14" s="255"/>
      <c r="O14" s="255"/>
      <c r="P14" s="256"/>
    </row>
    <row r="15" spans="2:16" s="129" customFormat="1" ht="29.4" thickBot="1" x14ac:dyDescent="0.35">
      <c r="B15" s="125" t="s">
        <v>268</v>
      </c>
      <c r="C15" s="126" t="s">
        <v>407</v>
      </c>
      <c r="D15" s="127" t="s">
        <v>263</v>
      </c>
      <c r="E15" s="127" t="s">
        <v>265</v>
      </c>
      <c r="F15" s="127" t="s">
        <v>400</v>
      </c>
      <c r="G15" s="127" t="s">
        <v>401</v>
      </c>
      <c r="H15" s="128" t="s">
        <v>402</v>
      </c>
      <c r="J15" s="125" t="s">
        <v>268</v>
      </c>
      <c r="K15" s="126" t="s">
        <v>407</v>
      </c>
      <c r="L15" s="127" t="s">
        <v>263</v>
      </c>
      <c r="M15" s="127" t="s">
        <v>265</v>
      </c>
      <c r="N15" s="127" t="s">
        <v>400</v>
      </c>
      <c r="O15" s="127" t="s">
        <v>401</v>
      </c>
      <c r="P15" s="128" t="s">
        <v>402</v>
      </c>
    </row>
    <row r="16" spans="2:16" ht="14.4" customHeight="1" x14ac:dyDescent="0.3">
      <c r="B16" s="270" t="s">
        <v>411</v>
      </c>
      <c r="C16" s="106" t="s">
        <v>409</v>
      </c>
      <c r="D16" s="106" t="s">
        <v>163</v>
      </c>
      <c r="E16" s="106" t="s">
        <v>249</v>
      </c>
      <c r="F16" s="107">
        <v>28085</v>
      </c>
      <c r="G16" s="110">
        <v>216</v>
      </c>
      <c r="H16" s="133" t="s">
        <v>418</v>
      </c>
      <c r="J16" s="270" t="s">
        <v>411</v>
      </c>
      <c r="K16" s="106" t="s">
        <v>409</v>
      </c>
      <c r="L16" s="106" t="s">
        <v>111</v>
      </c>
      <c r="M16" s="106" t="s">
        <v>226</v>
      </c>
      <c r="N16" s="107">
        <v>26588</v>
      </c>
      <c r="O16" s="110">
        <v>119</v>
      </c>
      <c r="P16" s="133" t="s">
        <v>418</v>
      </c>
    </row>
    <row r="17" spans="2:16" x14ac:dyDescent="0.3">
      <c r="B17" s="271"/>
      <c r="C17" s="104" t="s">
        <v>410</v>
      </c>
      <c r="D17" s="104" t="s">
        <v>113</v>
      </c>
      <c r="E17" s="104" t="s">
        <v>179</v>
      </c>
      <c r="F17" s="105">
        <v>27219</v>
      </c>
      <c r="G17" s="111">
        <v>195</v>
      </c>
      <c r="H17" s="134" t="s">
        <v>419</v>
      </c>
      <c r="J17" s="271"/>
      <c r="K17" s="104" t="s">
        <v>276</v>
      </c>
      <c r="L17" s="104" t="s">
        <v>148</v>
      </c>
      <c r="M17" s="104" t="s">
        <v>223</v>
      </c>
      <c r="N17" s="105">
        <v>26084</v>
      </c>
      <c r="O17" s="111">
        <v>65</v>
      </c>
      <c r="P17" s="134" t="s">
        <v>419</v>
      </c>
    </row>
    <row r="18" spans="2:16" ht="15" thickBot="1" x14ac:dyDescent="0.35">
      <c r="B18" s="272"/>
      <c r="C18" s="108" t="s">
        <v>409</v>
      </c>
      <c r="D18" s="108" t="s">
        <v>111</v>
      </c>
      <c r="E18" s="108" t="s">
        <v>226</v>
      </c>
      <c r="F18" s="109">
        <v>26588</v>
      </c>
      <c r="G18" s="112">
        <v>148</v>
      </c>
      <c r="H18" s="135" t="s">
        <v>420</v>
      </c>
      <c r="J18" s="272"/>
      <c r="K18" s="108" t="s">
        <v>412</v>
      </c>
      <c r="L18" s="108" t="s">
        <v>152</v>
      </c>
      <c r="M18" s="108" t="s">
        <v>260</v>
      </c>
      <c r="N18" s="109">
        <v>29123</v>
      </c>
      <c r="O18" s="112">
        <v>57</v>
      </c>
      <c r="P18" s="135" t="s">
        <v>420</v>
      </c>
    </row>
    <row r="19" spans="2:16" ht="15" thickBot="1" x14ac:dyDescent="0.35"/>
    <row r="20" spans="2:16" ht="15" thickBot="1" x14ac:dyDescent="0.35">
      <c r="B20" s="254" t="s">
        <v>404</v>
      </c>
      <c r="C20" s="255"/>
      <c r="D20" s="255"/>
      <c r="E20" s="255"/>
      <c r="F20" s="255"/>
      <c r="G20" s="255"/>
      <c r="H20" s="256"/>
      <c r="J20" s="254" t="s">
        <v>406</v>
      </c>
      <c r="K20" s="255"/>
      <c r="L20" s="255"/>
      <c r="M20" s="255"/>
      <c r="N20" s="255"/>
      <c r="O20" s="255"/>
      <c r="P20" s="256"/>
    </row>
    <row r="21" spans="2:16" s="129" customFormat="1" ht="29.4" thickBot="1" x14ac:dyDescent="0.35">
      <c r="B21" s="125" t="s">
        <v>268</v>
      </c>
      <c r="C21" s="126" t="s">
        <v>407</v>
      </c>
      <c r="D21" s="127" t="s">
        <v>263</v>
      </c>
      <c r="E21" s="127" t="s">
        <v>265</v>
      </c>
      <c r="F21" s="127" t="s">
        <v>400</v>
      </c>
      <c r="G21" s="127" t="s">
        <v>401</v>
      </c>
      <c r="H21" s="128" t="s">
        <v>402</v>
      </c>
      <c r="J21" s="125" t="s">
        <v>268</v>
      </c>
      <c r="K21" s="126" t="s">
        <v>407</v>
      </c>
      <c r="L21" s="127" t="s">
        <v>263</v>
      </c>
      <c r="M21" s="127" t="s">
        <v>265</v>
      </c>
      <c r="N21" s="127" t="s">
        <v>400</v>
      </c>
      <c r="O21" s="127" t="s">
        <v>401</v>
      </c>
      <c r="P21" s="128" t="s">
        <v>402</v>
      </c>
    </row>
    <row r="22" spans="2:16" x14ac:dyDescent="0.3">
      <c r="B22" s="267">
        <v>46113</v>
      </c>
      <c r="C22" s="122" t="s">
        <v>412</v>
      </c>
      <c r="D22" s="113" t="s">
        <v>412</v>
      </c>
      <c r="E22" s="113" t="s">
        <v>260</v>
      </c>
      <c r="F22" s="114">
        <v>29123</v>
      </c>
      <c r="G22" s="115">
        <v>9</v>
      </c>
      <c r="H22" s="130" t="s">
        <v>418</v>
      </c>
      <c r="J22" s="267">
        <v>46113</v>
      </c>
      <c r="K22" s="122" t="s">
        <v>410</v>
      </c>
      <c r="L22" s="113" t="s">
        <v>113</v>
      </c>
      <c r="M22" s="113" t="s">
        <v>179</v>
      </c>
      <c r="N22" s="114">
        <v>27219</v>
      </c>
      <c r="O22" s="115">
        <v>38</v>
      </c>
      <c r="P22" s="130" t="s">
        <v>418</v>
      </c>
    </row>
    <row r="23" spans="2:16" x14ac:dyDescent="0.3">
      <c r="B23" s="268"/>
      <c r="C23" s="123" t="s">
        <v>412</v>
      </c>
      <c r="D23" s="116" t="s">
        <v>134</v>
      </c>
      <c r="E23" s="116" t="s">
        <v>205</v>
      </c>
      <c r="F23" s="117">
        <v>23142</v>
      </c>
      <c r="G23" s="118">
        <v>5</v>
      </c>
      <c r="H23" s="131" t="s">
        <v>419</v>
      </c>
      <c r="J23" s="268"/>
      <c r="K23" s="123" t="s">
        <v>276</v>
      </c>
      <c r="L23" s="116" t="s">
        <v>148</v>
      </c>
      <c r="M23" s="116" t="s">
        <v>223</v>
      </c>
      <c r="N23" s="117">
        <v>26084</v>
      </c>
      <c r="O23" s="118">
        <v>33</v>
      </c>
      <c r="P23" s="131" t="s">
        <v>419</v>
      </c>
    </row>
    <row r="24" spans="2:16" ht="15" thickBot="1" x14ac:dyDescent="0.35">
      <c r="B24" s="269"/>
      <c r="C24" s="124" t="s">
        <v>276</v>
      </c>
      <c r="D24" s="119" t="s">
        <v>148</v>
      </c>
      <c r="E24" s="119" t="s">
        <v>223</v>
      </c>
      <c r="F24" s="120">
        <v>26084</v>
      </c>
      <c r="G24" s="121">
        <v>3</v>
      </c>
      <c r="H24" s="132" t="s">
        <v>420</v>
      </c>
      <c r="J24" s="269"/>
      <c r="K24" s="124" t="s">
        <v>413</v>
      </c>
      <c r="L24" s="119" t="s">
        <v>116</v>
      </c>
      <c r="M24" s="119" t="s">
        <v>183</v>
      </c>
      <c r="N24" s="120">
        <v>21091</v>
      </c>
      <c r="O24" s="121">
        <v>31</v>
      </c>
      <c r="P24" s="132" t="s">
        <v>420</v>
      </c>
    </row>
    <row r="25" spans="2:16" x14ac:dyDescent="0.3">
      <c r="B25" s="267">
        <v>46143</v>
      </c>
      <c r="C25" s="122" t="s">
        <v>412</v>
      </c>
      <c r="D25" s="113" t="s">
        <v>351</v>
      </c>
      <c r="E25" s="113" t="s">
        <v>194</v>
      </c>
      <c r="F25" s="114">
        <v>22401</v>
      </c>
      <c r="G25" s="115">
        <v>22</v>
      </c>
      <c r="H25" s="130" t="s">
        <v>418</v>
      </c>
      <c r="J25" s="267">
        <v>46143</v>
      </c>
      <c r="K25" s="122" t="s">
        <v>409</v>
      </c>
      <c r="L25" s="113" t="s">
        <v>163</v>
      </c>
      <c r="M25" s="113" t="s">
        <v>249</v>
      </c>
      <c r="N25" s="114">
        <v>28085</v>
      </c>
      <c r="O25" s="115">
        <v>158</v>
      </c>
      <c r="P25" s="130" t="s">
        <v>418</v>
      </c>
    </row>
    <row r="26" spans="2:16" x14ac:dyDescent="0.3">
      <c r="B26" s="268"/>
      <c r="C26" s="123" t="s">
        <v>412</v>
      </c>
      <c r="D26" s="116" t="s">
        <v>152</v>
      </c>
      <c r="E26" s="116" t="s">
        <v>260</v>
      </c>
      <c r="F26" s="117">
        <v>29123</v>
      </c>
      <c r="G26" s="118">
        <v>21</v>
      </c>
      <c r="H26" s="131" t="s">
        <v>419</v>
      </c>
      <c r="J26" s="268"/>
      <c r="K26" s="123" t="s">
        <v>409</v>
      </c>
      <c r="L26" s="116" t="s">
        <v>111</v>
      </c>
      <c r="M26" s="116" t="s">
        <v>226</v>
      </c>
      <c r="N26" s="117">
        <v>26588</v>
      </c>
      <c r="O26" s="118">
        <v>86</v>
      </c>
      <c r="P26" s="131" t="s">
        <v>419</v>
      </c>
    </row>
    <row r="27" spans="2:16" ht="15" thickBot="1" x14ac:dyDescent="0.35">
      <c r="B27" s="269"/>
      <c r="C27" s="124" t="s">
        <v>276</v>
      </c>
      <c r="D27" s="119" t="s">
        <v>124</v>
      </c>
      <c r="E27" s="119" t="s">
        <v>192</v>
      </c>
      <c r="F27" s="120">
        <v>22346</v>
      </c>
      <c r="G27" s="121">
        <v>15</v>
      </c>
      <c r="H27" s="132" t="s">
        <v>420</v>
      </c>
      <c r="J27" s="269"/>
      <c r="K27" s="124" t="s">
        <v>412</v>
      </c>
      <c r="L27" s="119" t="s">
        <v>351</v>
      </c>
      <c r="M27" s="119" t="s">
        <v>194</v>
      </c>
      <c r="N27" s="120">
        <v>22401</v>
      </c>
      <c r="O27" s="121">
        <v>67</v>
      </c>
      <c r="P27" s="132" t="s">
        <v>420</v>
      </c>
    </row>
    <row r="28" spans="2:16" x14ac:dyDescent="0.3">
      <c r="B28" s="267">
        <v>46174</v>
      </c>
      <c r="C28" s="122" t="s">
        <v>433</v>
      </c>
      <c r="D28" s="113" t="s">
        <v>117</v>
      </c>
      <c r="E28" s="113" t="s">
        <v>184</v>
      </c>
      <c r="F28" s="114">
        <v>21583</v>
      </c>
      <c r="G28" s="115">
        <v>15</v>
      </c>
      <c r="H28" s="130" t="s">
        <v>418</v>
      </c>
      <c r="J28" s="267">
        <v>46174</v>
      </c>
      <c r="K28" s="122" t="s">
        <v>276</v>
      </c>
      <c r="L28" s="113" t="s">
        <v>148</v>
      </c>
      <c r="M28" s="113" t="s">
        <v>223</v>
      </c>
      <c r="N28" s="114">
        <v>26084</v>
      </c>
      <c r="O28" s="115">
        <v>47</v>
      </c>
      <c r="P28" s="130" t="s">
        <v>418</v>
      </c>
    </row>
    <row r="29" spans="2:16" x14ac:dyDescent="0.3">
      <c r="B29" s="268"/>
      <c r="C29" s="123" t="s">
        <v>276</v>
      </c>
      <c r="D29" s="116" t="s">
        <v>148</v>
      </c>
      <c r="E29" s="116" t="s">
        <v>223</v>
      </c>
      <c r="F29" s="117">
        <v>26084</v>
      </c>
      <c r="G29" s="118">
        <v>10</v>
      </c>
      <c r="H29" s="131" t="s">
        <v>419</v>
      </c>
      <c r="J29" s="268"/>
      <c r="K29" s="123" t="s">
        <v>409</v>
      </c>
      <c r="L29" s="116" t="s">
        <v>111</v>
      </c>
      <c r="M29" s="116" t="s">
        <v>226</v>
      </c>
      <c r="N29" s="117">
        <v>26588</v>
      </c>
      <c r="O29" s="118">
        <v>33</v>
      </c>
      <c r="P29" s="131" t="s">
        <v>419</v>
      </c>
    </row>
    <row r="30" spans="2:16" ht="15" thickBot="1" x14ac:dyDescent="0.35">
      <c r="B30" s="269"/>
      <c r="C30" s="124" t="s">
        <v>434</v>
      </c>
      <c r="D30" s="119" t="s">
        <v>153</v>
      </c>
      <c r="E30" s="119" t="s">
        <v>231</v>
      </c>
      <c r="F30" s="120">
        <v>27154</v>
      </c>
      <c r="G30" s="121">
        <v>7</v>
      </c>
      <c r="H30" s="132" t="s">
        <v>420</v>
      </c>
      <c r="J30" s="269"/>
      <c r="K30" s="124" t="s">
        <v>413</v>
      </c>
      <c r="L30" s="119" t="s">
        <v>116</v>
      </c>
      <c r="M30" s="119" t="s">
        <v>183</v>
      </c>
      <c r="N30" s="120">
        <v>21091</v>
      </c>
      <c r="O30" s="121">
        <v>30</v>
      </c>
      <c r="P30" s="132" t="s">
        <v>420</v>
      </c>
    </row>
    <row r="31" spans="2:16" ht="4.8" customHeight="1" thickBot="1" x14ac:dyDescent="0.35">
      <c r="N31" s="2"/>
    </row>
    <row r="32" spans="2:16" ht="15" thickBot="1" x14ac:dyDescent="0.35">
      <c r="B32" s="254" t="s">
        <v>416</v>
      </c>
      <c r="C32" s="255"/>
      <c r="D32" s="255"/>
      <c r="E32" s="255"/>
      <c r="F32" s="255"/>
      <c r="G32" s="255"/>
      <c r="H32" s="256"/>
      <c r="J32" s="254" t="s">
        <v>417</v>
      </c>
      <c r="K32" s="255"/>
      <c r="L32" s="255"/>
      <c r="M32" s="255"/>
      <c r="N32" s="255"/>
      <c r="O32" s="255"/>
      <c r="P32" s="256"/>
    </row>
    <row r="33" spans="2:16" s="129" customFormat="1" ht="29.4" thickBot="1" x14ac:dyDescent="0.35">
      <c r="B33" s="125" t="s">
        <v>268</v>
      </c>
      <c r="C33" s="126" t="s">
        <v>407</v>
      </c>
      <c r="D33" s="127" t="s">
        <v>263</v>
      </c>
      <c r="E33" s="127" t="s">
        <v>265</v>
      </c>
      <c r="F33" s="127" t="s">
        <v>400</v>
      </c>
      <c r="G33" s="127" t="s">
        <v>401</v>
      </c>
      <c r="H33" s="128" t="s">
        <v>402</v>
      </c>
      <c r="J33" s="125" t="s">
        <v>268</v>
      </c>
      <c r="K33" s="126" t="s">
        <v>407</v>
      </c>
      <c r="L33" s="127" t="s">
        <v>263</v>
      </c>
      <c r="M33" s="127" t="s">
        <v>265</v>
      </c>
      <c r="N33" s="127" t="s">
        <v>400</v>
      </c>
      <c r="O33" s="127" t="s">
        <v>401</v>
      </c>
      <c r="P33" s="128" t="s">
        <v>402</v>
      </c>
    </row>
    <row r="34" spans="2:16" x14ac:dyDescent="0.3">
      <c r="B34" s="270" t="s">
        <v>411</v>
      </c>
      <c r="C34" s="106" t="s">
        <v>412</v>
      </c>
      <c r="D34" s="106" t="s">
        <v>152</v>
      </c>
      <c r="E34" s="106" t="s">
        <v>260</v>
      </c>
      <c r="F34" s="107">
        <v>29123</v>
      </c>
      <c r="G34" s="110">
        <v>31</v>
      </c>
      <c r="H34" s="133" t="s">
        <v>418</v>
      </c>
      <c r="J34" s="270" t="s">
        <v>411</v>
      </c>
      <c r="K34" s="106" t="s">
        <v>409</v>
      </c>
      <c r="L34" s="106" t="s">
        <v>163</v>
      </c>
      <c r="M34" s="106" t="s">
        <v>249</v>
      </c>
      <c r="N34" s="107">
        <v>28085</v>
      </c>
      <c r="O34" s="110">
        <v>200</v>
      </c>
      <c r="P34" s="133" t="s">
        <v>418</v>
      </c>
    </row>
    <row r="35" spans="2:16" x14ac:dyDescent="0.3">
      <c r="B35" s="271"/>
      <c r="C35" s="104" t="s">
        <v>412</v>
      </c>
      <c r="D35" s="104" t="s">
        <v>351</v>
      </c>
      <c r="E35" s="104" t="s">
        <v>194</v>
      </c>
      <c r="F35" s="105">
        <v>22401</v>
      </c>
      <c r="G35" s="111">
        <v>29</v>
      </c>
      <c r="H35" s="134" t="s">
        <v>419</v>
      </c>
      <c r="J35" s="271"/>
      <c r="K35" s="104" t="s">
        <v>409</v>
      </c>
      <c r="L35" s="104" t="s">
        <v>111</v>
      </c>
      <c r="M35" s="104" t="s">
        <v>226</v>
      </c>
      <c r="N35" s="105">
        <v>26588</v>
      </c>
      <c r="O35" s="111">
        <v>139</v>
      </c>
      <c r="P35" s="134" t="s">
        <v>419</v>
      </c>
    </row>
    <row r="36" spans="2:16" ht="15" thickBot="1" x14ac:dyDescent="0.35">
      <c r="B36" s="272"/>
      <c r="C36" s="108" t="s">
        <v>276</v>
      </c>
      <c r="D36" s="108" t="s">
        <v>148</v>
      </c>
      <c r="E36" s="108" t="s">
        <v>223</v>
      </c>
      <c r="F36" s="109">
        <v>26084</v>
      </c>
      <c r="G36" s="112">
        <v>23</v>
      </c>
      <c r="H36" s="135" t="s">
        <v>420</v>
      </c>
      <c r="J36" s="272"/>
      <c r="K36" s="108" t="s">
        <v>276</v>
      </c>
      <c r="L36" s="108" t="s">
        <v>148</v>
      </c>
      <c r="M36" s="108" t="s">
        <v>223</v>
      </c>
      <c r="N36" s="109">
        <v>26084</v>
      </c>
      <c r="O36" s="112">
        <v>137</v>
      </c>
      <c r="P36" s="135" t="s">
        <v>420</v>
      </c>
    </row>
  </sheetData>
  <mergeCells count="24">
    <mergeCell ref="B34:B36"/>
    <mergeCell ref="J16:J18"/>
    <mergeCell ref="J34:J36"/>
    <mergeCell ref="B14:H14"/>
    <mergeCell ref="J14:P14"/>
    <mergeCell ref="B32:H32"/>
    <mergeCell ref="J32:P32"/>
    <mergeCell ref="B28:B30"/>
    <mergeCell ref="J22:J24"/>
    <mergeCell ref="J25:J27"/>
    <mergeCell ref="J28:J30"/>
    <mergeCell ref="B20:H20"/>
    <mergeCell ref="J2:P2"/>
    <mergeCell ref="J4:J6"/>
    <mergeCell ref="J7:J9"/>
    <mergeCell ref="B22:B24"/>
    <mergeCell ref="B25:B27"/>
    <mergeCell ref="B2:H2"/>
    <mergeCell ref="B4:B6"/>
    <mergeCell ref="B7:B9"/>
    <mergeCell ref="J10:J12"/>
    <mergeCell ref="J20:P20"/>
    <mergeCell ref="B10:B12"/>
    <mergeCell ref="B16:B1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CDC8-2309-4FD5-8839-755CD9F89C72}">
  <dimension ref="B1:P36"/>
  <sheetViews>
    <sheetView workbookViewId="0">
      <selection activeCell="L17" sqref="L17"/>
    </sheetView>
  </sheetViews>
  <sheetFormatPr defaultRowHeight="14.4" x14ac:dyDescent="0.3"/>
  <cols>
    <col min="1" max="1" width="3.33203125" style="2" customWidth="1"/>
    <col min="2" max="2" width="8.21875" style="2" bestFit="1" customWidth="1"/>
    <col min="3" max="3" width="9.44140625" style="2" bestFit="1" customWidth="1"/>
    <col min="4" max="4" width="20" style="2" bestFit="1" customWidth="1"/>
    <col min="5" max="5" width="7.21875" style="6" bestFit="1" customWidth="1"/>
    <col min="6" max="6" width="9.44140625" style="6" bestFit="1" customWidth="1"/>
    <col min="7" max="7" width="5.44140625" style="6" bestFit="1" customWidth="1"/>
    <col min="8" max="8" width="6" style="2" bestFit="1" customWidth="1"/>
    <col min="9" max="9" width="3.33203125" style="2" customWidth="1"/>
    <col min="10" max="10" width="8.21875" style="2" customWidth="1"/>
    <col min="11" max="11" width="9.44140625" style="2" bestFit="1" customWidth="1"/>
    <col min="12" max="12" width="20.21875" style="2" bestFit="1" customWidth="1"/>
    <col min="13" max="13" width="7.21875" style="6" bestFit="1" customWidth="1"/>
    <col min="14" max="14" width="13.77734375" style="2" bestFit="1" customWidth="1"/>
    <col min="15" max="16" width="6" style="2" bestFit="1" customWidth="1"/>
    <col min="17" max="17" width="3.33203125" style="2" customWidth="1"/>
    <col min="18" max="18" width="7.44140625" style="2" bestFit="1" customWidth="1"/>
    <col min="19" max="19" width="16.44140625" style="2" bestFit="1" customWidth="1"/>
    <col min="20" max="20" width="12.33203125" style="2" bestFit="1" customWidth="1"/>
    <col min="21" max="21" width="18.88671875" style="2" bestFit="1" customWidth="1"/>
    <col min="22" max="22" width="6" style="2" bestFit="1" customWidth="1"/>
    <col min="23" max="23" width="7.88671875" style="2" bestFit="1" customWidth="1"/>
    <col min="24" max="24" width="5.21875" style="2" bestFit="1" customWidth="1"/>
    <col min="25" max="25" width="3.33203125" style="2" customWidth="1"/>
    <col min="26" max="26" width="10.33203125" style="2" bestFit="1" customWidth="1"/>
    <col min="27" max="27" width="16.44140625" style="2" bestFit="1" customWidth="1"/>
    <col min="28" max="28" width="9.88671875" style="2" bestFit="1" customWidth="1"/>
    <col min="29" max="29" width="18.5546875" style="2" bestFit="1" customWidth="1"/>
    <col min="30" max="30" width="6" style="2" bestFit="1" customWidth="1"/>
    <col min="31" max="31" width="7.88671875" style="2" bestFit="1" customWidth="1"/>
    <col min="32" max="32" width="5.21875" style="2" bestFit="1" customWidth="1"/>
    <col min="33" max="16384" width="8.88671875" style="2"/>
  </cols>
  <sheetData>
    <row r="1" spans="2:16" ht="15" thickBot="1" x14ac:dyDescent="0.35"/>
    <row r="2" spans="2:16" ht="15" thickBot="1" x14ac:dyDescent="0.35">
      <c r="B2" s="227" t="s">
        <v>421</v>
      </c>
      <c r="C2" s="228"/>
      <c r="D2" s="228"/>
      <c r="E2" s="228"/>
      <c r="F2" s="228"/>
      <c r="G2" s="228"/>
      <c r="H2" s="229"/>
      <c r="J2" s="227" t="s">
        <v>422</v>
      </c>
      <c r="K2" s="228"/>
      <c r="L2" s="228"/>
      <c r="M2" s="228"/>
      <c r="N2" s="228"/>
      <c r="O2" s="228"/>
      <c r="P2" s="229"/>
    </row>
    <row r="3" spans="2:16" s="140" customFormat="1" ht="15" thickBot="1" x14ac:dyDescent="0.35">
      <c r="B3" s="136" t="s">
        <v>268</v>
      </c>
      <c r="C3" s="137" t="s">
        <v>272</v>
      </c>
      <c r="D3" s="138" t="s">
        <v>264</v>
      </c>
      <c r="E3" s="138" t="s">
        <v>280</v>
      </c>
      <c r="F3" s="138" t="s">
        <v>435</v>
      </c>
      <c r="G3" s="153" t="s">
        <v>380</v>
      </c>
      <c r="H3" s="139" t="s">
        <v>402</v>
      </c>
      <c r="J3" s="136" t="s">
        <v>268</v>
      </c>
      <c r="K3" s="137" t="s">
        <v>272</v>
      </c>
      <c r="L3" s="138" t="s">
        <v>264</v>
      </c>
      <c r="M3" s="138" t="s">
        <v>280</v>
      </c>
      <c r="N3" s="138" t="s">
        <v>435</v>
      </c>
      <c r="O3" s="153" t="s">
        <v>380</v>
      </c>
      <c r="P3" s="139" t="s">
        <v>402</v>
      </c>
    </row>
    <row r="4" spans="2:16" x14ac:dyDescent="0.3">
      <c r="B4" s="267">
        <v>46113</v>
      </c>
      <c r="C4" s="122" t="s">
        <v>277</v>
      </c>
      <c r="D4" s="113" t="s">
        <v>98</v>
      </c>
      <c r="E4" s="114">
        <v>90</v>
      </c>
      <c r="F4" s="160">
        <v>66</v>
      </c>
      <c r="G4" s="161">
        <f>F4/E4</f>
        <v>0.73333333333333328</v>
      </c>
      <c r="H4" s="141" t="s">
        <v>418</v>
      </c>
      <c r="J4" s="267">
        <v>46113</v>
      </c>
      <c r="K4" s="122" t="s">
        <v>278</v>
      </c>
      <c r="L4" s="113" t="s">
        <v>102</v>
      </c>
      <c r="M4" s="114">
        <v>36</v>
      </c>
      <c r="N4" s="160">
        <v>16</v>
      </c>
      <c r="O4" s="161">
        <f>N4/M4</f>
        <v>0.44444444444444442</v>
      </c>
      <c r="P4" s="141" t="s">
        <v>418</v>
      </c>
    </row>
    <row r="5" spans="2:16" x14ac:dyDescent="0.3">
      <c r="B5" s="268"/>
      <c r="C5" s="123" t="s">
        <v>278</v>
      </c>
      <c r="D5" s="116" t="s">
        <v>97</v>
      </c>
      <c r="E5" s="117">
        <v>150</v>
      </c>
      <c r="F5" s="162">
        <v>81</v>
      </c>
      <c r="G5" s="163">
        <f t="shared" ref="G5:G6" si="0">F5/E5</f>
        <v>0.54</v>
      </c>
      <c r="H5" s="143" t="s">
        <v>419</v>
      </c>
      <c r="J5" s="268"/>
      <c r="K5" s="123" t="s">
        <v>277</v>
      </c>
      <c r="L5" s="116" t="s">
        <v>98</v>
      </c>
      <c r="M5" s="117">
        <v>36</v>
      </c>
      <c r="N5" s="162">
        <v>13</v>
      </c>
      <c r="O5" s="163">
        <f t="shared" ref="O5:O6" si="1">N5/M5</f>
        <v>0.3611111111111111</v>
      </c>
      <c r="P5" s="143" t="s">
        <v>419</v>
      </c>
    </row>
    <row r="6" spans="2:16" ht="15" thickBot="1" x14ac:dyDescent="0.35">
      <c r="B6" s="269"/>
      <c r="C6" s="124" t="s">
        <v>277</v>
      </c>
      <c r="D6" s="119" t="s">
        <v>103</v>
      </c>
      <c r="E6" s="120">
        <v>30</v>
      </c>
      <c r="F6" s="164">
        <v>13</v>
      </c>
      <c r="G6" s="165">
        <f t="shared" si="0"/>
        <v>0.43333333333333335</v>
      </c>
      <c r="H6" s="145" t="s">
        <v>420</v>
      </c>
      <c r="J6" s="269"/>
      <c r="K6" s="124" t="s">
        <v>277</v>
      </c>
      <c r="L6" s="119" t="s">
        <v>93</v>
      </c>
      <c r="M6" s="120">
        <v>48</v>
      </c>
      <c r="N6" s="164">
        <v>15</v>
      </c>
      <c r="O6" s="165">
        <f t="shared" si="1"/>
        <v>0.3125</v>
      </c>
      <c r="P6" s="145" t="s">
        <v>420</v>
      </c>
    </row>
    <row r="7" spans="2:16" x14ac:dyDescent="0.3">
      <c r="B7" s="267">
        <v>46143</v>
      </c>
      <c r="C7" s="122" t="s">
        <v>278</v>
      </c>
      <c r="D7" s="113" t="s">
        <v>96</v>
      </c>
      <c r="E7" s="114">
        <v>390</v>
      </c>
      <c r="F7" s="160">
        <v>386</v>
      </c>
      <c r="G7" s="161">
        <f>F7/E7</f>
        <v>0.98974358974358978</v>
      </c>
      <c r="H7" s="141" t="s">
        <v>418</v>
      </c>
      <c r="J7" s="267">
        <v>46143</v>
      </c>
      <c r="K7" s="122" t="s">
        <v>278</v>
      </c>
      <c r="L7" s="113" t="s">
        <v>102</v>
      </c>
      <c r="M7" s="114">
        <v>36</v>
      </c>
      <c r="N7" s="160">
        <v>53</v>
      </c>
      <c r="O7" s="161">
        <f>N7/M7</f>
        <v>1.4722222222222223</v>
      </c>
      <c r="P7" s="141" t="s">
        <v>418</v>
      </c>
    </row>
    <row r="8" spans="2:16" x14ac:dyDescent="0.3">
      <c r="B8" s="268"/>
      <c r="C8" s="123" t="s">
        <v>277</v>
      </c>
      <c r="D8" s="116" t="s">
        <v>98</v>
      </c>
      <c r="E8" s="117">
        <v>90</v>
      </c>
      <c r="F8" s="162">
        <v>81</v>
      </c>
      <c r="G8" s="163">
        <f t="shared" ref="G8:G9" si="2">F8/E8</f>
        <v>0.9</v>
      </c>
      <c r="H8" s="143" t="s">
        <v>419</v>
      </c>
      <c r="J8" s="268"/>
      <c r="K8" s="123" t="s">
        <v>278</v>
      </c>
      <c r="L8" s="116" t="s">
        <v>96</v>
      </c>
      <c r="M8" s="117">
        <v>156</v>
      </c>
      <c r="N8" s="162">
        <v>115</v>
      </c>
      <c r="O8" s="163">
        <f t="shared" ref="O8:O9" si="3">N8/M8</f>
        <v>0.73717948717948723</v>
      </c>
      <c r="P8" s="143" t="s">
        <v>419</v>
      </c>
    </row>
    <row r="9" spans="2:16" ht="15" thickBot="1" x14ac:dyDescent="0.35">
      <c r="B9" s="269"/>
      <c r="C9" s="124" t="s">
        <v>277</v>
      </c>
      <c r="D9" s="119" t="s">
        <v>101</v>
      </c>
      <c r="E9" s="120">
        <v>60</v>
      </c>
      <c r="F9" s="164">
        <v>50</v>
      </c>
      <c r="G9" s="165">
        <f t="shared" si="2"/>
        <v>0.83333333333333337</v>
      </c>
      <c r="H9" s="145" t="s">
        <v>420</v>
      </c>
      <c r="J9" s="269"/>
      <c r="K9" s="124" t="s">
        <v>276</v>
      </c>
      <c r="L9" s="119" t="s">
        <v>94</v>
      </c>
      <c r="M9" s="120">
        <v>408</v>
      </c>
      <c r="N9" s="164">
        <v>200</v>
      </c>
      <c r="O9" s="165">
        <f t="shared" si="3"/>
        <v>0.49019607843137253</v>
      </c>
      <c r="P9" s="145" t="s">
        <v>420</v>
      </c>
    </row>
    <row r="10" spans="2:16" x14ac:dyDescent="0.3">
      <c r="B10" s="267">
        <v>46174</v>
      </c>
      <c r="C10" s="122" t="s">
        <v>277</v>
      </c>
      <c r="D10" s="113" t="s">
        <v>98</v>
      </c>
      <c r="E10" s="114">
        <v>90</v>
      </c>
      <c r="F10" s="160">
        <v>104</v>
      </c>
      <c r="G10" s="161">
        <f>F10/E10</f>
        <v>1.1555555555555554</v>
      </c>
      <c r="H10" s="141" t="s">
        <v>418</v>
      </c>
      <c r="J10" s="267">
        <v>46174</v>
      </c>
      <c r="K10" s="122" t="s">
        <v>278</v>
      </c>
      <c r="L10" s="113" t="s">
        <v>102</v>
      </c>
      <c r="M10" s="114">
        <v>36</v>
      </c>
      <c r="N10" s="142">
        <v>13</v>
      </c>
      <c r="O10" s="161">
        <f>N10/M10</f>
        <v>0.3611111111111111</v>
      </c>
      <c r="P10" s="141" t="s">
        <v>418</v>
      </c>
    </row>
    <row r="11" spans="2:16" x14ac:dyDescent="0.3">
      <c r="B11" s="268"/>
      <c r="C11" s="123" t="s">
        <v>278</v>
      </c>
      <c r="D11" s="116" t="s">
        <v>97</v>
      </c>
      <c r="E11" s="117">
        <v>120</v>
      </c>
      <c r="F11" s="162">
        <v>81</v>
      </c>
      <c r="G11" s="163">
        <f t="shared" ref="G11:G12" si="4">F11/E11</f>
        <v>0.67500000000000004</v>
      </c>
      <c r="H11" s="143" t="s">
        <v>419</v>
      </c>
      <c r="J11" s="268"/>
      <c r="K11" s="123" t="s">
        <v>276</v>
      </c>
      <c r="L11" s="116" t="s">
        <v>94</v>
      </c>
      <c r="M11" s="117">
        <v>420</v>
      </c>
      <c r="N11" s="144">
        <v>146</v>
      </c>
      <c r="O11" s="163">
        <f t="shared" ref="O11:O12" si="5">N11/M11</f>
        <v>0.34761904761904761</v>
      </c>
      <c r="P11" s="143" t="s">
        <v>419</v>
      </c>
    </row>
    <row r="12" spans="2:16" ht="15" thickBot="1" x14ac:dyDescent="0.35">
      <c r="B12" s="269"/>
      <c r="C12" s="124" t="s">
        <v>277</v>
      </c>
      <c r="D12" s="119" t="s">
        <v>93</v>
      </c>
      <c r="E12" s="120">
        <v>150</v>
      </c>
      <c r="F12" s="164">
        <v>84</v>
      </c>
      <c r="G12" s="165">
        <f t="shared" si="4"/>
        <v>0.56000000000000005</v>
      </c>
      <c r="H12" s="145" t="s">
        <v>420</v>
      </c>
      <c r="J12" s="269"/>
      <c r="K12" s="124" t="s">
        <v>278</v>
      </c>
      <c r="L12" s="119" t="s">
        <v>97</v>
      </c>
      <c r="M12" s="120">
        <v>48</v>
      </c>
      <c r="N12" s="146">
        <v>10</v>
      </c>
      <c r="O12" s="165">
        <f t="shared" si="5"/>
        <v>0.20833333333333334</v>
      </c>
      <c r="P12" s="145" t="s">
        <v>420</v>
      </c>
    </row>
    <row r="13" spans="2:16" ht="4.2" customHeight="1" thickBot="1" x14ac:dyDescent="0.35"/>
    <row r="14" spans="2:16" ht="15" thickBot="1" x14ac:dyDescent="0.35">
      <c r="B14" s="227" t="s">
        <v>427</v>
      </c>
      <c r="C14" s="228"/>
      <c r="D14" s="228"/>
      <c r="E14" s="228"/>
      <c r="F14" s="228"/>
      <c r="G14" s="228"/>
      <c r="H14" s="229"/>
      <c r="J14" s="227" t="s">
        <v>428</v>
      </c>
      <c r="K14" s="228"/>
      <c r="L14" s="228"/>
      <c r="M14" s="228"/>
      <c r="N14" s="228"/>
      <c r="O14" s="228"/>
      <c r="P14" s="229"/>
    </row>
    <row r="15" spans="2:16" s="140" customFormat="1" ht="15" thickBot="1" x14ac:dyDescent="0.35">
      <c r="B15" s="136" t="s">
        <v>268</v>
      </c>
      <c r="C15" s="137" t="s">
        <v>272</v>
      </c>
      <c r="D15" s="138" t="s">
        <v>264</v>
      </c>
      <c r="E15" s="138" t="s">
        <v>280</v>
      </c>
      <c r="F15" s="138" t="s">
        <v>435</v>
      </c>
      <c r="G15" s="153" t="s">
        <v>380</v>
      </c>
      <c r="H15" s="139" t="s">
        <v>402</v>
      </c>
      <c r="J15" s="136" t="s">
        <v>268</v>
      </c>
      <c r="K15" s="137" t="s">
        <v>272</v>
      </c>
      <c r="L15" s="138" t="s">
        <v>264</v>
      </c>
      <c r="M15" s="138" t="s">
        <v>280</v>
      </c>
      <c r="N15" s="138" t="s">
        <v>435</v>
      </c>
      <c r="O15" s="153" t="s">
        <v>380</v>
      </c>
      <c r="P15" s="139" t="s">
        <v>402</v>
      </c>
    </row>
    <row r="16" spans="2:16" x14ac:dyDescent="0.3">
      <c r="B16" s="273" t="s">
        <v>411</v>
      </c>
      <c r="C16" s="106" t="s">
        <v>277</v>
      </c>
      <c r="D16" s="106" t="s">
        <v>98</v>
      </c>
      <c r="E16" s="107">
        <v>270</v>
      </c>
      <c r="F16" s="154">
        <v>251</v>
      </c>
      <c r="G16" s="157">
        <f>F16/E16</f>
        <v>0.92962962962962958</v>
      </c>
      <c r="H16" s="148" t="s">
        <v>418</v>
      </c>
      <c r="J16" s="273" t="s">
        <v>411</v>
      </c>
      <c r="K16" s="106" t="s">
        <v>278</v>
      </c>
      <c r="L16" s="106" t="s">
        <v>102</v>
      </c>
      <c r="M16" s="107">
        <v>108</v>
      </c>
      <c r="N16" s="147">
        <v>82</v>
      </c>
      <c r="O16" s="157">
        <f>N16/M16</f>
        <v>0.7592592592592593</v>
      </c>
      <c r="P16" s="148" t="s">
        <v>418</v>
      </c>
    </row>
    <row r="17" spans="2:16" x14ac:dyDescent="0.3">
      <c r="B17" s="274"/>
      <c r="C17" s="104" t="s">
        <v>278</v>
      </c>
      <c r="D17" s="104" t="s">
        <v>97</v>
      </c>
      <c r="E17" s="105">
        <v>450</v>
      </c>
      <c r="F17" s="155">
        <v>307</v>
      </c>
      <c r="G17" s="158">
        <f t="shared" ref="G17:G18" si="6">F17/E17</f>
        <v>0.68222222222222217</v>
      </c>
      <c r="H17" s="150" t="s">
        <v>419</v>
      </c>
      <c r="J17" s="274"/>
      <c r="K17" s="104" t="s">
        <v>278</v>
      </c>
      <c r="L17" s="104" t="s">
        <v>96</v>
      </c>
      <c r="M17" s="105">
        <v>456</v>
      </c>
      <c r="N17" s="149">
        <v>177</v>
      </c>
      <c r="O17" s="158">
        <f t="shared" ref="O17:O18" si="7">N17/M17</f>
        <v>0.38815789473684209</v>
      </c>
      <c r="P17" s="150" t="s">
        <v>419</v>
      </c>
    </row>
    <row r="18" spans="2:16" ht="15" thickBot="1" x14ac:dyDescent="0.35">
      <c r="B18" s="275"/>
      <c r="C18" s="108" t="s">
        <v>278</v>
      </c>
      <c r="D18" s="108" t="s">
        <v>96</v>
      </c>
      <c r="E18" s="109">
        <v>1140</v>
      </c>
      <c r="F18" s="156">
        <v>632</v>
      </c>
      <c r="G18" s="159">
        <f t="shared" si="6"/>
        <v>0.55438596491228065</v>
      </c>
      <c r="H18" s="152" t="s">
        <v>420</v>
      </c>
      <c r="J18" s="275"/>
      <c r="K18" s="108" t="s">
        <v>276</v>
      </c>
      <c r="L18" s="108" t="s">
        <v>94</v>
      </c>
      <c r="M18" s="109">
        <v>1236</v>
      </c>
      <c r="N18" s="151">
        <v>445</v>
      </c>
      <c r="O18" s="159">
        <f t="shared" si="7"/>
        <v>0.36003236245954695</v>
      </c>
      <c r="P18" s="152" t="s">
        <v>420</v>
      </c>
    </row>
    <row r="19" spans="2:16" ht="15" thickBot="1" x14ac:dyDescent="0.35"/>
    <row r="20" spans="2:16" ht="15" thickBot="1" x14ac:dyDescent="0.35">
      <c r="B20" s="227" t="s">
        <v>423</v>
      </c>
      <c r="C20" s="228"/>
      <c r="D20" s="228"/>
      <c r="E20" s="228"/>
      <c r="F20" s="228"/>
      <c r="G20" s="228"/>
      <c r="H20" s="229"/>
      <c r="J20" s="227" t="s">
        <v>424</v>
      </c>
      <c r="K20" s="228"/>
      <c r="L20" s="228"/>
      <c r="M20" s="228"/>
      <c r="N20" s="228"/>
      <c r="O20" s="228"/>
      <c r="P20" s="229"/>
    </row>
    <row r="21" spans="2:16" s="140" customFormat="1" ht="15" thickBot="1" x14ac:dyDescent="0.35">
      <c r="B21" s="136" t="s">
        <v>268</v>
      </c>
      <c r="C21" s="137" t="s">
        <v>272</v>
      </c>
      <c r="D21" s="138" t="s">
        <v>264</v>
      </c>
      <c r="E21" s="138" t="s">
        <v>280</v>
      </c>
      <c r="F21" s="138" t="s">
        <v>435</v>
      </c>
      <c r="G21" s="153" t="s">
        <v>380</v>
      </c>
      <c r="H21" s="139" t="s">
        <v>402</v>
      </c>
      <c r="J21" s="136" t="s">
        <v>268</v>
      </c>
      <c r="K21" s="137" t="s">
        <v>272</v>
      </c>
      <c r="L21" s="138" t="s">
        <v>264</v>
      </c>
      <c r="M21" s="138" t="s">
        <v>280</v>
      </c>
      <c r="N21" s="138" t="s">
        <v>435</v>
      </c>
      <c r="O21" s="153" t="s">
        <v>380</v>
      </c>
      <c r="P21" s="139" t="s">
        <v>402</v>
      </c>
    </row>
    <row r="22" spans="2:16" x14ac:dyDescent="0.3">
      <c r="B22" s="267">
        <v>46113</v>
      </c>
      <c r="C22" s="122" t="s">
        <v>278</v>
      </c>
      <c r="D22" s="113" t="s">
        <v>102</v>
      </c>
      <c r="E22" s="114">
        <v>45</v>
      </c>
      <c r="F22" s="160">
        <v>4</v>
      </c>
      <c r="G22" s="161">
        <f t="shared" ref="G22:G24" si="8">F22/E22</f>
        <v>8.8888888888888892E-2</v>
      </c>
      <c r="H22" s="141" t="s">
        <v>418</v>
      </c>
      <c r="J22" s="267">
        <v>46113</v>
      </c>
      <c r="K22" s="122" t="s">
        <v>277</v>
      </c>
      <c r="L22" s="113" t="s">
        <v>101</v>
      </c>
      <c r="M22" s="114">
        <v>48</v>
      </c>
      <c r="N22" s="160">
        <v>22</v>
      </c>
      <c r="O22" s="161">
        <f>N22/M22</f>
        <v>0.45833333333333331</v>
      </c>
      <c r="P22" s="141" t="s">
        <v>418</v>
      </c>
    </row>
    <row r="23" spans="2:16" x14ac:dyDescent="0.3">
      <c r="B23" s="268"/>
      <c r="C23" s="123" t="s">
        <v>276</v>
      </c>
      <c r="D23" s="116" t="s">
        <v>94</v>
      </c>
      <c r="E23" s="117">
        <v>510</v>
      </c>
      <c r="F23" s="162">
        <v>21</v>
      </c>
      <c r="G23" s="163">
        <f t="shared" si="8"/>
        <v>4.1176470588235294E-2</v>
      </c>
      <c r="H23" s="143" t="s">
        <v>419</v>
      </c>
      <c r="J23" s="268"/>
      <c r="K23" s="123" t="s">
        <v>278</v>
      </c>
      <c r="L23" s="116" t="s">
        <v>97</v>
      </c>
      <c r="M23" s="117">
        <v>120</v>
      </c>
      <c r="N23" s="162">
        <v>55</v>
      </c>
      <c r="O23" s="163">
        <f t="shared" ref="O23:O24" si="9">N23/M23</f>
        <v>0.45833333333333331</v>
      </c>
      <c r="P23" s="143" t="s">
        <v>419</v>
      </c>
    </row>
    <row r="24" spans="2:16" ht="15" thickBot="1" x14ac:dyDescent="0.35">
      <c r="B24" s="269"/>
      <c r="C24" s="124" t="s">
        <v>277</v>
      </c>
      <c r="D24" s="119" t="s">
        <v>345</v>
      </c>
      <c r="E24" s="120">
        <v>105</v>
      </c>
      <c r="F24" s="164">
        <v>4</v>
      </c>
      <c r="G24" s="165">
        <f t="shared" si="8"/>
        <v>3.8095238095238099E-2</v>
      </c>
      <c r="H24" s="145" t="s">
        <v>420</v>
      </c>
      <c r="J24" s="269"/>
      <c r="K24" s="124" t="s">
        <v>277</v>
      </c>
      <c r="L24" s="119" t="s">
        <v>93</v>
      </c>
      <c r="M24" s="120">
        <v>96</v>
      </c>
      <c r="N24" s="164">
        <v>43</v>
      </c>
      <c r="O24" s="165">
        <f t="shared" si="9"/>
        <v>0.44791666666666669</v>
      </c>
      <c r="P24" s="145" t="s">
        <v>420</v>
      </c>
    </row>
    <row r="25" spans="2:16" x14ac:dyDescent="0.3">
      <c r="B25" s="267">
        <v>46143</v>
      </c>
      <c r="C25" s="122" t="s">
        <v>276</v>
      </c>
      <c r="D25" s="113" t="s">
        <v>94</v>
      </c>
      <c r="E25" s="114">
        <v>510</v>
      </c>
      <c r="F25" s="160">
        <v>80</v>
      </c>
      <c r="G25" s="161">
        <f>F25/E25</f>
        <v>0.15686274509803921</v>
      </c>
      <c r="H25" s="141" t="s">
        <v>418</v>
      </c>
      <c r="J25" s="267">
        <v>46143</v>
      </c>
      <c r="K25" s="122" t="s">
        <v>278</v>
      </c>
      <c r="L25" s="113" t="s">
        <v>96</v>
      </c>
      <c r="M25" s="114">
        <v>312</v>
      </c>
      <c r="N25" s="160">
        <v>311</v>
      </c>
      <c r="O25" s="161">
        <f>N25/M25</f>
        <v>0.99679487179487181</v>
      </c>
      <c r="P25" s="141" t="s">
        <v>418</v>
      </c>
    </row>
    <row r="26" spans="2:16" x14ac:dyDescent="0.3">
      <c r="B26" s="268"/>
      <c r="C26" s="123" t="s">
        <v>278</v>
      </c>
      <c r="D26" s="116" t="s">
        <v>102</v>
      </c>
      <c r="E26" s="117">
        <v>45</v>
      </c>
      <c r="F26" s="162">
        <v>6</v>
      </c>
      <c r="G26" s="163">
        <f t="shared" ref="G26:G27" si="10">F26/E26</f>
        <v>0.13333333333333333</v>
      </c>
      <c r="H26" s="143" t="s">
        <v>419</v>
      </c>
      <c r="J26" s="268"/>
      <c r="K26" s="123" t="s">
        <v>277</v>
      </c>
      <c r="L26" s="116" t="s">
        <v>101</v>
      </c>
      <c r="M26" s="117">
        <v>48</v>
      </c>
      <c r="N26" s="162">
        <v>45</v>
      </c>
      <c r="O26" s="163">
        <f t="shared" ref="O26:O27" si="11">N26/M26</f>
        <v>0.9375</v>
      </c>
      <c r="P26" s="143" t="s">
        <v>419</v>
      </c>
    </row>
    <row r="27" spans="2:16" ht="15" thickBot="1" x14ac:dyDescent="0.35">
      <c r="B27" s="269"/>
      <c r="C27" s="124" t="s">
        <v>277</v>
      </c>
      <c r="D27" s="119" t="s">
        <v>98</v>
      </c>
      <c r="E27" s="120">
        <v>45</v>
      </c>
      <c r="F27" s="164">
        <v>3</v>
      </c>
      <c r="G27" s="165">
        <f t="shared" si="10"/>
        <v>6.6666666666666666E-2</v>
      </c>
      <c r="H27" s="145" t="s">
        <v>420</v>
      </c>
      <c r="J27" s="269"/>
      <c r="K27" s="124" t="s">
        <v>277</v>
      </c>
      <c r="L27" s="119" t="s">
        <v>103</v>
      </c>
      <c r="M27" s="120">
        <v>24</v>
      </c>
      <c r="N27" s="164">
        <v>18</v>
      </c>
      <c r="O27" s="165">
        <f t="shared" si="11"/>
        <v>0.75</v>
      </c>
      <c r="P27" s="145" t="s">
        <v>420</v>
      </c>
    </row>
    <row r="28" spans="2:16" x14ac:dyDescent="0.3">
      <c r="B28" s="267">
        <v>46174</v>
      </c>
      <c r="C28" s="122" t="s">
        <v>277</v>
      </c>
      <c r="D28" s="113" t="s">
        <v>100</v>
      </c>
      <c r="E28" s="114">
        <v>30</v>
      </c>
      <c r="F28" s="142">
        <v>16</v>
      </c>
      <c r="G28" s="161">
        <f>F28/E28</f>
        <v>0.53333333333333333</v>
      </c>
      <c r="H28" s="141" t="s">
        <v>418</v>
      </c>
      <c r="J28" s="267">
        <v>46174</v>
      </c>
      <c r="K28" s="122" t="s">
        <v>278</v>
      </c>
      <c r="L28" s="113" t="s">
        <v>102</v>
      </c>
      <c r="M28" s="114">
        <v>72</v>
      </c>
      <c r="N28" s="142">
        <v>42</v>
      </c>
      <c r="O28" s="161">
        <f>N28/M28</f>
        <v>0.58333333333333337</v>
      </c>
      <c r="P28" s="141" t="s">
        <v>418</v>
      </c>
    </row>
    <row r="29" spans="2:16" x14ac:dyDescent="0.3">
      <c r="B29" s="268"/>
      <c r="C29" s="123" t="s">
        <v>278</v>
      </c>
      <c r="D29" s="116" t="s">
        <v>102</v>
      </c>
      <c r="E29" s="117">
        <v>45</v>
      </c>
      <c r="F29" s="144">
        <v>13</v>
      </c>
      <c r="G29" s="163">
        <f t="shared" ref="G29:G30" si="12">F29/E29</f>
        <v>0.28888888888888886</v>
      </c>
      <c r="H29" s="143" t="s">
        <v>419</v>
      </c>
      <c r="J29" s="268"/>
      <c r="K29" s="123" t="s">
        <v>277</v>
      </c>
      <c r="L29" s="116" t="s">
        <v>93</v>
      </c>
      <c r="M29" s="117">
        <v>120</v>
      </c>
      <c r="N29" s="144">
        <v>64</v>
      </c>
      <c r="O29" s="163">
        <f t="shared" ref="O29:O30" si="13">N29/M29</f>
        <v>0.53333333333333333</v>
      </c>
      <c r="P29" s="143" t="s">
        <v>419</v>
      </c>
    </row>
    <row r="30" spans="2:16" ht="15" thickBot="1" x14ac:dyDescent="0.35">
      <c r="B30" s="269"/>
      <c r="C30" s="124" t="s">
        <v>276</v>
      </c>
      <c r="D30" s="119" t="s">
        <v>94</v>
      </c>
      <c r="E30" s="120">
        <v>525</v>
      </c>
      <c r="F30" s="146">
        <v>37</v>
      </c>
      <c r="G30" s="165">
        <f t="shared" si="12"/>
        <v>7.047619047619047E-2</v>
      </c>
      <c r="H30" s="145" t="s">
        <v>420</v>
      </c>
      <c r="J30" s="269"/>
      <c r="K30" s="124" t="s">
        <v>277</v>
      </c>
      <c r="L30" s="119" t="s">
        <v>101</v>
      </c>
      <c r="M30" s="120">
        <v>48</v>
      </c>
      <c r="N30" s="146">
        <v>22</v>
      </c>
      <c r="O30" s="165">
        <f t="shared" si="13"/>
        <v>0.45833333333333331</v>
      </c>
      <c r="P30" s="145" t="s">
        <v>420</v>
      </c>
    </row>
    <row r="31" spans="2:16" ht="4.2" customHeight="1" thickBot="1" x14ac:dyDescent="0.35"/>
    <row r="32" spans="2:16" ht="15" thickBot="1" x14ac:dyDescent="0.35">
      <c r="B32" s="227" t="s">
        <v>425</v>
      </c>
      <c r="C32" s="228"/>
      <c r="D32" s="228"/>
      <c r="E32" s="228"/>
      <c r="F32" s="228"/>
      <c r="G32" s="228"/>
      <c r="H32" s="229"/>
      <c r="J32" s="227" t="s">
        <v>426</v>
      </c>
      <c r="K32" s="228"/>
      <c r="L32" s="228"/>
      <c r="M32" s="228"/>
      <c r="N32" s="228"/>
      <c r="O32" s="228"/>
      <c r="P32" s="229"/>
    </row>
    <row r="33" spans="2:16" s="140" customFormat="1" ht="15" thickBot="1" x14ac:dyDescent="0.35">
      <c r="B33" s="136" t="s">
        <v>268</v>
      </c>
      <c r="C33" s="137" t="s">
        <v>272</v>
      </c>
      <c r="D33" s="138" t="s">
        <v>264</v>
      </c>
      <c r="E33" s="138" t="s">
        <v>280</v>
      </c>
      <c r="F33" s="138" t="s">
        <v>435</v>
      </c>
      <c r="G33" s="153" t="s">
        <v>380</v>
      </c>
      <c r="H33" s="139" t="s">
        <v>402</v>
      </c>
      <c r="J33" s="136" t="s">
        <v>268</v>
      </c>
      <c r="K33" s="137" t="s">
        <v>272</v>
      </c>
      <c r="L33" s="138" t="s">
        <v>264</v>
      </c>
      <c r="M33" s="138" t="s">
        <v>280</v>
      </c>
      <c r="N33" s="138" t="s">
        <v>435</v>
      </c>
      <c r="O33" s="153" t="s">
        <v>380</v>
      </c>
      <c r="P33" s="139" t="s">
        <v>402</v>
      </c>
    </row>
    <row r="34" spans="2:16" x14ac:dyDescent="0.3">
      <c r="B34" s="273" t="s">
        <v>411</v>
      </c>
      <c r="C34" s="106" t="s">
        <v>277</v>
      </c>
      <c r="D34" s="106" t="s">
        <v>100</v>
      </c>
      <c r="E34" s="107">
        <v>90</v>
      </c>
      <c r="F34" s="147">
        <v>16</v>
      </c>
      <c r="G34" s="157">
        <f>F34/E34</f>
        <v>0.17777777777777778</v>
      </c>
      <c r="H34" s="148" t="s">
        <v>418</v>
      </c>
      <c r="J34" s="273" t="s">
        <v>411</v>
      </c>
      <c r="K34" s="106" t="s">
        <v>277</v>
      </c>
      <c r="L34" s="106" t="s">
        <v>101</v>
      </c>
      <c r="M34" s="107">
        <v>144</v>
      </c>
      <c r="N34" s="147">
        <v>89</v>
      </c>
      <c r="O34" s="157">
        <f>N34/M34</f>
        <v>0.61805555555555558</v>
      </c>
      <c r="P34" s="148" t="s">
        <v>418</v>
      </c>
    </row>
    <row r="35" spans="2:16" x14ac:dyDescent="0.3">
      <c r="B35" s="274"/>
      <c r="C35" s="104" t="s">
        <v>278</v>
      </c>
      <c r="D35" s="104" t="s">
        <v>102</v>
      </c>
      <c r="E35" s="105">
        <v>135</v>
      </c>
      <c r="F35" s="149">
        <v>23</v>
      </c>
      <c r="G35" s="158">
        <f t="shared" ref="G35:G36" si="14">F35/E35</f>
        <v>0.17037037037037037</v>
      </c>
      <c r="H35" s="150" t="s">
        <v>419</v>
      </c>
      <c r="J35" s="274"/>
      <c r="K35" s="104" t="s">
        <v>278</v>
      </c>
      <c r="L35" s="104" t="s">
        <v>96</v>
      </c>
      <c r="M35" s="105">
        <v>912</v>
      </c>
      <c r="N35" s="149">
        <v>477</v>
      </c>
      <c r="O35" s="158">
        <f>N35/M35</f>
        <v>0.52302631578947367</v>
      </c>
      <c r="P35" s="150" t="s">
        <v>419</v>
      </c>
    </row>
    <row r="36" spans="2:16" ht="15" thickBot="1" x14ac:dyDescent="0.35">
      <c r="B36" s="275"/>
      <c r="C36" s="108" t="s">
        <v>276</v>
      </c>
      <c r="D36" s="108" t="s">
        <v>94</v>
      </c>
      <c r="E36" s="109">
        <v>1545</v>
      </c>
      <c r="F36" s="151">
        <v>138</v>
      </c>
      <c r="G36" s="159">
        <f t="shared" si="14"/>
        <v>8.9320388349514557E-2</v>
      </c>
      <c r="H36" s="152" t="s">
        <v>420</v>
      </c>
      <c r="J36" s="275"/>
      <c r="K36" s="108" t="s">
        <v>277</v>
      </c>
      <c r="L36" s="108" t="s">
        <v>93</v>
      </c>
      <c r="M36" s="109">
        <v>336</v>
      </c>
      <c r="N36" s="151">
        <v>165</v>
      </c>
      <c r="O36" s="159">
        <f>N36/M36</f>
        <v>0.49107142857142855</v>
      </c>
      <c r="P36" s="152" t="s">
        <v>420</v>
      </c>
    </row>
  </sheetData>
  <mergeCells count="24">
    <mergeCell ref="B2:H2"/>
    <mergeCell ref="J2:P2"/>
    <mergeCell ref="B4:B6"/>
    <mergeCell ref="J4:J6"/>
    <mergeCell ref="B7:B9"/>
    <mergeCell ref="J7:J9"/>
    <mergeCell ref="B10:B12"/>
    <mergeCell ref="J10:J12"/>
    <mergeCell ref="B14:H14"/>
    <mergeCell ref="J14:P14"/>
    <mergeCell ref="B16:B18"/>
    <mergeCell ref="J16:J18"/>
    <mergeCell ref="B20:H20"/>
    <mergeCell ref="J20:P20"/>
    <mergeCell ref="B22:B24"/>
    <mergeCell ref="J22:J24"/>
    <mergeCell ref="B25:B27"/>
    <mergeCell ref="J25:J27"/>
    <mergeCell ref="B28:B30"/>
    <mergeCell ref="J28:J30"/>
    <mergeCell ref="B32:H32"/>
    <mergeCell ref="J32:P32"/>
    <mergeCell ref="B34:B36"/>
    <mergeCell ref="J34:J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</vt:i4>
      </vt:variant>
    </vt:vector>
  </HeadingPairs>
  <TitlesOfParts>
    <vt:vector size="35" baseType="lpstr">
      <vt:lpstr>CSP Sum</vt:lpstr>
      <vt:lpstr>ZO Wise</vt:lpstr>
      <vt:lpstr>DC Sum</vt:lpstr>
      <vt:lpstr>AC Pivot</vt:lpstr>
      <vt:lpstr>Count</vt:lpstr>
      <vt:lpstr>Z AC</vt:lpstr>
      <vt:lpstr>AC</vt:lpstr>
      <vt:lpstr>APY Pivot</vt:lpstr>
      <vt:lpstr>APY S P</vt:lpstr>
      <vt:lpstr>Z APY</vt:lpstr>
      <vt:lpstr>APY</vt:lpstr>
      <vt:lpstr>JJBY Pivot</vt:lpstr>
      <vt:lpstr>JJBY S P</vt:lpstr>
      <vt:lpstr>Z JJBY</vt:lpstr>
      <vt:lpstr>JJBY</vt:lpstr>
      <vt:lpstr>SBY Pivot</vt:lpstr>
      <vt:lpstr>SBY S P</vt:lpstr>
      <vt:lpstr>Z SBY</vt:lpstr>
      <vt:lpstr>SBY</vt:lpstr>
      <vt:lpstr>Comm Pivot</vt:lpstr>
      <vt:lpstr>comm s p</vt:lpstr>
      <vt:lpstr>Comm</vt:lpstr>
      <vt:lpstr>Txn Pivot</vt:lpstr>
      <vt:lpstr>Txn Pivot2</vt:lpstr>
      <vt:lpstr>FI txn</vt:lpstr>
      <vt:lpstr>Txn Amt</vt:lpstr>
      <vt:lpstr>Log</vt:lpstr>
      <vt:lpstr>Code</vt:lpstr>
      <vt:lpstr>Z Code</vt:lpstr>
      <vt:lpstr>Data</vt:lpstr>
      <vt:lpstr>Topper CSP</vt:lpstr>
      <vt:lpstr>Topper DC</vt:lpstr>
      <vt:lpstr>'CSP Sum'!Print_Area</vt:lpstr>
      <vt:lpstr>'DC Sum'!Print_Area</vt:lpstr>
      <vt:lpstr>'ZO 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Surojit Mallick</dc:creator>
  <cp:lastModifiedBy>Surojit Mallick</cp:lastModifiedBy>
  <cp:lastPrinted>2026-07-20T16:22:24Z</cp:lastPrinted>
  <dcterms:created xsi:type="dcterms:W3CDTF">2015-06-05T18:17:20Z</dcterms:created>
  <dcterms:modified xsi:type="dcterms:W3CDTF">2026-09-07T11:37:51Z</dcterms:modified>
</cp:coreProperties>
</file>